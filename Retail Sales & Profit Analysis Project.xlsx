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Documents\Tech Mind Community Project\"/>
    </mc:Choice>
  </mc:AlternateContent>
  <xr:revisionPtr revIDLastSave="0" documentId="13_ncr:1_{7EB394FC-2602-40EB-BCE1-410D509E33ED}" xr6:coauthVersionLast="47" xr6:coauthVersionMax="47" xr10:uidLastSave="{00000000-0000-0000-0000-000000000000}"/>
  <bookViews>
    <workbookView xWindow="-120" yWindow="-120" windowWidth="20730" windowHeight="11160" firstSheet="1" activeTab="3" xr2:uid="{275D04C8-67C8-4C8C-965F-A27AB32E1020}"/>
  </bookViews>
  <sheets>
    <sheet name="Retail Sales &amp; Profit Analysis " sheetId="1" r:id="rId1"/>
    <sheet name="Cleaned Retail Sales &amp; Profit" sheetId="2" r:id="rId2"/>
    <sheet name="Pivot Tables" sheetId="3" r:id="rId3"/>
    <sheet name="Dashboard1" sheetId="7" r:id="rId4"/>
    <sheet name="Dashboard2" sheetId="10" r:id="rId5"/>
  </sheets>
  <definedNames>
    <definedName name="Slicer_Channel">#N/A</definedName>
    <definedName name="Slicer_Product_Category1">#N/A</definedName>
    <definedName name="Slicer_Region1">#N/A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C38" i="3" l="1"/>
  <c r="B38" i="3"/>
  <c r="A38" i="3"/>
  <c r="U501" i="2"/>
  <c r="V501" i="2" s="1"/>
  <c r="E501" i="2"/>
  <c r="D501" i="2"/>
  <c r="C501" i="2"/>
  <c r="U500" i="2"/>
  <c r="X500" i="2" s="1"/>
  <c r="E500" i="2"/>
  <c r="D500" i="2"/>
  <c r="C500" i="2"/>
  <c r="U499" i="2"/>
  <c r="X499" i="2" s="1"/>
  <c r="E499" i="2"/>
  <c r="D499" i="2"/>
  <c r="C499" i="2"/>
  <c r="U498" i="2"/>
  <c r="V498" i="2" s="1"/>
  <c r="E498" i="2"/>
  <c r="D498" i="2"/>
  <c r="C498" i="2"/>
  <c r="U497" i="2"/>
  <c r="X497" i="2" s="1"/>
  <c r="E497" i="2"/>
  <c r="D497" i="2"/>
  <c r="C497" i="2"/>
  <c r="U496" i="2"/>
  <c r="X496" i="2" s="1"/>
  <c r="E496" i="2"/>
  <c r="D496" i="2"/>
  <c r="C496" i="2"/>
  <c r="U495" i="2"/>
  <c r="V495" i="2" s="1"/>
  <c r="E495" i="2"/>
  <c r="D495" i="2"/>
  <c r="C495" i="2"/>
  <c r="U494" i="2"/>
  <c r="V494" i="2" s="1"/>
  <c r="E494" i="2"/>
  <c r="D494" i="2"/>
  <c r="C494" i="2"/>
  <c r="U493" i="2"/>
  <c r="X493" i="2" s="1"/>
  <c r="E493" i="2"/>
  <c r="D493" i="2"/>
  <c r="C493" i="2"/>
  <c r="U492" i="2"/>
  <c r="X492" i="2" s="1"/>
  <c r="E492" i="2"/>
  <c r="D492" i="2"/>
  <c r="C492" i="2"/>
  <c r="U491" i="2"/>
  <c r="W491" i="2" s="1"/>
  <c r="E491" i="2"/>
  <c r="D491" i="2"/>
  <c r="C491" i="2"/>
  <c r="U490" i="2"/>
  <c r="V490" i="2" s="1"/>
  <c r="E490" i="2"/>
  <c r="D490" i="2"/>
  <c r="C490" i="2"/>
  <c r="U489" i="2"/>
  <c r="X489" i="2" s="1"/>
  <c r="E489" i="2"/>
  <c r="D489" i="2"/>
  <c r="C489" i="2"/>
  <c r="U488" i="2"/>
  <c r="X488" i="2" s="1"/>
  <c r="E488" i="2"/>
  <c r="D488" i="2"/>
  <c r="C488" i="2"/>
  <c r="U487" i="2"/>
  <c r="W487" i="2" s="1"/>
  <c r="E487" i="2"/>
  <c r="D487" i="2"/>
  <c r="C487" i="2"/>
  <c r="U486" i="2"/>
  <c r="V486" i="2" s="1"/>
  <c r="E486" i="2"/>
  <c r="D486" i="2"/>
  <c r="C486" i="2"/>
  <c r="U485" i="2"/>
  <c r="V485" i="2" s="1"/>
  <c r="E485" i="2"/>
  <c r="D485" i="2"/>
  <c r="C485" i="2"/>
  <c r="U484" i="2"/>
  <c r="X484" i="2" s="1"/>
  <c r="E484" i="2"/>
  <c r="D484" i="2"/>
  <c r="C484" i="2"/>
  <c r="U483" i="2"/>
  <c r="W483" i="2" s="1"/>
  <c r="E483" i="2"/>
  <c r="D483" i="2"/>
  <c r="C483" i="2"/>
  <c r="U482" i="2"/>
  <c r="V482" i="2" s="1"/>
  <c r="E482" i="2"/>
  <c r="D482" i="2"/>
  <c r="C482" i="2"/>
  <c r="U481" i="2"/>
  <c r="X481" i="2" s="1"/>
  <c r="E481" i="2"/>
  <c r="D481" i="2"/>
  <c r="C481" i="2"/>
  <c r="U480" i="2"/>
  <c r="X480" i="2" s="1"/>
  <c r="E480" i="2"/>
  <c r="D480" i="2"/>
  <c r="C480" i="2"/>
  <c r="U479" i="2"/>
  <c r="W479" i="2" s="1"/>
  <c r="E479" i="2"/>
  <c r="D479" i="2"/>
  <c r="C479" i="2"/>
  <c r="U478" i="2"/>
  <c r="V478" i="2" s="1"/>
  <c r="E478" i="2"/>
  <c r="D478" i="2"/>
  <c r="C478" i="2"/>
  <c r="U477" i="2"/>
  <c r="X477" i="2" s="1"/>
  <c r="E477" i="2"/>
  <c r="D477" i="2"/>
  <c r="C477" i="2"/>
  <c r="U476" i="2"/>
  <c r="X476" i="2" s="1"/>
  <c r="E476" i="2"/>
  <c r="D476" i="2"/>
  <c r="C476" i="2"/>
  <c r="U475" i="2"/>
  <c r="W475" i="2" s="1"/>
  <c r="E475" i="2"/>
  <c r="D475" i="2"/>
  <c r="C475" i="2"/>
  <c r="U474" i="2"/>
  <c r="V474" i="2" s="1"/>
  <c r="E474" i="2"/>
  <c r="D474" i="2"/>
  <c r="C474" i="2"/>
  <c r="U473" i="2"/>
  <c r="X473" i="2" s="1"/>
  <c r="E473" i="2"/>
  <c r="D473" i="2"/>
  <c r="C473" i="2"/>
  <c r="U472" i="2"/>
  <c r="X472" i="2" s="1"/>
  <c r="E472" i="2"/>
  <c r="D472" i="2"/>
  <c r="C472" i="2"/>
  <c r="U471" i="2"/>
  <c r="V471" i="2" s="1"/>
  <c r="E471" i="2"/>
  <c r="D471" i="2"/>
  <c r="C471" i="2"/>
  <c r="U470" i="2"/>
  <c r="V470" i="2" s="1"/>
  <c r="E470" i="2"/>
  <c r="D470" i="2"/>
  <c r="C470" i="2"/>
  <c r="U469" i="2"/>
  <c r="X469" i="2" s="1"/>
  <c r="E469" i="2"/>
  <c r="D469" i="2"/>
  <c r="C469" i="2"/>
  <c r="U468" i="2"/>
  <c r="X468" i="2" s="1"/>
  <c r="E468" i="2"/>
  <c r="D468" i="2"/>
  <c r="C468" i="2"/>
  <c r="U467" i="2"/>
  <c r="W467" i="2" s="1"/>
  <c r="E467" i="2"/>
  <c r="D467" i="2"/>
  <c r="C467" i="2"/>
  <c r="U466" i="2"/>
  <c r="V466" i="2" s="1"/>
  <c r="E466" i="2"/>
  <c r="D466" i="2"/>
  <c r="C466" i="2"/>
  <c r="U465" i="2"/>
  <c r="X465" i="2" s="1"/>
  <c r="E465" i="2"/>
  <c r="D465" i="2"/>
  <c r="C465" i="2"/>
  <c r="U464" i="2"/>
  <c r="X464" i="2" s="1"/>
  <c r="E464" i="2"/>
  <c r="D464" i="2"/>
  <c r="C464" i="2"/>
  <c r="U463" i="2"/>
  <c r="V463" i="2" s="1"/>
  <c r="E463" i="2"/>
  <c r="D463" i="2"/>
  <c r="C463" i="2"/>
  <c r="U462" i="2"/>
  <c r="V462" i="2" s="1"/>
  <c r="E462" i="2"/>
  <c r="D462" i="2"/>
  <c r="C462" i="2"/>
  <c r="U461" i="2"/>
  <c r="X461" i="2" s="1"/>
  <c r="E461" i="2"/>
  <c r="D461" i="2"/>
  <c r="C461" i="2"/>
  <c r="U460" i="2"/>
  <c r="X460" i="2" s="1"/>
  <c r="E460" i="2"/>
  <c r="D460" i="2"/>
  <c r="C460" i="2"/>
  <c r="U459" i="2"/>
  <c r="W459" i="2" s="1"/>
  <c r="E459" i="2"/>
  <c r="D459" i="2"/>
  <c r="C459" i="2"/>
  <c r="U458" i="2"/>
  <c r="V458" i="2" s="1"/>
  <c r="E458" i="2"/>
  <c r="D458" i="2"/>
  <c r="C458" i="2"/>
  <c r="U457" i="2"/>
  <c r="X457" i="2" s="1"/>
  <c r="E457" i="2"/>
  <c r="D457" i="2"/>
  <c r="C457" i="2"/>
  <c r="U456" i="2"/>
  <c r="X456" i="2" s="1"/>
  <c r="E456" i="2"/>
  <c r="D456" i="2"/>
  <c r="C456" i="2"/>
  <c r="U455" i="2"/>
  <c r="W455" i="2" s="1"/>
  <c r="E455" i="2"/>
  <c r="D455" i="2"/>
  <c r="C455" i="2"/>
  <c r="U454" i="2"/>
  <c r="V454" i="2" s="1"/>
  <c r="E454" i="2"/>
  <c r="D454" i="2"/>
  <c r="C454" i="2"/>
  <c r="U453" i="2"/>
  <c r="X453" i="2" s="1"/>
  <c r="E453" i="2"/>
  <c r="D453" i="2"/>
  <c r="C453" i="2"/>
  <c r="U452" i="2"/>
  <c r="X452" i="2" s="1"/>
  <c r="E452" i="2"/>
  <c r="D452" i="2"/>
  <c r="C452" i="2"/>
  <c r="U451" i="2"/>
  <c r="W451" i="2" s="1"/>
  <c r="E451" i="2"/>
  <c r="D451" i="2"/>
  <c r="C451" i="2"/>
  <c r="U450" i="2"/>
  <c r="V450" i="2" s="1"/>
  <c r="E450" i="2"/>
  <c r="D450" i="2"/>
  <c r="C450" i="2"/>
  <c r="U449" i="2"/>
  <c r="X449" i="2" s="1"/>
  <c r="E449" i="2"/>
  <c r="D449" i="2"/>
  <c r="C449" i="2"/>
  <c r="U448" i="2"/>
  <c r="X448" i="2" s="1"/>
  <c r="E448" i="2"/>
  <c r="D448" i="2"/>
  <c r="C448" i="2"/>
  <c r="U447" i="2"/>
  <c r="W447" i="2" s="1"/>
  <c r="E447" i="2"/>
  <c r="D447" i="2"/>
  <c r="C447" i="2"/>
  <c r="U446" i="2"/>
  <c r="V446" i="2" s="1"/>
  <c r="E446" i="2"/>
  <c r="D446" i="2"/>
  <c r="C446" i="2"/>
  <c r="U445" i="2"/>
  <c r="X445" i="2" s="1"/>
  <c r="E445" i="2"/>
  <c r="D445" i="2"/>
  <c r="C445" i="2"/>
  <c r="U444" i="2"/>
  <c r="X444" i="2" s="1"/>
  <c r="E444" i="2"/>
  <c r="D444" i="2"/>
  <c r="C444" i="2"/>
  <c r="U443" i="2"/>
  <c r="W443" i="2" s="1"/>
  <c r="E443" i="2"/>
  <c r="D443" i="2"/>
  <c r="C443" i="2"/>
  <c r="U442" i="2"/>
  <c r="V442" i="2" s="1"/>
  <c r="E442" i="2"/>
  <c r="D442" i="2"/>
  <c r="C442" i="2"/>
  <c r="U441" i="2"/>
  <c r="X441" i="2" s="1"/>
  <c r="E441" i="2"/>
  <c r="D441" i="2"/>
  <c r="C441" i="2"/>
  <c r="U440" i="2"/>
  <c r="X440" i="2" s="1"/>
  <c r="E440" i="2"/>
  <c r="D440" i="2"/>
  <c r="C440" i="2"/>
  <c r="U439" i="2"/>
  <c r="V439" i="2" s="1"/>
  <c r="E439" i="2"/>
  <c r="D439" i="2"/>
  <c r="C439" i="2"/>
  <c r="U438" i="2"/>
  <c r="V438" i="2" s="1"/>
  <c r="E438" i="2"/>
  <c r="D438" i="2"/>
  <c r="C438" i="2"/>
  <c r="U437" i="2"/>
  <c r="V437" i="2" s="1"/>
  <c r="E437" i="2"/>
  <c r="D437" i="2"/>
  <c r="C437" i="2"/>
  <c r="U436" i="2"/>
  <c r="X436" i="2" s="1"/>
  <c r="E436" i="2"/>
  <c r="D436" i="2"/>
  <c r="C436" i="2"/>
  <c r="U435" i="2"/>
  <c r="W435" i="2" s="1"/>
  <c r="E435" i="2"/>
  <c r="D435" i="2"/>
  <c r="C435" i="2"/>
  <c r="U434" i="2"/>
  <c r="V434" i="2" s="1"/>
  <c r="E434" i="2"/>
  <c r="D434" i="2"/>
  <c r="C434" i="2"/>
  <c r="U433" i="2"/>
  <c r="X433" i="2" s="1"/>
  <c r="E433" i="2"/>
  <c r="D433" i="2"/>
  <c r="C433" i="2"/>
  <c r="U432" i="2"/>
  <c r="X432" i="2" s="1"/>
  <c r="E432" i="2"/>
  <c r="D432" i="2"/>
  <c r="C432" i="2"/>
  <c r="U431" i="2"/>
  <c r="V431" i="2" s="1"/>
  <c r="E431" i="2"/>
  <c r="D431" i="2"/>
  <c r="C431" i="2"/>
  <c r="U430" i="2"/>
  <c r="V430" i="2" s="1"/>
  <c r="E430" i="2"/>
  <c r="D430" i="2"/>
  <c r="C430" i="2"/>
  <c r="U429" i="2"/>
  <c r="X429" i="2" s="1"/>
  <c r="E429" i="2"/>
  <c r="D429" i="2"/>
  <c r="C429" i="2"/>
  <c r="U428" i="2"/>
  <c r="X428" i="2" s="1"/>
  <c r="E428" i="2"/>
  <c r="D428" i="2"/>
  <c r="C428" i="2"/>
  <c r="U427" i="2"/>
  <c r="W427" i="2" s="1"/>
  <c r="E427" i="2"/>
  <c r="D427" i="2"/>
  <c r="C427" i="2"/>
  <c r="U426" i="2"/>
  <c r="V426" i="2" s="1"/>
  <c r="E426" i="2"/>
  <c r="D426" i="2"/>
  <c r="C426" i="2"/>
  <c r="U425" i="2"/>
  <c r="X425" i="2" s="1"/>
  <c r="E425" i="2"/>
  <c r="D425" i="2"/>
  <c r="C425" i="2"/>
  <c r="U424" i="2"/>
  <c r="X424" i="2" s="1"/>
  <c r="E424" i="2"/>
  <c r="D424" i="2"/>
  <c r="C424" i="2"/>
  <c r="U423" i="2"/>
  <c r="W423" i="2" s="1"/>
  <c r="E423" i="2"/>
  <c r="D423" i="2"/>
  <c r="C423" i="2"/>
  <c r="U422" i="2"/>
  <c r="V422" i="2" s="1"/>
  <c r="E422" i="2"/>
  <c r="D422" i="2"/>
  <c r="C422" i="2"/>
  <c r="U421" i="2"/>
  <c r="V421" i="2" s="1"/>
  <c r="E421" i="2"/>
  <c r="D421" i="2"/>
  <c r="C421" i="2"/>
  <c r="U420" i="2"/>
  <c r="X420" i="2" s="1"/>
  <c r="E420" i="2"/>
  <c r="D420" i="2"/>
  <c r="C420" i="2"/>
  <c r="U419" i="2"/>
  <c r="W419" i="2" s="1"/>
  <c r="E419" i="2"/>
  <c r="D419" i="2"/>
  <c r="C419" i="2"/>
  <c r="U418" i="2"/>
  <c r="V418" i="2" s="1"/>
  <c r="E418" i="2"/>
  <c r="D418" i="2"/>
  <c r="C418" i="2"/>
  <c r="U417" i="2"/>
  <c r="X417" i="2" s="1"/>
  <c r="E417" i="2"/>
  <c r="D417" i="2"/>
  <c r="C417" i="2"/>
  <c r="U416" i="2"/>
  <c r="X416" i="2" s="1"/>
  <c r="E416" i="2"/>
  <c r="D416" i="2"/>
  <c r="C416" i="2"/>
  <c r="U415" i="2"/>
  <c r="V415" i="2" s="1"/>
  <c r="E415" i="2"/>
  <c r="D415" i="2"/>
  <c r="C415" i="2"/>
  <c r="U414" i="2"/>
  <c r="V414" i="2" s="1"/>
  <c r="E414" i="2"/>
  <c r="D414" i="2"/>
  <c r="C414" i="2"/>
  <c r="U413" i="2"/>
  <c r="X413" i="2" s="1"/>
  <c r="E413" i="2"/>
  <c r="D413" i="2"/>
  <c r="C413" i="2"/>
  <c r="U412" i="2"/>
  <c r="X412" i="2" s="1"/>
  <c r="E412" i="2"/>
  <c r="D412" i="2"/>
  <c r="C412" i="2"/>
  <c r="U411" i="2"/>
  <c r="W411" i="2" s="1"/>
  <c r="E411" i="2"/>
  <c r="D411" i="2"/>
  <c r="C411" i="2"/>
  <c r="U410" i="2"/>
  <c r="V410" i="2" s="1"/>
  <c r="E410" i="2"/>
  <c r="D410" i="2"/>
  <c r="C410" i="2"/>
  <c r="U409" i="2"/>
  <c r="X409" i="2" s="1"/>
  <c r="E409" i="2"/>
  <c r="D409" i="2"/>
  <c r="C409" i="2"/>
  <c r="U408" i="2"/>
  <c r="X408" i="2" s="1"/>
  <c r="E408" i="2"/>
  <c r="D408" i="2"/>
  <c r="C408" i="2"/>
  <c r="U407" i="2"/>
  <c r="W407" i="2" s="1"/>
  <c r="E407" i="2"/>
  <c r="D407" i="2"/>
  <c r="C407" i="2"/>
  <c r="U406" i="2"/>
  <c r="V406" i="2" s="1"/>
  <c r="E406" i="2"/>
  <c r="D406" i="2"/>
  <c r="C406" i="2"/>
  <c r="U405" i="2"/>
  <c r="X405" i="2" s="1"/>
  <c r="E405" i="2"/>
  <c r="D405" i="2"/>
  <c r="C405" i="2"/>
  <c r="U404" i="2"/>
  <c r="X404" i="2" s="1"/>
  <c r="E404" i="2"/>
  <c r="D404" i="2"/>
  <c r="C404" i="2"/>
  <c r="U403" i="2"/>
  <c r="W403" i="2" s="1"/>
  <c r="E403" i="2"/>
  <c r="D403" i="2"/>
  <c r="C403" i="2"/>
  <c r="U402" i="2"/>
  <c r="V402" i="2" s="1"/>
  <c r="E402" i="2"/>
  <c r="D402" i="2"/>
  <c r="C402" i="2"/>
  <c r="U401" i="2"/>
  <c r="X401" i="2" s="1"/>
  <c r="E401" i="2"/>
  <c r="D401" i="2"/>
  <c r="C401" i="2"/>
  <c r="U400" i="2"/>
  <c r="X400" i="2" s="1"/>
  <c r="E400" i="2"/>
  <c r="D400" i="2"/>
  <c r="C400" i="2"/>
  <c r="U399" i="2"/>
  <c r="V399" i="2" s="1"/>
  <c r="E399" i="2"/>
  <c r="D399" i="2"/>
  <c r="C399" i="2"/>
  <c r="U398" i="2"/>
  <c r="V398" i="2" s="1"/>
  <c r="E398" i="2"/>
  <c r="D398" i="2"/>
  <c r="C398" i="2"/>
  <c r="U397" i="2"/>
  <c r="X397" i="2" s="1"/>
  <c r="E397" i="2"/>
  <c r="D397" i="2"/>
  <c r="C397" i="2"/>
  <c r="U396" i="2"/>
  <c r="X396" i="2" s="1"/>
  <c r="E396" i="2"/>
  <c r="D396" i="2"/>
  <c r="C396" i="2"/>
  <c r="U395" i="2"/>
  <c r="W395" i="2" s="1"/>
  <c r="E395" i="2"/>
  <c r="D395" i="2"/>
  <c r="C395" i="2"/>
  <c r="U394" i="2"/>
  <c r="V394" i="2" s="1"/>
  <c r="E394" i="2"/>
  <c r="D394" i="2"/>
  <c r="C394" i="2"/>
  <c r="U393" i="2"/>
  <c r="X393" i="2" s="1"/>
  <c r="E393" i="2"/>
  <c r="D393" i="2"/>
  <c r="C393" i="2"/>
  <c r="U392" i="2"/>
  <c r="X392" i="2" s="1"/>
  <c r="E392" i="2"/>
  <c r="D392" i="2"/>
  <c r="C392" i="2"/>
  <c r="U391" i="2"/>
  <c r="W391" i="2" s="1"/>
  <c r="E391" i="2"/>
  <c r="D391" i="2"/>
  <c r="C391" i="2"/>
  <c r="U390" i="2"/>
  <c r="V390" i="2" s="1"/>
  <c r="E390" i="2"/>
  <c r="D390" i="2"/>
  <c r="C390" i="2"/>
  <c r="U389" i="2"/>
  <c r="V389" i="2" s="1"/>
  <c r="E389" i="2"/>
  <c r="D389" i="2"/>
  <c r="C389" i="2"/>
  <c r="U388" i="2"/>
  <c r="X388" i="2" s="1"/>
  <c r="E388" i="2"/>
  <c r="D388" i="2"/>
  <c r="C388" i="2"/>
  <c r="U387" i="2"/>
  <c r="W387" i="2" s="1"/>
  <c r="E387" i="2"/>
  <c r="D387" i="2"/>
  <c r="C387" i="2"/>
  <c r="U386" i="2"/>
  <c r="V386" i="2" s="1"/>
  <c r="E386" i="2"/>
  <c r="D386" i="2"/>
  <c r="C386" i="2"/>
  <c r="U385" i="2"/>
  <c r="X385" i="2" s="1"/>
  <c r="E385" i="2"/>
  <c r="D385" i="2"/>
  <c r="C385" i="2"/>
  <c r="U384" i="2"/>
  <c r="X384" i="2" s="1"/>
  <c r="E384" i="2"/>
  <c r="D384" i="2"/>
  <c r="C384" i="2"/>
  <c r="U383" i="2"/>
  <c r="W383" i="2" s="1"/>
  <c r="E383" i="2"/>
  <c r="D383" i="2"/>
  <c r="C383" i="2"/>
  <c r="U382" i="2"/>
  <c r="V382" i="2" s="1"/>
  <c r="E382" i="2"/>
  <c r="D382" i="2"/>
  <c r="C382" i="2"/>
  <c r="U381" i="2"/>
  <c r="X381" i="2" s="1"/>
  <c r="E381" i="2"/>
  <c r="D381" i="2"/>
  <c r="C381" i="2"/>
  <c r="U380" i="2"/>
  <c r="X380" i="2" s="1"/>
  <c r="E380" i="2"/>
  <c r="D380" i="2"/>
  <c r="C380" i="2"/>
  <c r="U379" i="2"/>
  <c r="W379" i="2" s="1"/>
  <c r="E379" i="2"/>
  <c r="D379" i="2"/>
  <c r="C379" i="2"/>
  <c r="U378" i="2"/>
  <c r="V378" i="2" s="1"/>
  <c r="E378" i="2"/>
  <c r="D378" i="2"/>
  <c r="C378" i="2"/>
  <c r="U377" i="2"/>
  <c r="X377" i="2" s="1"/>
  <c r="E377" i="2"/>
  <c r="D377" i="2"/>
  <c r="C377" i="2"/>
  <c r="U376" i="2"/>
  <c r="X376" i="2" s="1"/>
  <c r="E376" i="2"/>
  <c r="D376" i="2"/>
  <c r="C376" i="2"/>
  <c r="U375" i="2"/>
  <c r="W375" i="2" s="1"/>
  <c r="E375" i="2"/>
  <c r="D375" i="2"/>
  <c r="C375" i="2"/>
  <c r="U374" i="2"/>
  <c r="V374" i="2" s="1"/>
  <c r="E374" i="2"/>
  <c r="D374" i="2"/>
  <c r="C374" i="2"/>
  <c r="U373" i="2"/>
  <c r="X373" i="2" s="1"/>
  <c r="E373" i="2"/>
  <c r="D373" i="2"/>
  <c r="C373" i="2"/>
  <c r="U372" i="2"/>
  <c r="X372" i="2" s="1"/>
  <c r="E372" i="2"/>
  <c r="D372" i="2"/>
  <c r="C372" i="2"/>
  <c r="U371" i="2"/>
  <c r="W371" i="2" s="1"/>
  <c r="E371" i="2"/>
  <c r="D371" i="2"/>
  <c r="C371" i="2"/>
  <c r="U370" i="2"/>
  <c r="V370" i="2" s="1"/>
  <c r="E370" i="2"/>
  <c r="D370" i="2"/>
  <c r="C370" i="2"/>
  <c r="U369" i="2"/>
  <c r="X369" i="2" s="1"/>
  <c r="E369" i="2"/>
  <c r="D369" i="2"/>
  <c r="C369" i="2"/>
  <c r="U368" i="2"/>
  <c r="X368" i="2" s="1"/>
  <c r="E368" i="2"/>
  <c r="D368" i="2"/>
  <c r="C368" i="2"/>
  <c r="U367" i="2"/>
  <c r="W367" i="2" s="1"/>
  <c r="E367" i="2"/>
  <c r="D367" i="2"/>
  <c r="C367" i="2"/>
  <c r="U366" i="2"/>
  <c r="V366" i="2" s="1"/>
  <c r="E366" i="2"/>
  <c r="D366" i="2"/>
  <c r="C366" i="2"/>
  <c r="U365" i="2"/>
  <c r="X365" i="2" s="1"/>
  <c r="E365" i="2"/>
  <c r="D365" i="2"/>
  <c r="C365" i="2"/>
  <c r="U364" i="2"/>
  <c r="X364" i="2" s="1"/>
  <c r="E364" i="2"/>
  <c r="D364" i="2"/>
  <c r="C364" i="2"/>
  <c r="U363" i="2"/>
  <c r="W363" i="2" s="1"/>
  <c r="E363" i="2"/>
  <c r="D363" i="2"/>
  <c r="C363" i="2"/>
  <c r="U362" i="2"/>
  <c r="V362" i="2" s="1"/>
  <c r="E362" i="2"/>
  <c r="D362" i="2"/>
  <c r="C362" i="2"/>
  <c r="U361" i="2"/>
  <c r="X361" i="2" s="1"/>
  <c r="E361" i="2"/>
  <c r="D361" i="2"/>
  <c r="C361" i="2"/>
  <c r="U360" i="2"/>
  <c r="X360" i="2" s="1"/>
  <c r="E360" i="2"/>
  <c r="D360" i="2"/>
  <c r="C360" i="2"/>
  <c r="U359" i="2"/>
  <c r="W359" i="2" s="1"/>
  <c r="E359" i="2"/>
  <c r="D359" i="2"/>
  <c r="C359" i="2"/>
  <c r="U358" i="2"/>
  <c r="V358" i="2" s="1"/>
  <c r="E358" i="2"/>
  <c r="D358" i="2"/>
  <c r="C358" i="2"/>
  <c r="U357" i="2"/>
  <c r="X357" i="2" s="1"/>
  <c r="E357" i="2"/>
  <c r="D357" i="2"/>
  <c r="C357" i="2"/>
  <c r="U356" i="2"/>
  <c r="X356" i="2" s="1"/>
  <c r="E356" i="2"/>
  <c r="D356" i="2"/>
  <c r="C356" i="2"/>
  <c r="U355" i="2"/>
  <c r="W355" i="2" s="1"/>
  <c r="E355" i="2"/>
  <c r="D355" i="2"/>
  <c r="C355" i="2"/>
  <c r="U354" i="2"/>
  <c r="V354" i="2" s="1"/>
  <c r="E354" i="2"/>
  <c r="D354" i="2"/>
  <c r="C354" i="2"/>
  <c r="U353" i="2"/>
  <c r="X353" i="2" s="1"/>
  <c r="E353" i="2"/>
  <c r="D353" i="2"/>
  <c r="C353" i="2"/>
  <c r="U352" i="2"/>
  <c r="X352" i="2" s="1"/>
  <c r="E352" i="2"/>
  <c r="D352" i="2"/>
  <c r="C352" i="2"/>
  <c r="U351" i="2"/>
  <c r="V351" i="2" s="1"/>
  <c r="E351" i="2"/>
  <c r="D351" i="2"/>
  <c r="C351" i="2"/>
  <c r="U350" i="2"/>
  <c r="V350" i="2" s="1"/>
  <c r="E350" i="2"/>
  <c r="D350" i="2"/>
  <c r="C350" i="2"/>
  <c r="U349" i="2"/>
  <c r="X349" i="2" s="1"/>
  <c r="E349" i="2"/>
  <c r="D349" i="2"/>
  <c r="C349" i="2"/>
  <c r="U348" i="2"/>
  <c r="X348" i="2" s="1"/>
  <c r="E348" i="2"/>
  <c r="D348" i="2"/>
  <c r="C348" i="2"/>
  <c r="U347" i="2"/>
  <c r="W347" i="2" s="1"/>
  <c r="E347" i="2"/>
  <c r="D347" i="2"/>
  <c r="C347" i="2"/>
  <c r="U346" i="2"/>
  <c r="V346" i="2" s="1"/>
  <c r="E346" i="2"/>
  <c r="D346" i="2"/>
  <c r="C346" i="2"/>
  <c r="U345" i="2"/>
  <c r="X345" i="2" s="1"/>
  <c r="E345" i="2"/>
  <c r="D345" i="2"/>
  <c r="C345" i="2"/>
  <c r="U344" i="2"/>
  <c r="X344" i="2" s="1"/>
  <c r="E344" i="2"/>
  <c r="D344" i="2"/>
  <c r="C344" i="2"/>
  <c r="U343" i="2"/>
  <c r="W343" i="2" s="1"/>
  <c r="E343" i="2"/>
  <c r="D343" i="2"/>
  <c r="C343" i="2"/>
  <c r="U342" i="2"/>
  <c r="V342" i="2" s="1"/>
  <c r="E342" i="2"/>
  <c r="D342" i="2"/>
  <c r="C342" i="2"/>
  <c r="U341" i="2"/>
  <c r="V341" i="2" s="1"/>
  <c r="E341" i="2"/>
  <c r="D341" i="2"/>
  <c r="C341" i="2"/>
  <c r="U340" i="2"/>
  <c r="E340" i="2"/>
  <c r="D340" i="2"/>
  <c r="C340" i="2"/>
  <c r="U339" i="2"/>
  <c r="E339" i="2"/>
  <c r="D339" i="2"/>
  <c r="C339" i="2"/>
  <c r="U338" i="2"/>
  <c r="E338" i="2"/>
  <c r="D338" i="2"/>
  <c r="C338" i="2"/>
  <c r="U337" i="2"/>
  <c r="V337" i="2" s="1"/>
  <c r="E337" i="2"/>
  <c r="D337" i="2"/>
  <c r="C337" i="2"/>
  <c r="U336" i="2"/>
  <c r="E336" i="2"/>
  <c r="D336" i="2"/>
  <c r="C336" i="2"/>
  <c r="U335" i="2"/>
  <c r="E335" i="2"/>
  <c r="D335" i="2"/>
  <c r="C335" i="2"/>
  <c r="U334" i="2"/>
  <c r="E334" i="2"/>
  <c r="D334" i="2"/>
  <c r="C334" i="2"/>
  <c r="U333" i="2"/>
  <c r="V333" i="2" s="1"/>
  <c r="E333" i="2"/>
  <c r="D333" i="2"/>
  <c r="C333" i="2"/>
  <c r="U332" i="2"/>
  <c r="W332" i="2" s="1"/>
  <c r="E332" i="2"/>
  <c r="D332" i="2"/>
  <c r="C332" i="2"/>
  <c r="U331" i="2"/>
  <c r="E331" i="2"/>
  <c r="D331" i="2"/>
  <c r="C331" i="2"/>
  <c r="U330" i="2"/>
  <c r="E330" i="2"/>
  <c r="D330" i="2"/>
  <c r="C330" i="2"/>
  <c r="U329" i="2"/>
  <c r="V329" i="2" s="1"/>
  <c r="E329" i="2"/>
  <c r="D329" i="2"/>
  <c r="C329" i="2"/>
  <c r="U328" i="2"/>
  <c r="W328" i="2" s="1"/>
  <c r="E328" i="2"/>
  <c r="D328" i="2"/>
  <c r="C328" i="2"/>
  <c r="U327" i="2"/>
  <c r="E327" i="2"/>
  <c r="D327" i="2"/>
  <c r="C327" i="2"/>
  <c r="U326" i="2"/>
  <c r="E326" i="2"/>
  <c r="D326" i="2"/>
  <c r="C326" i="2"/>
  <c r="U325" i="2"/>
  <c r="V325" i="2" s="1"/>
  <c r="E325" i="2"/>
  <c r="D325" i="2"/>
  <c r="C325" i="2"/>
  <c r="U324" i="2"/>
  <c r="E324" i="2"/>
  <c r="D324" i="2"/>
  <c r="C324" i="2"/>
  <c r="U323" i="2"/>
  <c r="E323" i="2"/>
  <c r="D323" i="2"/>
  <c r="C323" i="2"/>
  <c r="U322" i="2"/>
  <c r="E322" i="2"/>
  <c r="D322" i="2"/>
  <c r="C322" i="2"/>
  <c r="U321" i="2"/>
  <c r="V321" i="2" s="1"/>
  <c r="E321" i="2"/>
  <c r="D321" i="2"/>
  <c r="C321" i="2"/>
  <c r="U320" i="2"/>
  <c r="E320" i="2"/>
  <c r="D320" i="2"/>
  <c r="C320" i="2"/>
  <c r="U319" i="2"/>
  <c r="E319" i="2"/>
  <c r="D319" i="2"/>
  <c r="C319" i="2"/>
  <c r="U318" i="2"/>
  <c r="E318" i="2"/>
  <c r="D318" i="2"/>
  <c r="C318" i="2"/>
  <c r="U317" i="2"/>
  <c r="V317" i="2" s="1"/>
  <c r="E317" i="2"/>
  <c r="D317" i="2"/>
  <c r="C317" i="2"/>
  <c r="U316" i="2"/>
  <c r="E316" i="2"/>
  <c r="D316" i="2"/>
  <c r="C316" i="2"/>
  <c r="U315" i="2"/>
  <c r="E315" i="2"/>
  <c r="D315" i="2"/>
  <c r="C315" i="2"/>
  <c r="U314" i="2"/>
  <c r="E314" i="2"/>
  <c r="D314" i="2"/>
  <c r="C314" i="2"/>
  <c r="U313" i="2"/>
  <c r="V313" i="2" s="1"/>
  <c r="E313" i="2"/>
  <c r="D313" i="2"/>
  <c r="C313" i="2"/>
  <c r="U312" i="2"/>
  <c r="E312" i="2"/>
  <c r="D312" i="2"/>
  <c r="C312" i="2"/>
  <c r="U311" i="2"/>
  <c r="E311" i="2"/>
  <c r="D311" i="2"/>
  <c r="C311" i="2"/>
  <c r="U310" i="2"/>
  <c r="E310" i="2"/>
  <c r="D310" i="2"/>
  <c r="C310" i="2"/>
  <c r="U309" i="2"/>
  <c r="V309" i="2" s="1"/>
  <c r="E309" i="2"/>
  <c r="D309" i="2"/>
  <c r="C309" i="2"/>
  <c r="U308" i="2"/>
  <c r="E308" i="2"/>
  <c r="D308" i="2"/>
  <c r="C308" i="2"/>
  <c r="U307" i="2"/>
  <c r="E307" i="2"/>
  <c r="D307" i="2"/>
  <c r="C307" i="2"/>
  <c r="U306" i="2"/>
  <c r="E306" i="2"/>
  <c r="D306" i="2"/>
  <c r="C306" i="2"/>
  <c r="U305" i="2"/>
  <c r="V305" i="2" s="1"/>
  <c r="E305" i="2"/>
  <c r="D305" i="2"/>
  <c r="C305" i="2"/>
  <c r="U304" i="2"/>
  <c r="E304" i="2"/>
  <c r="D304" i="2"/>
  <c r="C304" i="2"/>
  <c r="U303" i="2"/>
  <c r="E303" i="2"/>
  <c r="D303" i="2"/>
  <c r="C303" i="2"/>
  <c r="U302" i="2"/>
  <c r="E302" i="2"/>
  <c r="D302" i="2"/>
  <c r="C302" i="2"/>
  <c r="U301" i="2"/>
  <c r="V301" i="2" s="1"/>
  <c r="E301" i="2"/>
  <c r="D301" i="2"/>
  <c r="C301" i="2"/>
  <c r="U300" i="2"/>
  <c r="E300" i="2"/>
  <c r="D300" i="2"/>
  <c r="C300" i="2"/>
  <c r="U299" i="2"/>
  <c r="E299" i="2"/>
  <c r="D299" i="2"/>
  <c r="C299" i="2"/>
  <c r="U298" i="2"/>
  <c r="E298" i="2"/>
  <c r="D298" i="2"/>
  <c r="C298" i="2"/>
  <c r="U297" i="2"/>
  <c r="V297" i="2" s="1"/>
  <c r="E297" i="2"/>
  <c r="D297" i="2"/>
  <c r="C297" i="2"/>
  <c r="U296" i="2"/>
  <c r="E296" i="2"/>
  <c r="D296" i="2"/>
  <c r="C296" i="2"/>
  <c r="U295" i="2"/>
  <c r="E295" i="2"/>
  <c r="D295" i="2"/>
  <c r="C295" i="2"/>
  <c r="U294" i="2"/>
  <c r="E294" i="2"/>
  <c r="D294" i="2"/>
  <c r="C294" i="2"/>
  <c r="U293" i="2"/>
  <c r="V293" i="2" s="1"/>
  <c r="E293" i="2"/>
  <c r="D293" i="2"/>
  <c r="C293" i="2"/>
  <c r="U292" i="2"/>
  <c r="E292" i="2"/>
  <c r="D292" i="2"/>
  <c r="C292" i="2"/>
  <c r="U291" i="2"/>
  <c r="E291" i="2"/>
  <c r="D291" i="2"/>
  <c r="C291" i="2"/>
  <c r="U290" i="2"/>
  <c r="E290" i="2"/>
  <c r="D290" i="2"/>
  <c r="C290" i="2"/>
  <c r="U289" i="2"/>
  <c r="V289" i="2" s="1"/>
  <c r="E289" i="2"/>
  <c r="D289" i="2"/>
  <c r="C289" i="2"/>
  <c r="U288" i="2"/>
  <c r="E288" i="2"/>
  <c r="D288" i="2"/>
  <c r="C288" i="2"/>
  <c r="U287" i="2"/>
  <c r="E287" i="2"/>
  <c r="D287" i="2"/>
  <c r="C287" i="2"/>
  <c r="U286" i="2"/>
  <c r="E286" i="2"/>
  <c r="D286" i="2"/>
  <c r="C286" i="2"/>
  <c r="U285" i="2"/>
  <c r="V285" i="2" s="1"/>
  <c r="E285" i="2"/>
  <c r="D285" i="2"/>
  <c r="C285" i="2"/>
  <c r="U284" i="2"/>
  <c r="E284" i="2"/>
  <c r="D284" i="2"/>
  <c r="C284" i="2"/>
  <c r="U283" i="2"/>
  <c r="E283" i="2"/>
  <c r="D283" i="2"/>
  <c r="C283" i="2"/>
  <c r="U282" i="2"/>
  <c r="E282" i="2"/>
  <c r="D282" i="2"/>
  <c r="C282" i="2"/>
  <c r="U281" i="2"/>
  <c r="V281" i="2" s="1"/>
  <c r="E281" i="2"/>
  <c r="D281" i="2"/>
  <c r="C281" i="2"/>
  <c r="U280" i="2"/>
  <c r="E280" i="2"/>
  <c r="D280" i="2"/>
  <c r="C280" i="2"/>
  <c r="U279" i="2"/>
  <c r="E279" i="2"/>
  <c r="D279" i="2"/>
  <c r="C279" i="2"/>
  <c r="U278" i="2"/>
  <c r="E278" i="2"/>
  <c r="D278" i="2"/>
  <c r="C278" i="2"/>
  <c r="U277" i="2"/>
  <c r="V277" i="2" s="1"/>
  <c r="E277" i="2"/>
  <c r="D277" i="2"/>
  <c r="C277" i="2"/>
  <c r="U276" i="2"/>
  <c r="E276" i="2"/>
  <c r="D276" i="2"/>
  <c r="C276" i="2"/>
  <c r="U275" i="2"/>
  <c r="E275" i="2"/>
  <c r="D275" i="2"/>
  <c r="C275" i="2"/>
  <c r="U274" i="2"/>
  <c r="E274" i="2"/>
  <c r="D274" i="2"/>
  <c r="C274" i="2"/>
  <c r="U273" i="2"/>
  <c r="V273" i="2" s="1"/>
  <c r="E273" i="2"/>
  <c r="D273" i="2"/>
  <c r="C273" i="2"/>
  <c r="U272" i="2"/>
  <c r="E272" i="2"/>
  <c r="D272" i="2"/>
  <c r="C272" i="2"/>
  <c r="U271" i="2"/>
  <c r="E271" i="2"/>
  <c r="D271" i="2"/>
  <c r="C271" i="2"/>
  <c r="U270" i="2"/>
  <c r="E270" i="2"/>
  <c r="D270" i="2"/>
  <c r="C270" i="2"/>
  <c r="U269" i="2"/>
  <c r="V269" i="2" s="1"/>
  <c r="E269" i="2"/>
  <c r="D269" i="2"/>
  <c r="C269" i="2"/>
  <c r="U268" i="2"/>
  <c r="E268" i="2"/>
  <c r="D268" i="2"/>
  <c r="C268" i="2"/>
  <c r="U267" i="2"/>
  <c r="E267" i="2"/>
  <c r="D267" i="2"/>
  <c r="C267" i="2"/>
  <c r="U266" i="2"/>
  <c r="E266" i="2"/>
  <c r="D266" i="2"/>
  <c r="C266" i="2"/>
  <c r="U265" i="2"/>
  <c r="V265" i="2" s="1"/>
  <c r="E265" i="2"/>
  <c r="D265" i="2"/>
  <c r="C265" i="2"/>
  <c r="U264" i="2"/>
  <c r="E264" i="2"/>
  <c r="D264" i="2"/>
  <c r="C264" i="2"/>
  <c r="U263" i="2"/>
  <c r="E263" i="2"/>
  <c r="D263" i="2"/>
  <c r="C263" i="2"/>
  <c r="U262" i="2"/>
  <c r="E262" i="2"/>
  <c r="D262" i="2"/>
  <c r="C262" i="2"/>
  <c r="U261" i="2"/>
  <c r="V261" i="2" s="1"/>
  <c r="E261" i="2"/>
  <c r="D261" i="2"/>
  <c r="C261" i="2"/>
  <c r="U260" i="2"/>
  <c r="E260" i="2"/>
  <c r="D260" i="2"/>
  <c r="C260" i="2"/>
  <c r="U259" i="2"/>
  <c r="E259" i="2"/>
  <c r="D259" i="2"/>
  <c r="C259" i="2"/>
  <c r="U258" i="2"/>
  <c r="E258" i="2"/>
  <c r="D258" i="2"/>
  <c r="C258" i="2"/>
  <c r="U257" i="2"/>
  <c r="V257" i="2" s="1"/>
  <c r="E257" i="2"/>
  <c r="D257" i="2"/>
  <c r="C257" i="2"/>
  <c r="U256" i="2"/>
  <c r="E256" i="2"/>
  <c r="D256" i="2"/>
  <c r="C256" i="2"/>
  <c r="U255" i="2"/>
  <c r="E255" i="2"/>
  <c r="D255" i="2"/>
  <c r="C255" i="2"/>
  <c r="U254" i="2"/>
  <c r="E254" i="2"/>
  <c r="D254" i="2"/>
  <c r="C254" i="2"/>
  <c r="U253" i="2"/>
  <c r="V253" i="2" s="1"/>
  <c r="E253" i="2"/>
  <c r="D253" i="2"/>
  <c r="C253" i="2"/>
  <c r="U252" i="2"/>
  <c r="E252" i="2"/>
  <c r="D252" i="2"/>
  <c r="C252" i="2"/>
  <c r="U251" i="2"/>
  <c r="E251" i="2"/>
  <c r="D251" i="2"/>
  <c r="C251" i="2"/>
  <c r="U250" i="2"/>
  <c r="E250" i="2"/>
  <c r="D250" i="2"/>
  <c r="C250" i="2"/>
  <c r="U249" i="2"/>
  <c r="V249" i="2" s="1"/>
  <c r="E249" i="2"/>
  <c r="D249" i="2"/>
  <c r="C249" i="2"/>
  <c r="U248" i="2"/>
  <c r="E248" i="2"/>
  <c r="D248" i="2"/>
  <c r="C248" i="2"/>
  <c r="U247" i="2"/>
  <c r="E247" i="2"/>
  <c r="D247" i="2"/>
  <c r="C247" i="2"/>
  <c r="U246" i="2"/>
  <c r="E246" i="2"/>
  <c r="D246" i="2"/>
  <c r="C246" i="2"/>
  <c r="U245" i="2"/>
  <c r="V245" i="2" s="1"/>
  <c r="E245" i="2"/>
  <c r="D245" i="2"/>
  <c r="C245" i="2"/>
  <c r="U244" i="2"/>
  <c r="E244" i="2"/>
  <c r="D244" i="2"/>
  <c r="C244" i="2"/>
  <c r="U243" i="2"/>
  <c r="E243" i="2"/>
  <c r="D243" i="2"/>
  <c r="C243" i="2"/>
  <c r="U242" i="2"/>
  <c r="E242" i="2"/>
  <c r="D242" i="2"/>
  <c r="C242" i="2"/>
  <c r="U241" i="2"/>
  <c r="V241" i="2" s="1"/>
  <c r="E241" i="2"/>
  <c r="D241" i="2"/>
  <c r="C241" i="2"/>
  <c r="U240" i="2"/>
  <c r="E240" i="2"/>
  <c r="D240" i="2"/>
  <c r="C240" i="2"/>
  <c r="U239" i="2"/>
  <c r="E239" i="2"/>
  <c r="D239" i="2"/>
  <c r="C239" i="2"/>
  <c r="U238" i="2"/>
  <c r="E238" i="2"/>
  <c r="D238" i="2"/>
  <c r="C238" i="2"/>
  <c r="U237" i="2"/>
  <c r="V237" i="2" s="1"/>
  <c r="E237" i="2"/>
  <c r="D237" i="2"/>
  <c r="C237" i="2"/>
  <c r="U236" i="2"/>
  <c r="E236" i="2"/>
  <c r="D236" i="2"/>
  <c r="C236" i="2"/>
  <c r="U235" i="2"/>
  <c r="E235" i="2"/>
  <c r="D235" i="2"/>
  <c r="C235" i="2"/>
  <c r="U234" i="2"/>
  <c r="E234" i="2"/>
  <c r="D234" i="2"/>
  <c r="C234" i="2"/>
  <c r="U233" i="2"/>
  <c r="V233" i="2" s="1"/>
  <c r="E233" i="2"/>
  <c r="D233" i="2"/>
  <c r="C233" i="2"/>
  <c r="U232" i="2"/>
  <c r="E232" i="2"/>
  <c r="D232" i="2"/>
  <c r="C232" i="2"/>
  <c r="U231" i="2"/>
  <c r="E231" i="2"/>
  <c r="D231" i="2"/>
  <c r="C231" i="2"/>
  <c r="U230" i="2"/>
  <c r="E230" i="2"/>
  <c r="D230" i="2"/>
  <c r="C230" i="2"/>
  <c r="U229" i="2"/>
  <c r="V229" i="2" s="1"/>
  <c r="E229" i="2"/>
  <c r="D229" i="2"/>
  <c r="C229" i="2"/>
  <c r="U228" i="2"/>
  <c r="E228" i="2"/>
  <c r="D228" i="2"/>
  <c r="C228" i="2"/>
  <c r="U227" i="2"/>
  <c r="E227" i="2"/>
  <c r="D227" i="2"/>
  <c r="C227" i="2"/>
  <c r="U226" i="2"/>
  <c r="E226" i="2"/>
  <c r="D226" i="2"/>
  <c r="C226" i="2"/>
  <c r="U225" i="2"/>
  <c r="V225" i="2" s="1"/>
  <c r="E225" i="2"/>
  <c r="D225" i="2"/>
  <c r="C225" i="2"/>
  <c r="U224" i="2"/>
  <c r="E224" i="2"/>
  <c r="D224" i="2"/>
  <c r="C224" i="2"/>
  <c r="U223" i="2"/>
  <c r="E223" i="2"/>
  <c r="D223" i="2"/>
  <c r="C223" i="2"/>
  <c r="U222" i="2"/>
  <c r="E222" i="2"/>
  <c r="D222" i="2"/>
  <c r="C222" i="2"/>
  <c r="U221" i="2"/>
  <c r="V221" i="2" s="1"/>
  <c r="E221" i="2"/>
  <c r="D221" i="2"/>
  <c r="C221" i="2"/>
  <c r="U220" i="2"/>
  <c r="E220" i="2"/>
  <c r="D220" i="2"/>
  <c r="C220" i="2"/>
  <c r="U219" i="2"/>
  <c r="E219" i="2"/>
  <c r="D219" i="2"/>
  <c r="C219" i="2"/>
  <c r="U218" i="2"/>
  <c r="E218" i="2"/>
  <c r="D218" i="2"/>
  <c r="C218" i="2"/>
  <c r="U217" i="2"/>
  <c r="V217" i="2" s="1"/>
  <c r="E217" i="2"/>
  <c r="D217" i="2"/>
  <c r="C217" i="2"/>
  <c r="U216" i="2"/>
  <c r="E216" i="2"/>
  <c r="D216" i="2"/>
  <c r="C216" i="2"/>
  <c r="U215" i="2"/>
  <c r="E215" i="2"/>
  <c r="D215" i="2"/>
  <c r="C215" i="2"/>
  <c r="U214" i="2"/>
  <c r="E214" i="2"/>
  <c r="D214" i="2"/>
  <c r="C214" i="2"/>
  <c r="U213" i="2"/>
  <c r="V213" i="2" s="1"/>
  <c r="E213" i="2"/>
  <c r="D213" i="2"/>
  <c r="C213" i="2"/>
  <c r="U212" i="2"/>
  <c r="E212" i="2"/>
  <c r="D212" i="2"/>
  <c r="C212" i="2"/>
  <c r="U211" i="2"/>
  <c r="E211" i="2"/>
  <c r="D211" i="2"/>
  <c r="C211" i="2"/>
  <c r="U210" i="2"/>
  <c r="E210" i="2"/>
  <c r="D210" i="2"/>
  <c r="C210" i="2"/>
  <c r="U209" i="2"/>
  <c r="V209" i="2" s="1"/>
  <c r="E209" i="2"/>
  <c r="D209" i="2"/>
  <c r="C209" i="2"/>
  <c r="U208" i="2"/>
  <c r="E208" i="2"/>
  <c r="D208" i="2"/>
  <c r="C208" i="2"/>
  <c r="U207" i="2"/>
  <c r="E207" i="2"/>
  <c r="D207" i="2"/>
  <c r="C207" i="2"/>
  <c r="U206" i="2"/>
  <c r="E206" i="2"/>
  <c r="D206" i="2"/>
  <c r="C206" i="2"/>
  <c r="U205" i="2"/>
  <c r="V205" i="2" s="1"/>
  <c r="E205" i="2"/>
  <c r="D205" i="2"/>
  <c r="C205" i="2"/>
  <c r="U204" i="2"/>
  <c r="E204" i="2"/>
  <c r="D204" i="2"/>
  <c r="C204" i="2"/>
  <c r="U203" i="2"/>
  <c r="E203" i="2"/>
  <c r="D203" i="2"/>
  <c r="C203" i="2"/>
  <c r="U202" i="2"/>
  <c r="E202" i="2"/>
  <c r="D202" i="2"/>
  <c r="C202" i="2"/>
  <c r="U201" i="2"/>
  <c r="V201" i="2" s="1"/>
  <c r="E201" i="2"/>
  <c r="D201" i="2"/>
  <c r="C201" i="2"/>
  <c r="U200" i="2"/>
  <c r="E200" i="2"/>
  <c r="D200" i="2"/>
  <c r="C200" i="2"/>
  <c r="U199" i="2"/>
  <c r="E199" i="2"/>
  <c r="D199" i="2"/>
  <c r="C199" i="2"/>
  <c r="U198" i="2"/>
  <c r="E198" i="2"/>
  <c r="D198" i="2"/>
  <c r="C198" i="2"/>
  <c r="U197" i="2"/>
  <c r="V197" i="2" s="1"/>
  <c r="E197" i="2"/>
  <c r="D197" i="2"/>
  <c r="C197" i="2"/>
  <c r="U196" i="2"/>
  <c r="E196" i="2"/>
  <c r="D196" i="2"/>
  <c r="C196" i="2"/>
  <c r="U195" i="2"/>
  <c r="E195" i="2"/>
  <c r="D195" i="2"/>
  <c r="C195" i="2"/>
  <c r="U194" i="2"/>
  <c r="E194" i="2"/>
  <c r="D194" i="2"/>
  <c r="C194" i="2"/>
  <c r="U193" i="2"/>
  <c r="V193" i="2" s="1"/>
  <c r="E193" i="2"/>
  <c r="D193" i="2"/>
  <c r="C193" i="2"/>
  <c r="U192" i="2"/>
  <c r="E192" i="2"/>
  <c r="D192" i="2"/>
  <c r="C192" i="2"/>
  <c r="U191" i="2"/>
  <c r="E191" i="2"/>
  <c r="D191" i="2"/>
  <c r="C191" i="2"/>
  <c r="U190" i="2"/>
  <c r="E190" i="2"/>
  <c r="D190" i="2"/>
  <c r="C190" i="2"/>
  <c r="U189" i="2"/>
  <c r="V189" i="2" s="1"/>
  <c r="E189" i="2"/>
  <c r="D189" i="2"/>
  <c r="C189" i="2"/>
  <c r="U188" i="2"/>
  <c r="E188" i="2"/>
  <c r="D188" i="2"/>
  <c r="C188" i="2"/>
  <c r="U187" i="2"/>
  <c r="E187" i="2"/>
  <c r="D187" i="2"/>
  <c r="C187" i="2"/>
  <c r="U186" i="2"/>
  <c r="E186" i="2"/>
  <c r="D186" i="2"/>
  <c r="C186" i="2"/>
  <c r="U185" i="2"/>
  <c r="V185" i="2" s="1"/>
  <c r="E185" i="2"/>
  <c r="D185" i="2"/>
  <c r="C185" i="2"/>
  <c r="U184" i="2"/>
  <c r="E184" i="2"/>
  <c r="D184" i="2"/>
  <c r="C184" i="2"/>
  <c r="U183" i="2"/>
  <c r="E183" i="2"/>
  <c r="D183" i="2"/>
  <c r="C183" i="2"/>
  <c r="U182" i="2"/>
  <c r="E182" i="2"/>
  <c r="D182" i="2"/>
  <c r="C182" i="2"/>
  <c r="U181" i="2"/>
  <c r="V181" i="2" s="1"/>
  <c r="E181" i="2"/>
  <c r="D181" i="2"/>
  <c r="C181" i="2"/>
  <c r="U180" i="2"/>
  <c r="E180" i="2"/>
  <c r="D180" i="2"/>
  <c r="C180" i="2"/>
  <c r="U179" i="2"/>
  <c r="E179" i="2"/>
  <c r="D179" i="2"/>
  <c r="C179" i="2"/>
  <c r="U178" i="2"/>
  <c r="E178" i="2"/>
  <c r="D178" i="2"/>
  <c r="C178" i="2"/>
  <c r="U177" i="2"/>
  <c r="V177" i="2" s="1"/>
  <c r="E177" i="2"/>
  <c r="D177" i="2"/>
  <c r="C177" i="2"/>
  <c r="U176" i="2"/>
  <c r="E176" i="2"/>
  <c r="D176" i="2"/>
  <c r="C176" i="2"/>
  <c r="U175" i="2"/>
  <c r="E175" i="2"/>
  <c r="D175" i="2"/>
  <c r="C175" i="2"/>
  <c r="U174" i="2"/>
  <c r="E174" i="2"/>
  <c r="D174" i="2"/>
  <c r="C174" i="2"/>
  <c r="U173" i="2"/>
  <c r="V173" i="2" s="1"/>
  <c r="E173" i="2"/>
  <c r="D173" i="2"/>
  <c r="C173" i="2"/>
  <c r="U172" i="2"/>
  <c r="E172" i="2"/>
  <c r="D172" i="2"/>
  <c r="C172" i="2"/>
  <c r="U171" i="2"/>
  <c r="E171" i="2"/>
  <c r="D171" i="2"/>
  <c r="C171" i="2"/>
  <c r="U170" i="2"/>
  <c r="E170" i="2"/>
  <c r="D170" i="2"/>
  <c r="C170" i="2"/>
  <c r="U169" i="2"/>
  <c r="V169" i="2" s="1"/>
  <c r="E169" i="2"/>
  <c r="D169" i="2"/>
  <c r="C169" i="2"/>
  <c r="U168" i="2"/>
  <c r="E168" i="2"/>
  <c r="D168" i="2"/>
  <c r="C168" i="2"/>
  <c r="U167" i="2"/>
  <c r="E167" i="2"/>
  <c r="D167" i="2"/>
  <c r="C167" i="2"/>
  <c r="U166" i="2"/>
  <c r="E166" i="2"/>
  <c r="D166" i="2"/>
  <c r="C166" i="2"/>
  <c r="U165" i="2"/>
  <c r="V165" i="2" s="1"/>
  <c r="E165" i="2"/>
  <c r="D165" i="2"/>
  <c r="C165" i="2"/>
  <c r="U164" i="2"/>
  <c r="E164" i="2"/>
  <c r="D164" i="2"/>
  <c r="C164" i="2"/>
  <c r="U163" i="2"/>
  <c r="E163" i="2"/>
  <c r="D163" i="2"/>
  <c r="C163" i="2"/>
  <c r="U162" i="2"/>
  <c r="E162" i="2"/>
  <c r="D162" i="2"/>
  <c r="C162" i="2"/>
  <c r="U161" i="2"/>
  <c r="V161" i="2" s="1"/>
  <c r="E161" i="2"/>
  <c r="D161" i="2"/>
  <c r="C161" i="2"/>
  <c r="U160" i="2"/>
  <c r="E160" i="2"/>
  <c r="D160" i="2"/>
  <c r="C160" i="2"/>
  <c r="U159" i="2"/>
  <c r="E159" i="2"/>
  <c r="D159" i="2"/>
  <c r="C159" i="2"/>
  <c r="U158" i="2"/>
  <c r="E158" i="2"/>
  <c r="D158" i="2"/>
  <c r="C158" i="2"/>
  <c r="U157" i="2"/>
  <c r="V157" i="2" s="1"/>
  <c r="E157" i="2"/>
  <c r="D157" i="2"/>
  <c r="C157" i="2"/>
  <c r="U156" i="2"/>
  <c r="E156" i="2"/>
  <c r="D156" i="2"/>
  <c r="C156" i="2"/>
  <c r="U155" i="2"/>
  <c r="E155" i="2"/>
  <c r="D155" i="2"/>
  <c r="C155" i="2"/>
  <c r="U154" i="2"/>
  <c r="E154" i="2"/>
  <c r="D154" i="2"/>
  <c r="C154" i="2"/>
  <c r="U153" i="2"/>
  <c r="V153" i="2" s="1"/>
  <c r="E153" i="2"/>
  <c r="D153" i="2"/>
  <c r="C153" i="2"/>
  <c r="U152" i="2"/>
  <c r="E152" i="2"/>
  <c r="D152" i="2"/>
  <c r="C152" i="2"/>
  <c r="U151" i="2"/>
  <c r="E151" i="2"/>
  <c r="D151" i="2"/>
  <c r="C151" i="2"/>
  <c r="U150" i="2"/>
  <c r="E150" i="2"/>
  <c r="D150" i="2"/>
  <c r="C150" i="2"/>
  <c r="U149" i="2"/>
  <c r="V149" i="2" s="1"/>
  <c r="E149" i="2"/>
  <c r="D149" i="2"/>
  <c r="C149" i="2"/>
  <c r="U148" i="2"/>
  <c r="E148" i="2"/>
  <c r="D148" i="2"/>
  <c r="C148" i="2"/>
  <c r="U147" i="2"/>
  <c r="E147" i="2"/>
  <c r="D147" i="2"/>
  <c r="C147" i="2"/>
  <c r="U146" i="2"/>
  <c r="E146" i="2"/>
  <c r="D146" i="2"/>
  <c r="C146" i="2"/>
  <c r="U145" i="2"/>
  <c r="V145" i="2" s="1"/>
  <c r="E145" i="2"/>
  <c r="D145" i="2"/>
  <c r="C145" i="2"/>
  <c r="U144" i="2"/>
  <c r="E144" i="2"/>
  <c r="D144" i="2"/>
  <c r="C144" i="2"/>
  <c r="U143" i="2"/>
  <c r="E143" i="2"/>
  <c r="D143" i="2"/>
  <c r="C143" i="2"/>
  <c r="U142" i="2"/>
  <c r="E142" i="2"/>
  <c r="D142" i="2"/>
  <c r="C142" i="2"/>
  <c r="U141" i="2"/>
  <c r="V141" i="2" s="1"/>
  <c r="E141" i="2"/>
  <c r="D141" i="2"/>
  <c r="C141" i="2"/>
  <c r="U140" i="2"/>
  <c r="E140" i="2"/>
  <c r="D140" i="2"/>
  <c r="C140" i="2"/>
  <c r="U139" i="2"/>
  <c r="E139" i="2"/>
  <c r="D139" i="2"/>
  <c r="C139" i="2"/>
  <c r="U138" i="2"/>
  <c r="E138" i="2"/>
  <c r="D138" i="2"/>
  <c r="C138" i="2"/>
  <c r="U137" i="2"/>
  <c r="V137" i="2" s="1"/>
  <c r="E137" i="2"/>
  <c r="D137" i="2"/>
  <c r="C137" i="2"/>
  <c r="U136" i="2"/>
  <c r="E136" i="2"/>
  <c r="D136" i="2"/>
  <c r="C136" i="2"/>
  <c r="U135" i="2"/>
  <c r="E135" i="2"/>
  <c r="D135" i="2"/>
  <c r="C135" i="2"/>
  <c r="U134" i="2"/>
  <c r="E134" i="2"/>
  <c r="D134" i="2"/>
  <c r="C134" i="2"/>
  <c r="U133" i="2"/>
  <c r="W133" i="2" s="1"/>
  <c r="E133" i="2"/>
  <c r="D133" i="2"/>
  <c r="C133" i="2"/>
  <c r="U132" i="2"/>
  <c r="E132" i="2"/>
  <c r="D132" i="2"/>
  <c r="C132" i="2"/>
  <c r="U131" i="2"/>
  <c r="E131" i="2"/>
  <c r="D131" i="2"/>
  <c r="C131" i="2"/>
  <c r="U130" i="2"/>
  <c r="E130" i="2"/>
  <c r="D130" i="2"/>
  <c r="C130" i="2"/>
  <c r="U129" i="2"/>
  <c r="V129" i="2" s="1"/>
  <c r="E129" i="2"/>
  <c r="D129" i="2"/>
  <c r="C129" i="2"/>
  <c r="U128" i="2"/>
  <c r="E128" i="2"/>
  <c r="D128" i="2"/>
  <c r="C128" i="2"/>
  <c r="U127" i="2"/>
  <c r="E127" i="2"/>
  <c r="D127" i="2"/>
  <c r="C127" i="2"/>
  <c r="U126" i="2"/>
  <c r="E126" i="2"/>
  <c r="D126" i="2"/>
  <c r="C126" i="2"/>
  <c r="U125" i="2"/>
  <c r="W125" i="2" s="1"/>
  <c r="E125" i="2"/>
  <c r="D125" i="2"/>
  <c r="C125" i="2"/>
  <c r="U124" i="2"/>
  <c r="E124" i="2"/>
  <c r="D124" i="2"/>
  <c r="C124" i="2"/>
  <c r="U123" i="2"/>
  <c r="E123" i="2"/>
  <c r="D123" i="2"/>
  <c r="C123" i="2"/>
  <c r="U122" i="2"/>
  <c r="E122" i="2"/>
  <c r="D122" i="2"/>
  <c r="C122" i="2"/>
  <c r="U121" i="2"/>
  <c r="X121" i="2" s="1"/>
  <c r="E121" i="2"/>
  <c r="D121" i="2"/>
  <c r="C121" i="2"/>
  <c r="U120" i="2"/>
  <c r="E120" i="2"/>
  <c r="D120" i="2"/>
  <c r="C120" i="2"/>
  <c r="U119" i="2"/>
  <c r="E119" i="2"/>
  <c r="D119" i="2"/>
  <c r="C119" i="2"/>
  <c r="U118" i="2"/>
  <c r="E118" i="2"/>
  <c r="D118" i="2"/>
  <c r="C118" i="2"/>
  <c r="U117" i="2"/>
  <c r="W117" i="2" s="1"/>
  <c r="E117" i="2"/>
  <c r="D117" i="2"/>
  <c r="C117" i="2"/>
  <c r="U116" i="2"/>
  <c r="E116" i="2"/>
  <c r="D116" i="2"/>
  <c r="C116" i="2"/>
  <c r="U115" i="2"/>
  <c r="E115" i="2"/>
  <c r="D115" i="2"/>
  <c r="C115" i="2"/>
  <c r="U114" i="2"/>
  <c r="E114" i="2"/>
  <c r="D114" i="2"/>
  <c r="C114" i="2"/>
  <c r="U113" i="2"/>
  <c r="X113" i="2" s="1"/>
  <c r="E113" i="2"/>
  <c r="D113" i="2"/>
  <c r="C113" i="2"/>
  <c r="U112" i="2"/>
  <c r="E112" i="2"/>
  <c r="D112" i="2"/>
  <c r="C112" i="2"/>
  <c r="U111" i="2"/>
  <c r="E111" i="2"/>
  <c r="D111" i="2"/>
  <c r="C111" i="2"/>
  <c r="U110" i="2"/>
  <c r="E110" i="2"/>
  <c r="D110" i="2"/>
  <c r="C110" i="2"/>
  <c r="U109" i="2"/>
  <c r="W109" i="2" s="1"/>
  <c r="E109" i="2"/>
  <c r="D109" i="2"/>
  <c r="C109" i="2"/>
  <c r="U108" i="2"/>
  <c r="E108" i="2"/>
  <c r="D108" i="2"/>
  <c r="C108" i="2"/>
  <c r="U107" i="2"/>
  <c r="E107" i="2"/>
  <c r="D107" i="2"/>
  <c r="C107" i="2"/>
  <c r="U106" i="2"/>
  <c r="E106" i="2"/>
  <c r="D106" i="2"/>
  <c r="C106" i="2"/>
  <c r="U105" i="2"/>
  <c r="X105" i="2" s="1"/>
  <c r="E105" i="2"/>
  <c r="D105" i="2"/>
  <c r="C105" i="2"/>
  <c r="U104" i="2"/>
  <c r="E104" i="2"/>
  <c r="D104" i="2"/>
  <c r="C104" i="2"/>
  <c r="U103" i="2"/>
  <c r="E103" i="2"/>
  <c r="D103" i="2"/>
  <c r="C103" i="2"/>
  <c r="U102" i="2"/>
  <c r="E102" i="2"/>
  <c r="D102" i="2"/>
  <c r="C102" i="2"/>
  <c r="U101" i="2"/>
  <c r="W101" i="2" s="1"/>
  <c r="E101" i="2"/>
  <c r="D101" i="2"/>
  <c r="C101" i="2"/>
  <c r="U100" i="2"/>
  <c r="E100" i="2"/>
  <c r="D100" i="2"/>
  <c r="C100" i="2"/>
  <c r="U99" i="2"/>
  <c r="E99" i="2"/>
  <c r="D99" i="2"/>
  <c r="C99" i="2"/>
  <c r="U98" i="2"/>
  <c r="E98" i="2"/>
  <c r="D98" i="2"/>
  <c r="C98" i="2"/>
  <c r="U97" i="2"/>
  <c r="V97" i="2" s="1"/>
  <c r="E97" i="2"/>
  <c r="D97" i="2"/>
  <c r="C97" i="2"/>
  <c r="U96" i="2"/>
  <c r="E96" i="2"/>
  <c r="D96" i="2"/>
  <c r="C96" i="2"/>
  <c r="U95" i="2"/>
  <c r="E95" i="2"/>
  <c r="D95" i="2"/>
  <c r="C95" i="2"/>
  <c r="U94" i="2"/>
  <c r="E94" i="2"/>
  <c r="D94" i="2"/>
  <c r="C94" i="2"/>
  <c r="U93" i="2"/>
  <c r="W93" i="2" s="1"/>
  <c r="E93" i="2"/>
  <c r="D93" i="2"/>
  <c r="C93" i="2"/>
  <c r="U92" i="2"/>
  <c r="E92" i="2"/>
  <c r="D92" i="2"/>
  <c r="C92" i="2"/>
  <c r="U91" i="2"/>
  <c r="E91" i="2"/>
  <c r="D91" i="2"/>
  <c r="C91" i="2"/>
  <c r="U90" i="2"/>
  <c r="E90" i="2"/>
  <c r="D90" i="2"/>
  <c r="C90" i="2"/>
  <c r="U89" i="2"/>
  <c r="X89" i="2" s="1"/>
  <c r="E89" i="2"/>
  <c r="D89" i="2"/>
  <c r="C89" i="2"/>
  <c r="U88" i="2"/>
  <c r="E88" i="2"/>
  <c r="D88" i="2"/>
  <c r="C88" i="2"/>
  <c r="U87" i="2"/>
  <c r="E87" i="2"/>
  <c r="D87" i="2"/>
  <c r="C87" i="2"/>
  <c r="U86" i="2"/>
  <c r="E86" i="2"/>
  <c r="D86" i="2"/>
  <c r="C86" i="2"/>
  <c r="U85" i="2"/>
  <c r="W85" i="2" s="1"/>
  <c r="E85" i="2"/>
  <c r="D85" i="2"/>
  <c r="C85" i="2"/>
  <c r="U84" i="2"/>
  <c r="E84" i="2"/>
  <c r="D84" i="2"/>
  <c r="C84" i="2"/>
  <c r="U83" i="2"/>
  <c r="E83" i="2"/>
  <c r="D83" i="2"/>
  <c r="C83" i="2"/>
  <c r="U82" i="2"/>
  <c r="E82" i="2"/>
  <c r="D82" i="2"/>
  <c r="C82" i="2"/>
  <c r="U81" i="2"/>
  <c r="X81" i="2" s="1"/>
  <c r="E81" i="2"/>
  <c r="D81" i="2"/>
  <c r="C81" i="2"/>
  <c r="U80" i="2"/>
  <c r="E80" i="2"/>
  <c r="D80" i="2"/>
  <c r="C80" i="2"/>
  <c r="U79" i="2"/>
  <c r="E79" i="2"/>
  <c r="D79" i="2"/>
  <c r="C79" i="2"/>
  <c r="U78" i="2"/>
  <c r="E78" i="2"/>
  <c r="D78" i="2"/>
  <c r="C78" i="2"/>
  <c r="U77" i="2"/>
  <c r="W77" i="2" s="1"/>
  <c r="E77" i="2"/>
  <c r="D77" i="2"/>
  <c r="C77" i="2"/>
  <c r="U76" i="2"/>
  <c r="E76" i="2"/>
  <c r="D76" i="2"/>
  <c r="C76" i="2"/>
  <c r="U75" i="2"/>
  <c r="E75" i="2"/>
  <c r="D75" i="2"/>
  <c r="C75" i="2"/>
  <c r="U74" i="2"/>
  <c r="E74" i="2"/>
  <c r="D74" i="2"/>
  <c r="C74" i="2"/>
  <c r="U73" i="2"/>
  <c r="X73" i="2" s="1"/>
  <c r="E73" i="2"/>
  <c r="D73" i="2"/>
  <c r="C73" i="2"/>
  <c r="U72" i="2"/>
  <c r="E72" i="2"/>
  <c r="D72" i="2"/>
  <c r="C72" i="2"/>
  <c r="U71" i="2"/>
  <c r="E71" i="2"/>
  <c r="D71" i="2"/>
  <c r="C71" i="2"/>
  <c r="U70" i="2"/>
  <c r="E70" i="2"/>
  <c r="D70" i="2"/>
  <c r="C70" i="2"/>
  <c r="U69" i="2"/>
  <c r="W69" i="2" s="1"/>
  <c r="E69" i="2"/>
  <c r="D69" i="2"/>
  <c r="C69" i="2"/>
  <c r="U68" i="2"/>
  <c r="E68" i="2"/>
  <c r="D68" i="2"/>
  <c r="C68" i="2"/>
  <c r="U67" i="2"/>
  <c r="E67" i="2"/>
  <c r="D67" i="2"/>
  <c r="C67" i="2"/>
  <c r="U66" i="2"/>
  <c r="E66" i="2"/>
  <c r="D66" i="2"/>
  <c r="C66" i="2"/>
  <c r="U65" i="2"/>
  <c r="V65" i="2" s="1"/>
  <c r="E65" i="2"/>
  <c r="D65" i="2"/>
  <c r="C65" i="2"/>
  <c r="U64" i="2"/>
  <c r="E64" i="2"/>
  <c r="D64" i="2"/>
  <c r="C64" i="2"/>
  <c r="U63" i="2"/>
  <c r="E63" i="2"/>
  <c r="D63" i="2"/>
  <c r="C63" i="2"/>
  <c r="U62" i="2"/>
  <c r="E62" i="2"/>
  <c r="D62" i="2"/>
  <c r="C62" i="2"/>
  <c r="U61" i="2"/>
  <c r="W61" i="2" s="1"/>
  <c r="E61" i="2"/>
  <c r="D61" i="2"/>
  <c r="C61" i="2"/>
  <c r="U60" i="2"/>
  <c r="E60" i="2"/>
  <c r="D60" i="2"/>
  <c r="C60" i="2"/>
  <c r="U59" i="2"/>
  <c r="E59" i="2"/>
  <c r="D59" i="2"/>
  <c r="C59" i="2"/>
  <c r="U58" i="2"/>
  <c r="E58" i="2"/>
  <c r="D58" i="2"/>
  <c r="C58" i="2"/>
  <c r="U57" i="2"/>
  <c r="X57" i="2" s="1"/>
  <c r="E57" i="2"/>
  <c r="D57" i="2"/>
  <c r="C57" i="2"/>
  <c r="U56" i="2"/>
  <c r="E56" i="2"/>
  <c r="D56" i="2"/>
  <c r="C56" i="2"/>
  <c r="U55" i="2"/>
  <c r="E55" i="2"/>
  <c r="D55" i="2"/>
  <c r="C55" i="2"/>
  <c r="U54" i="2"/>
  <c r="E54" i="2"/>
  <c r="D54" i="2"/>
  <c r="C54" i="2"/>
  <c r="U53" i="2"/>
  <c r="W53" i="2" s="1"/>
  <c r="E53" i="2"/>
  <c r="D53" i="2"/>
  <c r="C53" i="2"/>
  <c r="U52" i="2"/>
  <c r="E52" i="2"/>
  <c r="D52" i="2"/>
  <c r="C52" i="2"/>
  <c r="U51" i="2"/>
  <c r="E51" i="2"/>
  <c r="D51" i="2"/>
  <c r="C51" i="2"/>
  <c r="U50" i="2"/>
  <c r="E50" i="2"/>
  <c r="D50" i="2"/>
  <c r="C50" i="2"/>
  <c r="U49" i="2"/>
  <c r="X49" i="2" s="1"/>
  <c r="E49" i="2"/>
  <c r="D49" i="2"/>
  <c r="C49" i="2"/>
  <c r="U48" i="2"/>
  <c r="E48" i="2"/>
  <c r="D48" i="2"/>
  <c r="C48" i="2"/>
  <c r="U47" i="2"/>
  <c r="E47" i="2"/>
  <c r="D47" i="2"/>
  <c r="C47" i="2"/>
  <c r="U46" i="2"/>
  <c r="E46" i="2"/>
  <c r="D46" i="2"/>
  <c r="C46" i="2"/>
  <c r="U45" i="2"/>
  <c r="W45" i="2" s="1"/>
  <c r="E45" i="2"/>
  <c r="D45" i="2"/>
  <c r="C45" i="2"/>
  <c r="U44" i="2"/>
  <c r="E44" i="2"/>
  <c r="D44" i="2"/>
  <c r="C44" i="2"/>
  <c r="U43" i="2"/>
  <c r="E43" i="2"/>
  <c r="D43" i="2"/>
  <c r="C43" i="2"/>
  <c r="U42" i="2"/>
  <c r="E42" i="2"/>
  <c r="D42" i="2"/>
  <c r="C42" i="2"/>
  <c r="U41" i="2"/>
  <c r="X41" i="2" s="1"/>
  <c r="E41" i="2"/>
  <c r="D41" i="2"/>
  <c r="C41" i="2"/>
  <c r="U40" i="2"/>
  <c r="E40" i="2"/>
  <c r="D40" i="2"/>
  <c r="C40" i="2"/>
  <c r="U39" i="2"/>
  <c r="E39" i="2"/>
  <c r="D39" i="2"/>
  <c r="C39" i="2"/>
  <c r="U38" i="2"/>
  <c r="E38" i="2"/>
  <c r="D38" i="2"/>
  <c r="C38" i="2"/>
  <c r="U37" i="2"/>
  <c r="W37" i="2" s="1"/>
  <c r="E37" i="2"/>
  <c r="D37" i="2"/>
  <c r="C37" i="2"/>
  <c r="U36" i="2"/>
  <c r="E36" i="2"/>
  <c r="D36" i="2"/>
  <c r="C36" i="2"/>
  <c r="U35" i="2"/>
  <c r="E35" i="2"/>
  <c r="D35" i="2"/>
  <c r="C35" i="2"/>
  <c r="U34" i="2"/>
  <c r="E34" i="2"/>
  <c r="D34" i="2"/>
  <c r="C34" i="2"/>
  <c r="U33" i="2"/>
  <c r="V33" i="2" s="1"/>
  <c r="E33" i="2"/>
  <c r="D33" i="2"/>
  <c r="C33" i="2"/>
  <c r="U32" i="2"/>
  <c r="E32" i="2"/>
  <c r="D32" i="2"/>
  <c r="C32" i="2"/>
  <c r="U31" i="2"/>
  <c r="E31" i="2"/>
  <c r="D31" i="2"/>
  <c r="C31" i="2"/>
  <c r="U30" i="2"/>
  <c r="E30" i="2"/>
  <c r="D30" i="2"/>
  <c r="C30" i="2"/>
  <c r="U29" i="2"/>
  <c r="W29" i="2" s="1"/>
  <c r="E29" i="2"/>
  <c r="D29" i="2"/>
  <c r="C29" i="2"/>
  <c r="U28" i="2"/>
  <c r="E28" i="2"/>
  <c r="D28" i="2"/>
  <c r="C28" i="2"/>
  <c r="U27" i="2"/>
  <c r="E27" i="2"/>
  <c r="D27" i="2"/>
  <c r="C27" i="2"/>
  <c r="U26" i="2"/>
  <c r="E26" i="2"/>
  <c r="D26" i="2"/>
  <c r="C26" i="2"/>
  <c r="U25" i="2"/>
  <c r="X25" i="2" s="1"/>
  <c r="E25" i="2"/>
  <c r="D25" i="2"/>
  <c r="C25" i="2"/>
  <c r="U24" i="2"/>
  <c r="E24" i="2"/>
  <c r="D24" i="2"/>
  <c r="C24" i="2"/>
  <c r="U23" i="2"/>
  <c r="E23" i="2"/>
  <c r="D23" i="2"/>
  <c r="C23" i="2"/>
  <c r="U22" i="2"/>
  <c r="E22" i="2"/>
  <c r="D22" i="2"/>
  <c r="C22" i="2"/>
  <c r="U21" i="2"/>
  <c r="W21" i="2" s="1"/>
  <c r="E21" i="2"/>
  <c r="D21" i="2"/>
  <c r="C21" i="2"/>
  <c r="U20" i="2"/>
  <c r="E20" i="2"/>
  <c r="D20" i="2"/>
  <c r="C20" i="2"/>
  <c r="U19" i="2"/>
  <c r="E19" i="2"/>
  <c r="D19" i="2"/>
  <c r="C19" i="2"/>
  <c r="U18" i="2"/>
  <c r="E18" i="2"/>
  <c r="D18" i="2"/>
  <c r="C18" i="2"/>
  <c r="U17" i="2"/>
  <c r="X17" i="2" s="1"/>
  <c r="E17" i="2"/>
  <c r="D17" i="2"/>
  <c r="C17" i="2"/>
  <c r="U16" i="2"/>
  <c r="E16" i="2"/>
  <c r="D16" i="2"/>
  <c r="C16" i="2"/>
  <c r="U15" i="2"/>
  <c r="E15" i="2"/>
  <c r="D15" i="2"/>
  <c r="C15" i="2"/>
  <c r="U14" i="2"/>
  <c r="E14" i="2"/>
  <c r="D14" i="2"/>
  <c r="C14" i="2"/>
  <c r="U13" i="2"/>
  <c r="W13" i="2" s="1"/>
  <c r="E13" i="2"/>
  <c r="D13" i="2"/>
  <c r="C13" i="2"/>
  <c r="U12" i="2"/>
  <c r="E12" i="2"/>
  <c r="D12" i="2"/>
  <c r="C12" i="2"/>
  <c r="U11" i="2"/>
  <c r="E11" i="2"/>
  <c r="D11" i="2"/>
  <c r="C11" i="2"/>
  <c r="U10" i="2"/>
  <c r="E10" i="2"/>
  <c r="D10" i="2"/>
  <c r="C10" i="2"/>
  <c r="U9" i="2"/>
  <c r="X9" i="2" s="1"/>
  <c r="E9" i="2"/>
  <c r="D9" i="2"/>
  <c r="C9" i="2"/>
  <c r="U8" i="2"/>
  <c r="E8" i="2"/>
  <c r="D8" i="2"/>
  <c r="C8" i="2"/>
  <c r="U7" i="2"/>
  <c r="E7" i="2"/>
  <c r="D7" i="2"/>
  <c r="C7" i="2"/>
  <c r="U6" i="2"/>
  <c r="E6" i="2"/>
  <c r="D6" i="2"/>
  <c r="C6" i="2"/>
  <c r="U5" i="2"/>
  <c r="W5" i="2" s="1"/>
  <c r="E5" i="2"/>
  <c r="D5" i="2"/>
  <c r="C5" i="2"/>
  <c r="U4" i="2"/>
  <c r="E4" i="2"/>
  <c r="D4" i="2"/>
  <c r="C4" i="2"/>
  <c r="U3" i="2"/>
  <c r="E3" i="2"/>
  <c r="D3" i="2"/>
  <c r="C3" i="2"/>
  <c r="U2" i="2"/>
  <c r="E2" i="2"/>
  <c r="D2" i="2"/>
  <c r="C2" i="2"/>
  <c r="O398" i="3"/>
  <c r="O394" i="3"/>
  <c r="O390" i="3"/>
  <c r="O386" i="3"/>
  <c r="O382" i="3"/>
  <c r="O378" i="3"/>
  <c r="O374" i="3"/>
  <c r="O370" i="3"/>
  <c r="O366" i="3"/>
  <c r="O362" i="3"/>
  <c r="O358" i="3"/>
  <c r="O354" i="3"/>
  <c r="O350" i="3"/>
  <c r="O346" i="3"/>
  <c r="O342" i="3"/>
  <c r="O338" i="3"/>
  <c r="O334" i="3"/>
  <c r="O330" i="3"/>
  <c r="O326" i="3"/>
  <c r="O322" i="3"/>
  <c r="O318" i="3"/>
  <c r="O314" i="3"/>
  <c r="O310" i="3"/>
  <c r="O306" i="3"/>
  <c r="O302" i="3"/>
  <c r="O298" i="3"/>
  <c r="O294" i="3"/>
  <c r="O290" i="3"/>
  <c r="O286" i="3"/>
  <c r="O282" i="3"/>
  <c r="O278" i="3"/>
  <c r="O274" i="3"/>
  <c r="O270" i="3"/>
  <c r="O266" i="3"/>
  <c r="O262" i="3"/>
  <c r="O258" i="3"/>
  <c r="O254" i="3"/>
  <c r="O250" i="3"/>
  <c r="O246" i="3"/>
  <c r="O242" i="3"/>
  <c r="O238" i="3"/>
  <c r="O234" i="3"/>
  <c r="O230" i="3"/>
  <c r="O226" i="3"/>
  <c r="O222" i="3"/>
  <c r="O218" i="3"/>
  <c r="O214" i="3"/>
  <c r="O210" i="3"/>
  <c r="O206" i="3"/>
  <c r="O202" i="3"/>
  <c r="O198" i="3"/>
  <c r="O194" i="3"/>
  <c r="O190" i="3"/>
  <c r="O186" i="3"/>
  <c r="O182" i="3"/>
  <c r="O178" i="3"/>
  <c r="O174" i="3"/>
  <c r="O170" i="3"/>
  <c r="O166" i="3"/>
  <c r="O162" i="3"/>
  <c r="O158" i="3"/>
  <c r="O154" i="3"/>
  <c r="O150" i="3"/>
  <c r="O146" i="3"/>
  <c r="O142" i="3"/>
  <c r="O138" i="3"/>
  <c r="O134" i="3"/>
  <c r="O130" i="3"/>
  <c r="O126" i="3"/>
  <c r="O122" i="3"/>
  <c r="O118" i="3"/>
  <c r="O114" i="3"/>
  <c r="O110" i="3"/>
  <c r="O106" i="3"/>
  <c r="O102" i="3"/>
  <c r="O98" i="3"/>
  <c r="O94" i="3"/>
  <c r="O90" i="3"/>
  <c r="O86" i="3"/>
  <c r="O82" i="3"/>
  <c r="O78" i="3"/>
  <c r="O74" i="3"/>
  <c r="O70" i="3"/>
  <c r="O66" i="3"/>
  <c r="O62" i="3"/>
  <c r="O58" i="3"/>
  <c r="O54" i="3"/>
  <c r="O50" i="3"/>
  <c r="O46" i="3"/>
  <c r="O42" i="3"/>
  <c r="O38" i="3"/>
  <c r="O37" i="3"/>
  <c r="O33" i="3"/>
  <c r="O29" i="3"/>
  <c r="O25" i="3"/>
  <c r="O21" i="3"/>
  <c r="O17" i="3"/>
  <c r="O13" i="3"/>
  <c r="O9" i="3"/>
  <c r="O5" i="3"/>
  <c r="O367" i="3"/>
  <c r="O347" i="3"/>
  <c r="O335" i="3"/>
  <c r="O323" i="3"/>
  <c r="O311" i="3"/>
  <c r="O307" i="3"/>
  <c r="O295" i="3"/>
  <c r="O283" i="3"/>
  <c r="O279" i="3"/>
  <c r="O267" i="3"/>
  <c r="O259" i="3"/>
  <c r="O255" i="3"/>
  <c r="O247" i="3"/>
  <c r="O243" i="3"/>
  <c r="O235" i="3"/>
  <c r="O227" i="3"/>
  <c r="O219" i="3"/>
  <c r="O215" i="3"/>
  <c r="O207" i="3"/>
  <c r="O199" i="3"/>
  <c r="O195" i="3"/>
  <c r="O187" i="3"/>
  <c r="O179" i="3"/>
  <c r="O175" i="3"/>
  <c r="O167" i="3"/>
  <c r="O159" i="3"/>
  <c r="O151" i="3"/>
  <c r="O397" i="3"/>
  <c r="O393" i="3"/>
  <c r="O389" i="3"/>
  <c r="O385" i="3"/>
  <c r="O381" i="3"/>
  <c r="O377" i="3"/>
  <c r="O373" i="3"/>
  <c r="O369" i="3"/>
  <c r="O365" i="3"/>
  <c r="O361" i="3"/>
  <c r="O357" i="3"/>
  <c r="O353" i="3"/>
  <c r="O349" i="3"/>
  <c r="O345" i="3"/>
  <c r="O341" i="3"/>
  <c r="O337" i="3"/>
  <c r="O333" i="3"/>
  <c r="O329" i="3"/>
  <c r="O325" i="3"/>
  <c r="O321" i="3"/>
  <c r="O317" i="3"/>
  <c r="O313" i="3"/>
  <c r="O309" i="3"/>
  <c r="O305" i="3"/>
  <c r="O301" i="3"/>
  <c r="O297" i="3"/>
  <c r="O293" i="3"/>
  <c r="O289" i="3"/>
  <c r="O285" i="3"/>
  <c r="O281" i="3"/>
  <c r="O277" i="3"/>
  <c r="O273" i="3"/>
  <c r="O269" i="3"/>
  <c r="O265" i="3"/>
  <c r="O261" i="3"/>
  <c r="O257" i="3"/>
  <c r="O253" i="3"/>
  <c r="O249" i="3"/>
  <c r="O245" i="3"/>
  <c r="O241" i="3"/>
  <c r="O237" i="3"/>
  <c r="O233" i="3"/>
  <c r="O229" i="3"/>
  <c r="O225" i="3"/>
  <c r="O221" i="3"/>
  <c r="O217" i="3"/>
  <c r="O213" i="3"/>
  <c r="O209" i="3"/>
  <c r="O205" i="3"/>
  <c r="O201" i="3"/>
  <c r="O197" i="3"/>
  <c r="O193" i="3"/>
  <c r="O189" i="3"/>
  <c r="O185" i="3"/>
  <c r="O181" i="3"/>
  <c r="O177" i="3"/>
  <c r="O173" i="3"/>
  <c r="O169" i="3"/>
  <c r="O165" i="3"/>
  <c r="O161" i="3"/>
  <c r="O157" i="3"/>
  <c r="O153" i="3"/>
  <c r="O149" i="3"/>
  <c r="O145" i="3"/>
  <c r="O141" i="3"/>
  <c r="O137" i="3"/>
  <c r="O133" i="3"/>
  <c r="O129" i="3"/>
  <c r="O125" i="3"/>
  <c r="O121" i="3"/>
  <c r="O117" i="3"/>
  <c r="O113" i="3"/>
  <c r="O109" i="3"/>
  <c r="O105" i="3"/>
  <c r="O101" i="3"/>
  <c r="O97" i="3"/>
  <c r="O93" i="3"/>
  <c r="O89" i="3"/>
  <c r="O85" i="3"/>
  <c r="O81" i="3"/>
  <c r="O77" i="3"/>
  <c r="O73" i="3"/>
  <c r="O69" i="3"/>
  <c r="O65" i="3"/>
  <c r="O61" i="3"/>
  <c r="O57" i="3"/>
  <c r="O53" i="3"/>
  <c r="O49" i="3"/>
  <c r="O45" i="3"/>
  <c r="O41" i="3"/>
  <c r="O36" i="3"/>
  <c r="O32" i="3"/>
  <c r="O28" i="3"/>
  <c r="O24" i="3"/>
  <c r="O20" i="3"/>
  <c r="O16" i="3"/>
  <c r="O12" i="3"/>
  <c r="O8" i="3"/>
  <c r="O4" i="3"/>
  <c r="O399" i="3"/>
  <c r="O391" i="3"/>
  <c r="O383" i="3"/>
  <c r="O375" i="3"/>
  <c r="O363" i="3"/>
  <c r="O355" i="3"/>
  <c r="O343" i="3"/>
  <c r="O331" i="3"/>
  <c r="O315" i="3"/>
  <c r="O303" i="3"/>
  <c r="O287" i="3"/>
  <c r="O271" i="3"/>
  <c r="O263" i="3"/>
  <c r="O251" i="3"/>
  <c r="O239" i="3"/>
  <c r="O231" i="3"/>
  <c r="O223" i="3"/>
  <c r="O211" i="3"/>
  <c r="O203" i="3"/>
  <c r="O191" i="3"/>
  <c r="O183" i="3"/>
  <c r="O171" i="3"/>
  <c r="O163" i="3"/>
  <c r="O155" i="3"/>
  <c r="O143" i="3"/>
  <c r="O400" i="3"/>
  <c r="O396" i="3"/>
  <c r="O392" i="3"/>
  <c r="O388" i="3"/>
  <c r="O384" i="3"/>
  <c r="O380" i="3"/>
  <c r="O376" i="3"/>
  <c r="O372" i="3"/>
  <c r="O368" i="3"/>
  <c r="O364" i="3"/>
  <c r="O360" i="3"/>
  <c r="O356" i="3"/>
  <c r="O352" i="3"/>
  <c r="O348" i="3"/>
  <c r="O344" i="3"/>
  <c r="O340" i="3"/>
  <c r="O336" i="3"/>
  <c r="O332" i="3"/>
  <c r="O328" i="3"/>
  <c r="O324" i="3"/>
  <c r="O320" i="3"/>
  <c r="O316" i="3"/>
  <c r="O312" i="3"/>
  <c r="O308" i="3"/>
  <c r="O304" i="3"/>
  <c r="O300" i="3"/>
  <c r="O296" i="3"/>
  <c r="O292" i="3"/>
  <c r="O288" i="3"/>
  <c r="O284" i="3"/>
  <c r="O280" i="3"/>
  <c r="O276" i="3"/>
  <c r="O272" i="3"/>
  <c r="O268" i="3"/>
  <c r="O264" i="3"/>
  <c r="O260" i="3"/>
  <c r="O256" i="3"/>
  <c r="O252" i="3"/>
  <c r="O248" i="3"/>
  <c r="O244" i="3"/>
  <c r="O240" i="3"/>
  <c r="O236" i="3"/>
  <c r="O232" i="3"/>
  <c r="O228" i="3"/>
  <c r="O224" i="3"/>
  <c r="O220" i="3"/>
  <c r="O216" i="3"/>
  <c r="O212" i="3"/>
  <c r="O208" i="3"/>
  <c r="O204" i="3"/>
  <c r="O200" i="3"/>
  <c r="O196" i="3"/>
  <c r="O192" i="3"/>
  <c r="O188" i="3"/>
  <c r="O184" i="3"/>
  <c r="O180" i="3"/>
  <c r="O176" i="3"/>
  <c r="O172" i="3"/>
  <c r="O168" i="3"/>
  <c r="O164" i="3"/>
  <c r="O160" i="3"/>
  <c r="O156" i="3"/>
  <c r="O152" i="3"/>
  <c r="O148" i="3"/>
  <c r="O144" i="3"/>
  <c r="O140" i="3"/>
  <c r="O136" i="3"/>
  <c r="O132" i="3"/>
  <c r="O128" i="3"/>
  <c r="O124" i="3"/>
  <c r="O120" i="3"/>
  <c r="O116" i="3"/>
  <c r="O112" i="3"/>
  <c r="O108" i="3"/>
  <c r="O104" i="3"/>
  <c r="O100" i="3"/>
  <c r="O96" i="3"/>
  <c r="O92" i="3"/>
  <c r="O88" i="3"/>
  <c r="O84" i="3"/>
  <c r="O80" i="3"/>
  <c r="O76" i="3"/>
  <c r="O72" i="3"/>
  <c r="O68" i="3"/>
  <c r="O64" i="3"/>
  <c r="O60" i="3"/>
  <c r="O56" i="3"/>
  <c r="O52" i="3"/>
  <c r="O48" i="3"/>
  <c r="O44" i="3"/>
  <c r="O40" i="3"/>
  <c r="O35" i="3"/>
  <c r="O31" i="3"/>
  <c r="O27" i="3"/>
  <c r="O23" i="3"/>
  <c r="O19" i="3"/>
  <c r="O15" i="3"/>
  <c r="O11" i="3"/>
  <c r="O7" i="3"/>
  <c r="O3" i="3"/>
  <c r="O395" i="3"/>
  <c r="O387" i="3"/>
  <c r="O379" i="3"/>
  <c r="O371" i="3"/>
  <c r="O359" i="3"/>
  <c r="O351" i="3"/>
  <c r="O339" i="3"/>
  <c r="O327" i="3"/>
  <c r="O319" i="3"/>
  <c r="O299" i="3"/>
  <c r="O291" i="3"/>
  <c r="O275" i="3"/>
  <c r="O147" i="3"/>
  <c r="O127" i="3"/>
  <c r="O111" i="3"/>
  <c r="O95" i="3"/>
  <c r="O79" i="3"/>
  <c r="O63" i="3"/>
  <c r="O47" i="3"/>
  <c r="O26" i="3"/>
  <c r="O10" i="3"/>
  <c r="O115" i="3"/>
  <c r="O83" i="3"/>
  <c r="O51" i="3"/>
  <c r="O14" i="3"/>
  <c r="O139" i="3"/>
  <c r="O123" i="3"/>
  <c r="O107" i="3"/>
  <c r="O91" i="3"/>
  <c r="O75" i="3"/>
  <c r="O59" i="3"/>
  <c r="O43" i="3"/>
  <c r="O22" i="3"/>
  <c r="O6" i="3"/>
  <c r="O99" i="3"/>
  <c r="O67" i="3"/>
  <c r="O30" i="3"/>
  <c r="O135" i="3"/>
  <c r="O119" i="3"/>
  <c r="O103" i="3"/>
  <c r="O87" i="3"/>
  <c r="O71" i="3"/>
  <c r="O55" i="3"/>
  <c r="O39" i="3"/>
  <c r="O34" i="3"/>
  <c r="O18" i="3"/>
  <c r="O131" i="3"/>
  <c r="W2" i="2" l="1"/>
  <c r="W4" i="2"/>
  <c r="W6" i="2"/>
  <c r="W7" i="2"/>
  <c r="W10" i="2"/>
  <c r="W12" i="2"/>
  <c r="W14" i="2"/>
  <c r="W15" i="2"/>
  <c r="W18" i="2"/>
  <c r="W20" i="2"/>
  <c r="W22" i="2"/>
  <c r="W23" i="2"/>
  <c r="W26" i="2"/>
  <c r="W28" i="2"/>
  <c r="W30" i="2"/>
  <c r="W31" i="2"/>
  <c r="W34" i="2"/>
  <c r="W36" i="2"/>
  <c r="W38" i="2"/>
  <c r="W39" i="2"/>
  <c r="W42" i="2"/>
  <c r="W44" i="2"/>
  <c r="W46" i="2"/>
  <c r="W47" i="2"/>
  <c r="W50" i="2"/>
  <c r="W52" i="2"/>
  <c r="W54" i="2"/>
  <c r="W55" i="2"/>
  <c r="W58" i="2"/>
  <c r="W60" i="2"/>
  <c r="W62" i="2"/>
  <c r="W63" i="2"/>
  <c r="W66" i="2"/>
  <c r="W68" i="2"/>
  <c r="W70" i="2"/>
  <c r="W71" i="2"/>
  <c r="W74" i="2"/>
  <c r="W76" i="2"/>
  <c r="W78" i="2"/>
  <c r="W79" i="2"/>
  <c r="W82" i="2"/>
  <c r="W84" i="2"/>
  <c r="W86" i="2"/>
  <c r="W87" i="2"/>
  <c r="W90" i="2"/>
  <c r="W92" i="2"/>
  <c r="W94" i="2"/>
  <c r="W95" i="2"/>
  <c r="W99" i="2"/>
  <c r="W100" i="2"/>
  <c r="W103" i="2"/>
  <c r="W107" i="2"/>
  <c r="W108" i="2"/>
  <c r="W111" i="2"/>
  <c r="W115" i="2"/>
  <c r="W116" i="2"/>
  <c r="W119" i="2"/>
  <c r="W123" i="2"/>
  <c r="W124" i="2"/>
  <c r="W127" i="2"/>
  <c r="W131" i="2"/>
  <c r="W132" i="2"/>
  <c r="W135" i="2"/>
  <c r="W139" i="2"/>
  <c r="W140" i="2"/>
  <c r="W143" i="2"/>
  <c r="W147" i="2"/>
  <c r="W148" i="2"/>
  <c r="W151" i="2"/>
  <c r="W155" i="2"/>
  <c r="W156" i="2"/>
  <c r="W159" i="2"/>
  <c r="W163" i="2"/>
  <c r="W164" i="2"/>
  <c r="W167" i="2"/>
  <c r="W171" i="2"/>
  <c r="W172" i="2"/>
  <c r="W175" i="2"/>
  <c r="W179" i="2"/>
  <c r="W180" i="2"/>
  <c r="W183" i="2"/>
  <c r="W187" i="2"/>
  <c r="W188" i="2"/>
  <c r="W191" i="2"/>
  <c r="W195" i="2"/>
  <c r="W196" i="2"/>
  <c r="W199" i="2"/>
  <c r="W203" i="2"/>
  <c r="W204" i="2"/>
  <c r="W207" i="2"/>
  <c r="W211" i="2"/>
  <c r="W212" i="2"/>
  <c r="W215" i="2"/>
  <c r="W219" i="2"/>
  <c r="W220" i="2"/>
  <c r="W223" i="2"/>
  <c r="W227" i="2"/>
  <c r="W228" i="2"/>
  <c r="W231" i="2"/>
  <c r="W235" i="2"/>
  <c r="W236" i="2"/>
  <c r="W239" i="2"/>
  <c r="W243" i="2"/>
  <c r="W244" i="2"/>
  <c r="W247" i="2"/>
  <c r="W251" i="2"/>
  <c r="W252" i="2"/>
  <c r="W255" i="2"/>
  <c r="W259" i="2"/>
  <c r="W260" i="2"/>
  <c r="W263" i="2"/>
  <c r="W267" i="2"/>
  <c r="W268" i="2"/>
  <c r="W271" i="2"/>
  <c r="W275" i="2"/>
  <c r="W276" i="2"/>
  <c r="W279" i="2"/>
  <c r="W283" i="2"/>
  <c r="W284" i="2"/>
  <c r="W291" i="2"/>
  <c r="W295" i="2"/>
  <c r="W296" i="2"/>
  <c r="W300" i="2"/>
  <c r="W307" i="2"/>
  <c r="W311" i="2"/>
  <c r="W312" i="2"/>
  <c r="W316" i="2"/>
  <c r="W323" i="2"/>
  <c r="W327" i="2"/>
  <c r="W339" i="2"/>
  <c r="W495" i="2"/>
  <c r="W499" i="2"/>
  <c r="W500" i="2"/>
  <c r="W496" i="2"/>
  <c r="W492" i="2"/>
  <c r="W488" i="2"/>
  <c r="W484" i="2"/>
  <c r="W480" i="2"/>
  <c r="W476" i="2"/>
  <c r="W472" i="2"/>
  <c r="W468" i="2"/>
  <c r="W464" i="2"/>
  <c r="W460" i="2"/>
  <c r="W456" i="2"/>
  <c r="W452" i="2"/>
  <c r="W448" i="2"/>
  <c r="W444" i="2"/>
  <c r="W440" i="2"/>
  <c r="W436" i="2"/>
  <c r="W432" i="2"/>
  <c r="W428" i="2"/>
  <c r="W424" i="2"/>
  <c r="W420" i="2"/>
  <c r="W416" i="2"/>
  <c r="W412" i="2"/>
  <c r="W408" i="2"/>
  <c r="W404" i="2"/>
  <c r="W400" i="2"/>
  <c r="W396" i="2"/>
  <c r="W392" i="2"/>
  <c r="W388" i="2"/>
  <c r="W384" i="2"/>
  <c r="W380" i="2"/>
  <c r="W376" i="2"/>
  <c r="W372" i="2"/>
  <c r="W368" i="2"/>
  <c r="W364" i="2"/>
  <c r="W360" i="2"/>
  <c r="W356" i="2"/>
  <c r="W352" i="2"/>
  <c r="W348" i="2"/>
  <c r="W344" i="2"/>
  <c r="W337" i="2"/>
  <c r="W321" i="2"/>
  <c r="W305" i="2"/>
  <c r="W289" i="2"/>
  <c r="W273" i="2"/>
  <c r="W257" i="2"/>
  <c r="W241" i="2"/>
  <c r="W225" i="2"/>
  <c r="W209" i="2"/>
  <c r="W193" i="2"/>
  <c r="W177" i="2"/>
  <c r="W161" i="2"/>
  <c r="W145" i="2"/>
  <c r="W129" i="2"/>
  <c r="W113" i="2"/>
  <c r="W97" i="2"/>
  <c r="W81" i="2"/>
  <c r="W65" i="2"/>
  <c r="W49" i="2"/>
  <c r="W33" i="2"/>
  <c r="W17" i="2"/>
  <c r="W471" i="2"/>
  <c r="W463" i="2"/>
  <c r="W439" i="2"/>
  <c r="W431" i="2"/>
  <c r="W415" i="2"/>
  <c r="W399" i="2"/>
  <c r="W351" i="2"/>
  <c r="W333" i="2"/>
  <c r="W317" i="2"/>
  <c r="W301" i="2"/>
  <c r="W285" i="2"/>
  <c r="W269" i="2"/>
  <c r="W253" i="2"/>
  <c r="W237" i="2"/>
  <c r="W221" i="2"/>
  <c r="W205" i="2"/>
  <c r="W189" i="2"/>
  <c r="W173" i="2"/>
  <c r="W157" i="2"/>
  <c r="W141" i="2"/>
  <c r="V3" i="2"/>
  <c r="W3" i="2"/>
  <c r="X8" i="2"/>
  <c r="W8" i="2"/>
  <c r="V11" i="2"/>
  <c r="W11" i="2"/>
  <c r="X16" i="2"/>
  <c r="W16" i="2"/>
  <c r="V19" i="2"/>
  <c r="W19" i="2"/>
  <c r="X24" i="2"/>
  <c r="W24" i="2"/>
  <c r="V27" i="2"/>
  <c r="W27" i="2"/>
  <c r="X32" i="2"/>
  <c r="W32" i="2"/>
  <c r="V35" i="2"/>
  <c r="W35" i="2"/>
  <c r="X40" i="2"/>
  <c r="W40" i="2"/>
  <c r="V43" i="2"/>
  <c r="W43" i="2"/>
  <c r="X48" i="2"/>
  <c r="W48" i="2"/>
  <c r="V51" i="2"/>
  <c r="W51" i="2"/>
  <c r="X56" i="2"/>
  <c r="W56" i="2"/>
  <c r="V59" i="2"/>
  <c r="W59" i="2"/>
  <c r="X64" i="2"/>
  <c r="W64" i="2"/>
  <c r="V67" i="2"/>
  <c r="W67" i="2"/>
  <c r="X72" i="2"/>
  <c r="W72" i="2"/>
  <c r="V75" i="2"/>
  <c r="W75" i="2"/>
  <c r="X80" i="2"/>
  <c r="W80" i="2"/>
  <c r="V83" i="2"/>
  <c r="W83" i="2"/>
  <c r="X88" i="2"/>
  <c r="W88" i="2"/>
  <c r="V91" i="2"/>
  <c r="W91" i="2"/>
  <c r="X96" i="2"/>
  <c r="W96" i="2"/>
  <c r="V98" i="2"/>
  <c r="W98" i="2"/>
  <c r="V102" i="2"/>
  <c r="W102" i="2"/>
  <c r="X104" i="2"/>
  <c r="W104" i="2"/>
  <c r="V106" i="2"/>
  <c r="W106" i="2"/>
  <c r="V110" i="2"/>
  <c r="W110" i="2"/>
  <c r="X112" i="2"/>
  <c r="W112" i="2"/>
  <c r="V114" i="2"/>
  <c r="W114" i="2"/>
  <c r="V118" i="2"/>
  <c r="W118" i="2"/>
  <c r="X120" i="2"/>
  <c r="W120" i="2"/>
  <c r="V122" i="2"/>
  <c r="W122" i="2"/>
  <c r="V126" i="2"/>
  <c r="W126" i="2"/>
  <c r="X128" i="2"/>
  <c r="W128" i="2"/>
  <c r="V130" i="2"/>
  <c r="W130" i="2"/>
  <c r="V134" i="2"/>
  <c r="W134" i="2"/>
  <c r="X136" i="2"/>
  <c r="W136" i="2"/>
  <c r="V138" i="2"/>
  <c r="W138" i="2"/>
  <c r="V142" i="2"/>
  <c r="W142" i="2"/>
  <c r="X144" i="2"/>
  <c r="W144" i="2"/>
  <c r="V146" i="2"/>
  <c r="W146" i="2"/>
  <c r="V150" i="2"/>
  <c r="W150" i="2"/>
  <c r="X152" i="2"/>
  <c r="W152" i="2"/>
  <c r="V154" i="2"/>
  <c r="W154" i="2"/>
  <c r="V158" i="2"/>
  <c r="W158" i="2"/>
  <c r="X160" i="2"/>
  <c r="W160" i="2"/>
  <c r="V162" i="2"/>
  <c r="W162" i="2"/>
  <c r="V166" i="2"/>
  <c r="W166" i="2"/>
  <c r="X168" i="2"/>
  <c r="W168" i="2"/>
  <c r="V170" i="2"/>
  <c r="W170" i="2"/>
  <c r="V174" i="2"/>
  <c r="W174" i="2"/>
  <c r="X176" i="2"/>
  <c r="W176" i="2"/>
  <c r="V178" i="2"/>
  <c r="W178" i="2"/>
  <c r="V182" i="2"/>
  <c r="W182" i="2"/>
  <c r="X184" i="2"/>
  <c r="W184" i="2"/>
  <c r="V186" i="2"/>
  <c r="W186" i="2"/>
  <c r="V190" i="2"/>
  <c r="W190" i="2"/>
  <c r="X192" i="2"/>
  <c r="W192" i="2"/>
  <c r="V194" i="2"/>
  <c r="W194" i="2"/>
  <c r="V198" i="2"/>
  <c r="W198" i="2"/>
  <c r="X200" i="2"/>
  <c r="W200" i="2"/>
  <c r="V202" i="2"/>
  <c r="W202" i="2"/>
  <c r="V206" i="2"/>
  <c r="W206" i="2"/>
  <c r="X208" i="2"/>
  <c r="W208" i="2"/>
  <c r="V210" i="2"/>
  <c r="W210" i="2"/>
  <c r="V214" i="2"/>
  <c r="W214" i="2"/>
  <c r="X216" i="2"/>
  <c r="W216" i="2"/>
  <c r="V218" i="2"/>
  <c r="W218" i="2"/>
  <c r="V222" i="2"/>
  <c r="W222" i="2"/>
  <c r="X224" i="2"/>
  <c r="W224" i="2"/>
  <c r="V226" i="2"/>
  <c r="W226" i="2"/>
  <c r="V230" i="2"/>
  <c r="W230" i="2"/>
  <c r="X232" i="2"/>
  <c r="W232" i="2"/>
  <c r="V234" i="2"/>
  <c r="W234" i="2"/>
  <c r="V238" i="2"/>
  <c r="W238" i="2"/>
  <c r="X240" i="2"/>
  <c r="W240" i="2"/>
  <c r="V242" i="2"/>
  <c r="W242" i="2"/>
  <c r="V246" i="2"/>
  <c r="W246" i="2"/>
  <c r="X248" i="2"/>
  <c r="W248" i="2"/>
  <c r="V250" i="2"/>
  <c r="W250" i="2"/>
  <c r="V254" i="2"/>
  <c r="W254" i="2"/>
  <c r="X256" i="2"/>
  <c r="W256" i="2"/>
  <c r="V258" i="2"/>
  <c r="W258" i="2"/>
  <c r="V262" i="2"/>
  <c r="W262" i="2"/>
  <c r="X264" i="2"/>
  <c r="W264" i="2"/>
  <c r="V266" i="2"/>
  <c r="W266" i="2"/>
  <c r="V270" i="2"/>
  <c r="W270" i="2"/>
  <c r="X272" i="2"/>
  <c r="W272" i="2"/>
  <c r="V274" i="2"/>
  <c r="W274" i="2"/>
  <c r="V278" i="2"/>
  <c r="W278" i="2"/>
  <c r="X280" i="2"/>
  <c r="W280" i="2"/>
  <c r="V282" i="2"/>
  <c r="W282" i="2"/>
  <c r="V286" i="2"/>
  <c r="W286" i="2"/>
  <c r="X287" i="2"/>
  <c r="W287" i="2"/>
  <c r="X288" i="2"/>
  <c r="W288" i="2"/>
  <c r="V290" i="2"/>
  <c r="W290" i="2"/>
  <c r="X292" i="2"/>
  <c r="W292" i="2"/>
  <c r="V294" i="2"/>
  <c r="W294" i="2"/>
  <c r="V298" i="2"/>
  <c r="W298" i="2"/>
  <c r="X299" i="2"/>
  <c r="W299" i="2"/>
  <c r="V302" i="2"/>
  <c r="W302" i="2"/>
  <c r="X303" i="2"/>
  <c r="W303" i="2"/>
  <c r="X304" i="2"/>
  <c r="W304" i="2"/>
  <c r="V306" i="2"/>
  <c r="W306" i="2"/>
  <c r="X308" i="2"/>
  <c r="W308" i="2"/>
  <c r="V310" i="2"/>
  <c r="W310" i="2"/>
  <c r="V314" i="2"/>
  <c r="W314" i="2"/>
  <c r="X315" i="2"/>
  <c r="W315" i="2"/>
  <c r="V318" i="2"/>
  <c r="W318" i="2"/>
  <c r="X319" i="2"/>
  <c r="W319" i="2"/>
  <c r="X320" i="2"/>
  <c r="W320" i="2"/>
  <c r="V322" i="2"/>
  <c r="W322" i="2"/>
  <c r="X324" i="2"/>
  <c r="W324" i="2"/>
  <c r="V326" i="2"/>
  <c r="W326" i="2"/>
  <c r="V330" i="2"/>
  <c r="W330" i="2"/>
  <c r="X331" i="2"/>
  <c r="W331" i="2"/>
  <c r="V334" i="2"/>
  <c r="W334" i="2"/>
  <c r="X335" i="2"/>
  <c r="W335" i="2"/>
  <c r="X336" i="2"/>
  <c r="W336" i="2"/>
  <c r="V338" i="2"/>
  <c r="W338" i="2"/>
  <c r="X340" i="2"/>
  <c r="W340" i="2"/>
  <c r="W498" i="2"/>
  <c r="W494" i="2"/>
  <c r="W490" i="2"/>
  <c r="W486" i="2"/>
  <c r="W482" i="2"/>
  <c r="W478" i="2"/>
  <c r="W474" i="2"/>
  <c r="W470" i="2"/>
  <c r="W466" i="2"/>
  <c r="W462" i="2"/>
  <c r="W458" i="2"/>
  <c r="W454" i="2"/>
  <c r="W450" i="2"/>
  <c r="W446" i="2"/>
  <c r="W442" i="2"/>
  <c r="W438" i="2"/>
  <c r="W434" i="2"/>
  <c r="W430" i="2"/>
  <c r="W426" i="2"/>
  <c r="W422" i="2"/>
  <c r="W418" i="2"/>
  <c r="W414" i="2"/>
  <c r="W410" i="2"/>
  <c r="W406" i="2"/>
  <c r="W402" i="2"/>
  <c r="W398" i="2"/>
  <c r="W394" i="2"/>
  <c r="W390" i="2"/>
  <c r="W386" i="2"/>
  <c r="W382" i="2"/>
  <c r="W378" i="2"/>
  <c r="W374" i="2"/>
  <c r="W370" i="2"/>
  <c r="W366" i="2"/>
  <c r="W362" i="2"/>
  <c r="W358" i="2"/>
  <c r="W354" i="2"/>
  <c r="W350" i="2"/>
  <c r="W346" i="2"/>
  <c r="W342" i="2"/>
  <c r="W329" i="2"/>
  <c r="W313" i="2"/>
  <c r="W297" i="2"/>
  <c r="W281" i="2"/>
  <c r="W265" i="2"/>
  <c r="W249" i="2"/>
  <c r="W233" i="2"/>
  <c r="W217" i="2"/>
  <c r="W201" i="2"/>
  <c r="W185" i="2"/>
  <c r="W169" i="2"/>
  <c r="W153" i="2"/>
  <c r="W137" i="2"/>
  <c r="W121" i="2"/>
  <c r="W105" i="2"/>
  <c r="W89" i="2"/>
  <c r="W73" i="2"/>
  <c r="W57" i="2"/>
  <c r="W41" i="2"/>
  <c r="W25" i="2"/>
  <c r="W9" i="2"/>
  <c r="W501" i="2"/>
  <c r="W497" i="2"/>
  <c r="W493" i="2"/>
  <c r="W489" i="2"/>
  <c r="W485" i="2"/>
  <c r="W481" i="2"/>
  <c r="W477" i="2"/>
  <c r="W473" i="2"/>
  <c r="W469" i="2"/>
  <c r="W465" i="2"/>
  <c r="W461" i="2"/>
  <c r="W457" i="2"/>
  <c r="W453" i="2"/>
  <c r="W449" i="2"/>
  <c r="W445" i="2"/>
  <c r="W441" i="2"/>
  <c r="W437" i="2"/>
  <c r="W433" i="2"/>
  <c r="W429" i="2"/>
  <c r="W425" i="2"/>
  <c r="W421" i="2"/>
  <c r="W417" i="2"/>
  <c r="W413" i="2"/>
  <c r="W409" i="2"/>
  <c r="W405" i="2"/>
  <c r="W401" i="2"/>
  <c r="W397" i="2"/>
  <c r="W393" i="2"/>
  <c r="W389" i="2"/>
  <c r="W385" i="2"/>
  <c r="W381" i="2"/>
  <c r="W377" i="2"/>
  <c r="W373" i="2"/>
  <c r="W369" i="2"/>
  <c r="W365" i="2"/>
  <c r="W361" i="2"/>
  <c r="W357" i="2"/>
  <c r="W353" i="2"/>
  <c r="W349" i="2"/>
  <c r="W345" i="2"/>
  <c r="W341" i="2"/>
  <c r="W325" i="2"/>
  <c r="W309" i="2"/>
  <c r="W293" i="2"/>
  <c r="W277" i="2"/>
  <c r="W261" i="2"/>
  <c r="W245" i="2"/>
  <c r="W229" i="2"/>
  <c r="W213" i="2"/>
  <c r="W197" i="2"/>
  <c r="W181" i="2"/>
  <c r="W165" i="2"/>
  <c r="W149" i="2"/>
  <c r="V500" i="2"/>
  <c r="V493" i="2"/>
  <c r="V477" i="2"/>
  <c r="V469" i="2"/>
  <c r="V461" i="2"/>
  <c r="V453" i="2"/>
  <c r="V445" i="2"/>
  <c r="V429" i="2"/>
  <c r="V413" i="2"/>
  <c r="V405" i="2"/>
  <c r="V397" i="2"/>
  <c r="V381" i="2"/>
  <c r="V373" i="2"/>
  <c r="V365" i="2"/>
  <c r="V357" i="2"/>
  <c r="V349" i="2"/>
  <c r="V331" i="2"/>
  <c r="V320" i="2"/>
  <c r="V299" i="2"/>
  <c r="V288" i="2"/>
  <c r="V113" i="2"/>
  <c r="V81" i="2"/>
  <c r="V49" i="2"/>
  <c r="V17" i="2"/>
  <c r="V499" i="2"/>
  <c r="V492" i="2"/>
  <c r="V484" i="2"/>
  <c r="V476" i="2"/>
  <c r="V468" i="2"/>
  <c r="V460" i="2"/>
  <c r="V452" i="2"/>
  <c r="V444" i="2"/>
  <c r="V436" i="2"/>
  <c r="V428" i="2"/>
  <c r="V420" i="2"/>
  <c r="V412" i="2"/>
  <c r="V404" i="2"/>
  <c r="V396" i="2"/>
  <c r="V388" i="2"/>
  <c r="V380" i="2"/>
  <c r="V372" i="2"/>
  <c r="V364" i="2"/>
  <c r="V356" i="2"/>
  <c r="V348" i="2"/>
  <c r="V340" i="2"/>
  <c r="V319" i="2"/>
  <c r="V308" i="2"/>
  <c r="V287" i="2"/>
  <c r="V272" i="2"/>
  <c r="V256" i="2"/>
  <c r="V240" i="2"/>
  <c r="V224" i="2"/>
  <c r="V208" i="2"/>
  <c r="V192" i="2"/>
  <c r="V176" i="2"/>
  <c r="V160" i="2"/>
  <c r="V144" i="2"/>
  <c r="V128" i="2"/>
  <c r="V112" i="2"/>
  <c r="V96" i="2"/>
  <c r="V80" i="2"/>
  <c r="V64" i="2"/>
  <c r="V48" i="2"/>
  <c r="V32" i="2"/>
  <c r="V16" i="2"/>
  <c r="X2" i="2"/>
  <c r="V2" i="2"/>
  <c r="X4" i="2"/>
  <c r="V4" i="2"/>
  <c r="X5" i="2"/>
  <c r="V5" i="2"/>
  <c r="X6" i="2"/>
  <c r="V6" i="2"/>
  <c r="X7" i="2"/>
  <c r="V7" i="2"/>
  <c r="X10" i="2"/>
  <c r="V10" i="2"/>
  <c r="X12" i="2"/>
  <c r="V12" i="2"/>
  <c r="X13" i="2"/>
  <c r="V13" i="2"/>
  <c r="X14" i="2"/>
  <c r="V14" i="2"/>
  <c r="X15" i="2"/>
  <c r="V15" i="2"/>
  <c r="X18" i="2"/>
  <c r="V18" i="2"/>
  <c r="X20" i="2"/>
  <c r="V20" i="2"/>
  <c r="X21" i="2"/>
  <c r="V21" i="2"/>
  <c r="X22" i="2"/>
  <c r="V22" i="2"/>
  <c r="X23" i="2"/>
  <c r="V23" i="2"/>
  <c r="X26" i="2"/>
  <c r="V26" i="2"/>
  <c r="X28" i="2"/>
  <c r="V28" i="2"/>
  <c r="X29" i="2"/>
  <c r="V29" i="2"/>
  <c r="X30" i="2"/>
  <c r="V30" i="2"/>
  <c r="X31" i="2"/>
  <c r="V31" i="2"/>
  <c r="X34" i="2"/>
  <c r="V34" i="2"/>
  <c r="X36" i="2"/>
  <c r="V36" i="2"/>
  <c r="X37" i="2"/>
  <c r="V37" i="2"/>
  <c r="X38" i="2"/>
  <c r="V38" i="2"/>
  <c r="X39" i="2"/>
  <c r="V39" i="2"/>
  <c r="X42" i="2"/>
  <c r="V42" i="2"/>
  <c r="X44" i="2"/>
  <c r="V44" i="2"/>
  <c r="X45" i="2"/>
  <c r="V45" i="2"/>
  <c r="X46" i="2"/>
  <c r="V46" i="2"/>
  <c r="X47" i="2"/>
  <c r="V47" i="2"/>
  <c r="X50" i="2"/>
  <c r="V50" i="2"/>
  <c r="X52" i="2"/>
  <c r="V52" i="2"/>
  <c r="X53" i="2"/>
  <c r="V53" i="2"/>
  <c r="X54" i="2"/>
  <c r="V54" i="2"/>
  <c r="X55" i="2"/>
  <c r="V55" i="2"/>
  <c r="X58" i="2"/>
  <c r="V58" i="2"/>
  <c r="X60" i="2"/>
  <c r="V60" i="2"/>
  <c r="X61" i="2"/>
  <c r="V61" i="2"/>
  <c r="X62" i="2"/>
  <c r="V62" i="2"/>
  <c r="X63" i="2"/>
  <c r="V63" i="2"/>
  <c r="X66" i="2"/>
  <c r="V66" i="2"/>
  <c r="X68" i="2"/>
  <c r="V68" i="2"/>
  <c r="X69" i="2"/>
  <c r="V69" i="2"/>
  <c r="X70" i="2"/>
  <c r="V70" i="2"/>
  <c r="X71" i="2"/>
  <c r="V71" i="2"/>
  <c r="X74" i="2"/>
  <c r="V74" i="2"/>
  <c r="X76" i="2"/>
  <c r="V76" i="2"/>
  <c r="X77" i="2"/>
  <c r="V77" i="2"/>
  <c r="X78" i="2"/>
  <c r="V78" i="2"/>
  <c r="X79" i="2"/>
  <c r="V79" i="2"/>
  <c r="X82" i="2"/>
  <c r="V82" i="2"/>
  <c r="X84" i="2"/>
  <c r="V84" i="2"/>
  <c r="X85" i="2"/>
  <c r="V85" i="2"/>
  <c r="X86" i="2"/>
  <c r="V86" i="2"/>
  <c r="X87" i="2"/>
  <c r="V87" i="2"/>
  <c r="X90" i="2"/>
  <c r="V90" i="2"/>
  <c r="X92" i="2"/>
  <c r="V92" i="2"/>
  <c r="X93" i="2"/>
  <c r="V93" i="2"/>
  <c r="X94" i="2"/>
  <c r="V94" i="2"/>
  <c r="X95" i="2"/>
  <c r="V95" i="2"/>
  <c r="X99" i="2"/>
  <c r="V99" i="2"/>
  <c r="X100" i="2"/>
  <c r="V100" i="2"/>
  <c r="X101" i="2"/>
  <c r="V101" i="2"/>
  <c r="X103" i="2"/>
  <c r="V103" i="2"/>
  <c r="X107" i="2"/>
  <c r="V107" i="2"/>
  <c r="X108" i="2"/>
  <c r="V108" i="2"/>
  <c r="X109" i="2"/>
  <c r="V109" i="2"/>
  <c r="X111" i="2"/>
  <c r="V111" i="2"/>
  <c r="X115" i="2"/>
  <c r="V115" i="2"/>
  <c r="X116" i="2"/>
  <c r="V116" i="2"/>
  <c r="X117" i="2"/>
  <c r="V117" i="2"/>
  <c r="X119" i="2"/>
  <c r="V119" i="2"/>
  <c r="X123" i="2"/>
  <c r="V123" i="2"/>
  <c r="X124" i="2"/>
  <c r="V124" i="2"/>
  <c r="X125" i="2"/>
  <c r="V125" i="2"/>
  <c r="X127" i="2"/>
  <c r="V127" i="2"/>
  <c r="X131" i="2"/>
  <c r="V131" i="2"/>
  <c r="X132" i="2"/>
  <c r="V132" i="2"/>
  <c r="X133" i="2"/>
  <c r="V133" i="2"/>
  <c r="X135" i="2"/>
  <c r="V135" i="2"/>
  <c r="X139" i="2"/>
  <c r="V139" i="2"/>
  <c r="X140" i="2"/>
  <c r="V140" i="2"/>
  <c r="X143" i="2"/>
  <c r="V143" i="2"/>
  <c r="X147" i="2"/>
  <c r="V147" i="2"/>
  <c r="X148" i="2"/>
  <c r="V148" i="2"/>
  <c r="X151" i="2"/>
  <c r="V151" i="2"/>
  <c r="X155" i="2"/>
  <c r="V155" i="2"/>
  <c r="X156" i="2"/>
  <c r="V156" i="2"/>
  <c r="X159" i="2"/>
  <c r="V159" i="2"/>
  <c r="X163" i="2"/>
  <c r="V163" i="2"/>
  <c r="X164" i="2"/>
  <c r="V164" i="2"/>
  <c r="X167" i="2"/>
  <c r="V167" i="2"/>
  <c r="X171" i="2"/>
  <c r="V171" i="2"/>
  <c r="X172" i="2"/>
  <c r="V172" i="2"/>
  <c r="X175" i="2"/>
  <c r="V175" i="2"/>
  <c r="X179" i="2"/>
  <c r="V179" i="2"/>
  <c r="X180" i="2"/>
  <c r="V180" i="2"/>
  <c r="X183" i="2"/>
  <c r="V183" i="2"/>
  <c r="X187" i="2"/>
  <c r="V187" i="2"/>
  <c r="X188" i="2"/>
  <c r="V188" i="2"/>
  <c r="X191" i="2"/>
  <c r="V191" i="2"/>
  <c r="X195" i="2"/>
  <c r="V195" i="2"/>
  <c r="X196" i="2"/>
  <c r="V196" i="2"/>
  <c r="X199" i="2"/>
  <c r="V199" i="2"/>
  <c r="X203" i="2"/>
  <c r="V203" i="2"/>
  <c r="X204" i="2"/>
  <c r="V204" i="2"/>
  <c r="X207" i="2"/>
  <c r="V207" i="2"/>
  <c r="X211" i="2"/>
  <c r="V211" i="2"/>
  <c r="X212" i="2"/>
  <c r="V212" i="2"/>
  <c r="X215" i="2"/>
  <c r="V215" i="2"/>
  <c r="X219" i="2"/>
  <c r="V219" i="2"/>
  <c r="X220" i="2"/>
  <c r="V220" i="2"/>
  <c r="X223" i="2"/>
  <c r="V223" i="2"/>
  <c r="X227" i="2"/>
  <c r="V227" i="2"/>
  <c r="X228" i="2"/>
  <c r="V228" i="2"/>
  <c r="X231" i="2"/>
  <c r="V231" i="2"/>
  <c r="X235" i="2"/>
  <c r="V235" i="2"/>
  <c r="X236" i="2"/>
  <c r="V236" i="2"/>
  <c r="X239" i="2"/>
  <c r="V239" i="2"/>
  <c r="X243" i="2"/>
  <c r="V243" i="2"/>
  <c r="X244" i="2"/>
  <c r="V244" i="2"/>
  <c r="X247" i="2"/>
  <c r="V247" i="2"/>
  <c r="X251" i="2"/>
  <c r="V251" i="2"/>
  <c r="X252" i="2"/>
  <c r="V252" i="2"/>
  <c r="X255" i="2"/>
  <c r="V255" i="2"/>
  <c r="X259" i="2"/>
  <c r="V259" i="2"/>
  <c r="X260" i="2"/>
  <c r="V260" i="2"/>
  <c r="X263" i="2"/>
  <c r="V263" i="2"/>
  <c r="X267" i="2"/>
  <c r="V267" i="2"/>
  <c r="X268" i="2"/>
  <c r="V268" i="2"/>
  <c r="X271" i="2"/>
  <c r="V271" i="2"/>
  <c r="X275" i="2"/>
  <c r="V275" i="2"/>
  <c r="X276" i="2"/>
  <c r="V276" i="2"/>
  <c r="X279" i="2"/>
  <c r="V279" i="2"/>
  <c r="X283" i="2"/>
  <c r="V283" i="2"/>
  <c r="X284" i="2"/>
  <c r="V284" i="2"/>
  <c r="X291" i="2"/>
  <c r="V291" i="2"/>
  <c r="X295" i="2"/>
  <c r="V295" i="2"/>
  <c r="X296" i="2"/>
  <c r="V296" i="2"/>
  <c r="X300" i="2"/>
  <c r="V300" i="2"/>
  <c r="X307" i="2"/>
  <c r="V307" i="2"/>
  <c r="X311" i="2"/>
  <c r="V311" i="2"/>
  <c r="X312" i="2"/>
  <c r="V312" i="2"/>
  <c r="X316" i="2"/>
  <c r="V316" i="2"/>
  <c r="X323" i="2"/>
  <c r="V323" i="2"/>
  <c r="X327" i="2"/>
  <c r="V327" i="2"/>
  <c r="X328" i="2"/>
  <c r="V328" i="2"/>
  <c r="X332" i="2"/>
  <c r="V332" i="2"/>
  <c r="X339" i="2"/>
  <c r="V339" i="2"/>
  <c r="X343" i="2"/>
  <c r="V343" i="2"/>
  <c r="X347" i="2"/>
  <c r="V347" i="2"/>
  <c r="X355" i="2"/>
  <c r="V355" i="2"/>
  <c r="X359" i="2"/>
  <c r="V359" i="2"/>
  <c r="X363" i="2"/>
  <c r="V363" i="2"/>
  <c r="X367" i="2"/>
  <c r="V367" i="2"/>
  <c r="X371" i="2"/>
  <c r="V371" i="2"/>
  <c r="X375" i="2"/>
  <c r="V375" i="2"/>
  <c r="X379" i="2"/>
  <c r="V379" i="2"/>
  <c r="X383" i="2"/>
  <c r="V383" i="2"/>
  <c r="X387" i="2"/>
  <c r="V387" i="2"/>
  <c r="X391" i="2"/>
  <c r="V391" i="2"/>
  <c r="X395" i="2"/>
  <c r="V395" i="2"/>
  <c r="X403" i="2"/>
  <c r="V403" i="2"/>
  <c r="X407" i="2"/>
  <c r="V407" i="2"/>
  <c r="X411" i="2"/>
  <c r="V411" i="2"/>
  <c r="X419" i="2"/>
  <c r="V419" i="2"/>
  <c r="X423" i="2"/>
  <c r="V423" i="2"/>
  <c r="X427" i="2"/>
  <c r="V427" i="2"/>
  <c r="X435" i="2"/>
  <c r="V435" i="2"/>
  <c r="X443" i="2"/>
  <c r="V443" i="2"/>
  <c r="X447" i="2"/>
  <c r="V447" i="2"/>
  <c r="X451" i="2"/>
  <c r="V451" i="2"/>
  <c r="X455" i="2"/>
  <c r="V455" i="2"/>
  <c r="X459" i="2"/>
  <c r="V459" i="2"/>
  <c r="X467" i="2"/>
  <c r="V467" i="2"/>
  <c r="X475" i="2"/>
  <c r="V475" i="2"/>
  <c r="X479" i="2"/>
  <c r="V479" i="2"/>
  <c r="X483" i="2"/>
  <c r="V483" i="2"/>
  <c r="X487" i="2"/>
  <c r="V487" i="2"/>
  <c r="X491" i="2"/>
  <c r="V491" i="2"/>
  <c r="V497" i="2"/>
  <c r="V489" i="2"/>
  <c r="V481" i="2"/>
  <c r="V473" i="2"/>
  <c r="V465" i="2"/>
  <c r="V457" i="2"/>
  <c r="V449" i="2"/>
  <c r="V441" i="2"/>
  <c r="V433" i="2"/>
  <c r="V425" i="2"/>
  <c r="V417" i="2"/>
  <c r="V409" i="2"/>
  <c r="V401" i="2"/>
  <c r="V393" i="2"/>
  <c r="V385" i="2"/>
  <c r="V377" i="2"/>
  <c r="V369" i="2"/>
  <c r="V361" i="2"/>
  <c r="V353" i="2"/>
  <c r="V345" i="2"/>
  <c r="V336" i="2"/>
  <c r="V315" i="2"/>
  <c r="V304" i="2"/>
  <c r="V121" i="2"/>
  <c r="V105" i="2"/>
  <c r="V89" i="2"/>
  <c r="V73" i="2"/>
  <c r="V57" i="2"/>
  <c r="V41" i="2"/>
  <c r="V25" i="2"/>
  <c r="V9" i="2"/>
  <c r="V496" i="2"/>
  <c r="V488" i="2"/>
  <c r="V480" i="2"/>
  <c r="V472" i="2"/>
  <c r="V464" i="2"/>
  <c r="V456" i="2"/>
  <c r="V448" i="2"/>
  <c r="V440" i="2"/>
  <c r="V432" i="2"/>
  <c r="V424" i="2"/>
  <c r="V416" i="2"/>
  <c r="V408" i="2"/>
  <c r="V400" i="2"/>
  <c r="V392" i="2"/>
  <c r="V384" i="2"/>
  <c r="V376" i="2"/>
  <c r="V368" i="2"/>
  <c r="V360" i="2"/>
  <c r="V352" i="2"/>
  <c r="V344" i="2"/>
  <c r="V335" i="2"/>
  <c r="V324" i="2"/>
  <c r="V303" i="2"/>
  <c r="V292" i="2"/>
  <c r="V280" i="2"/>
  <c r="V264" i="2"/>
  <c r="V248" i="2"/>
  <c r="V232" i="2"/>
  <c r="V216" i="2"/>
  <c r="V200" i="2"/>
  <c r="V184" i="2"/>
  <c r="V168" i="2"/>
  <c r="V152" i="2"/>
  <c r="V136" i="2"/>
  <c r="V120" i="2"/>
  <c r="V104" i="2"/>
  <c r="V88" i="2"/>
  <c r="V72" i="2"/>
  <c r="V56" i="2"/>
  <c r="V40" i="2"/>
  <c r="V24" i="2"/>
  <c r="V8" i="2"/>
  <c r="X11" i="2"/>
  <c r="X27" i="2"/>
  <c r="X59" i="2"/>
  <c r="X83" i="2"/>
  <c r="X91" i="2"/>
  <c r="X98" i="2"/>
  <c r="X110" i="2"/>
  <c r="X118" i="2"/>
  <c r="X141" i="2"/>
  <c r="X150" i="2"/>
  <c r="X158" i="2"/>
  <c r="X162" i="2"/>
  <c r="X173" i="2"/>
  <c r="X181" i="2"/>
  <c r="X189" i="2"/>
  <c r="X197" i="2"/>
  <c r="X205" i="2"/>
  <c r="X206" i="2"/>
  <c r="X210" i="2"/>
  <c r="X214" i="2"/>
  <c r="X217" i="2"/>
  <c r="X225" i="2"/>
  <c r="X226" i="2"/>
  <c r="X238" i="2"/>
  <c r="X241" i="2"/>
  <c r="X257" i="2"/>
  <c r="X265" i="2"/>
  <c r="X270" i="2"/>
  <c r="X273" i="2"/>
  <c r="X289" i="2"/>
  <c r="X305" i="2"/>
  <c r="X317" i="2"/>
  <c r="X329" i="2"/>
  <c r="X334" i="2"/>
  <c r="X351" i="2"/>
  <c r="X382" i="2"/>
  <c r="X402" i="2"/>
  <c r="X406" i="2"/>
  <c r="X418" i="2"/>
  <c r="X426" i="2"/>
  <c r="X458" i="2"/>
  <c r="X470" i="2"/>
  <c r="X474" i="2"/>
  <c r="X486" i="2"/>
  <c r="X498" i="2"/>
  <c r="X494" i="2"/>
  <c r="X490" i="2"/>
  <c r="X389" i="2"/>
  <c r="X341" i="2"/>
  <c r="X298" i="2"/>
  <c r="X277" i="2"/>
  <c r="X234" i="2"/>
  <c r="X213" i="2"/>
  <c r="X501" i="2"/>
  <c r="X314" i="2"/>
  <c r="X293" i="2"/>
  <c r="X250" i="2"/>
  <c r="X229" i="2"/>
  <c r="X19" i="2"/>
  <c r="X33" i="2"/>
  <c r="X35" i="2"/>
  <c r="X106" i="2"/>
  <c r="X122" i="2"/>
  <c r="X129" i="2"/>
  <c r="X142" i="2"/>
  <c r="X145" i="2"/>
  <c r="X146" i="2"/>
  <c r="X149" i="2"/>
  <c r="X157" i="2"/>
  <c r="X166" i="2"/>
  <c r="X174" i="2"/>
  <c r="X178" i="2"/>
  <c r="X190" i="2"/>
  <c r="X198" i="2"/>
  <c r="X230" i="2"/>
  <c r="X242" i="2"/>
  <c r="X246" i="2"/>
  <c r="X254" i="2"/>
  <c r="X258" i="2"/>
  <c r="X262" i="2"/>
  <c r="X269" i="2"/>
  <c r="X274" i="2"/>
  <c r="X278" i="2"/>
  <c r="X286" i="2"/>
  <c r="X290" i="2"/>
  <c r="X294" i="2"/>
  <c r="X301" i="2"/>
  <c r="X318" i="2"/>
  <c r="X322" i="2"/>
  <c r="X326" i="2"/>
  <c r="X333" i="2"/>
  <c r="X338" i="2"/>
  <c r="X342" i="2"/>
  <c r="X350" i="2"/>
  <c r="X354" i="2"/>
  <c r="X358" i="2"/>
  <c r="X362" i="2"/>
  <c r="X366" i="2"/>
  <c r="X370" i="2"/>
  <c r="X378" i="2"/>
  <c r="X386" i="2"/>
  <c r="X390" i="2"/>
  <c r="X394" i="2"/>
  <c r="X398" i="2"/>
  <c r="X414" i="2"/>
  <c r="X430" i="2"/>
  <c r="X438" i="2"/>
  <c r="X442" i="2"/>
  <c r="X450" i="2"/>
  <c r="X462" i="2"/>
  <c r="X478" i="2"/>
  <c r="X482" i="2"/>
  <c r="X471" i="2"/>
  <c r="X463" i="2"/>
  <c r="X439" i="2"/>
  <c r="X431" i="2"/>
  <c r="X415" i="2"/>
  <c r="X330" i="2"/>
  <c r="X309" i="2"/>
  <c r="X266" i="2"/>
  <c r="X245" i="2"/>
  <c r="X3" i="2"/>
  <c r="X43" i="2"/>
  <c r="X51" i="2"/>
  <c r="X65" i="2"/>
  <c r="X67" i="2"/>
  <c r="X75" i="2"/>
  <c r="X97" i="2"/>
  <c r="X102" i="2"/>
  <c r="X114" i="2"/>
  <c r="X126" i="2"/>
  <c r="X130" i="2"/>
  <c r="X134" i="2"/>
  <c r="X137" i="2"/>
  <c r="X138" i="2"/>
  <c r="X153" i="2"/>
  <c r="X154" i="2"/>
  <c r="X161" i="2"/>
  <c r="X165" i="2"/>
  <c r="X169" i="2"/>
  <c r="X170" i="2"/>
  <c r="X177" i="2"/>
  <c r="X182" i="2"/>
  <c r="X185" i="2"/>
  <c r="X186" i="2"/>
  <c r="X193" i="2"/>
  <c r="X194" i="2"/>
  <c r="X201" i="2"/>
  <c r="X202" i="2"/>
  <c r="X209" i="2"/>
  <c r="X221" i="2"/>
  <c r="X222" i="2"/>
  <c r="X233" i="2"/>
  <c r="X237" i="2"/>
  <c r="X249" i="2"/>
  <c r="X253" i="2"/>
  <c r="X281" i="2"/>
  <c r="X285" i="2"/>
  <c r="X297" i="2"/>
  <c r="X302" i="2"/>
  <c r="X306" i="2"/>
  <c r="X310" i="2"/>
  <c r="X313" i="2"/>
  <c r="X321" i="2"/>
  <c r="X337" i="2"/>
  <c r="X346" i="2"/>
  <c r="X374" i="2"/>
  <c r="X399" i="2"/>
  <c r="X410" i="2"/>
  <c r="X422" i="2"/>
  <c r="X434" i="2"/>
  <c r="X446" i="2"/>
  <c r="X454" i="2"/>
  <c r="X466" i="2"/>
  <c r="X495" i="2"/>
  <c r="X485" i="2"/>
  <c r="X437" i="2"/>
  <c r="X421" i="2"/>
  <c r="X325" i="2"/>
  <c r="X282" i="2"/>
  <c r="X261" i="2"/>
  <c r="X218" i="2"/>
</calcChain>
</file>

<file path=xl/sharedStrings.xml><?xml version="1.0" encoding="utf-8"?>
<sst xmlns="http://schemas.openxmlformats.org/spreadsheetml/2006/main" count="4574" uniqueCount="96">
  <si>
    <t>Order_ID</t>
  </si>
  <si>
    <t>Order_Date</t>
  </si>
  <si>
    <t>Customer_ID</t>
  </si>
  <si>
    <t>Region</t>
  </si>
  <si>
    <t>Channel</t>
  </si>
  <si>
    <t>Product_Category</t>
  </si>
  <si>
    <t>Product_Name</t>
  </si>
  <si>
    <t>Quantity</t>
  </si>
  <si>
    <t>Unit_Price</t>
  </si>
  <si>
    <t>Discount_Pct</t>
  </si>
  <si>
    <t>Gross_Revenue</t>
  </si>
  <si>
    <t>Discount_Amount</t>
  </si>
  <si>
    <t>Net_Revenue</t>
  </si>
  <si>
    <t>Cost_per_Unit</t>
  </si>
  <si>
    <t>Total_Cost</t>
  </si>
  <si>
    <t>Profit</t>
  </si>
  <si>
    <t>Profit_Margin_Pct</t>
  </si>
  <si>
    <t>West</t>
  </si>
  <si>
    <t>In-Store</t>
  </si>
  <si>
    <t>Home</t>
  </si>
  <si>
    <t>Headphones</t>
  </si>
  <si>
    <t>North</t>
  </si>
  <si>
    <t>Watch</t>
  </si>
  <si>
    <t>East</t>
  </si>
  <si>
    <t>Online</t>
  </si>
  <si>
    <t>Accessories</t>
  </si>
  <si>
    <t>Clothing</t>
  </si>
  <si>
    <t>Blender</t>
  </si>
  <si>
    <t>Sneakers</t>
  </si>
  <si>
    <t>South</t>
  </si>
  <si>
    <t>T-shirt</t>
  </si>
  <si>
    <t>Jeans</t>
  </si>
  <si>
    <t>Backpack</t>
  </si>
  <si>
    <t>Electronics</t>
  </si>
  <si>
    <t>Month</t>
  </si>
  <si>
    <t>Year</t>
  </si>
  <si>
    <t>Day</t>
  </si>
  <si>
    <t>Row Labels</t>
  </si>
  <si>
    <t>Grand Total</t>
  </si>
  <si>
    <t>Sum of Net_Revenue</t>
  </si>
  <si>
    <t>Sum of Profit</t>
  </si>
  <si>
    <t>Sum of Quantity</t>
  </si>
  <si>
    <t>Jan</t>
  </si>
  <si>
    <t>Feb</t>
  </si>
  <si>
    <t>Mar</t>
  </si>
  <si>
    <t>Apr</t>
  </si>
  <si>
    <t>May</t>
  </si>
  <si>
    <t>Jun</t>
  </si>
  <si>
    <t>Jul</t>
  </si>
  <si>
    <t>Aug</t>
  </si>
  <si>
    <t>Sep</t>
  </si>
  <si>
    <t>Oct</t>
  </si>
  <si>
    <t>Nov</t>
  </si>
  <si>
    <t>Dec</t>
  </si>
  <si>
    <t xml:space="preserve">Retail Sales &amp; Profit Analysis </t>
  </si>
  <si>
    <t>Values</t>
  </si>
  <si>
    <t>Column Labels</t>
  </si>
  <si>
    <t>2025</t>
  </si>
  <si>
    <t>2026</t>
  </si>
  <si>
    <t>Average Profit</t>
  </si>
  <si>
    <t>Average Profit_Margin_Pct</t>
  </si>
  <si>
    <t>Sum of Order_ID</t>
  </si>
  <si>
    <t>Count of Order_ID</t>
  </si>
  <si>
    <t>Loyalty Rating</t>
  </si>
  <si>
    <t>One-time</t>
  </si>
  <si>
    <t>Repeat</t>
  </si>
  <si>
    <t>Loyal</t>
  </si>
  <si>
    <t>PRODUCT BY REVENUE &amp; PROFIT</t>
  </si>
  <si>
    <t>REVENUE AND PROFIT BY REGION</t>
  </si>
  <si>
    <t>IMPACT OF DISCOUNT ON PROFIT</t>
  </si>
  <si>
    <t>REVENUE &amp; PROFIT BY CATEGORY</t>
  </si>
  <si>
    <t>CUSTOMERS LOYALTY RATINGS</t>
  </si>
  <si>
    <t>Customer Loyalty Rating</t>
  </si>
  <si>
    <t>ONLINE VS IN-STORE PERFORMANCE</t>
  </si>
  <si>
    <t>KPI CARDS</t>
  </si>
  <si>
    <t>TOP 3 PRODUCTS BY QUANTITY</t>
  </si>
  <si>
    <t>MONTHLY REVENUE TREND</t>
  </si>
  <si>
    <t>MONTHLY PROFIT TREND</t>
  </si>
  <si>
    <t>CUSTOMER LOYALTY RATING</t>
  </si>
  <si>
    <t>`</t>
  </si>
  <si>
    <t>Gain/Loss</t>
  </si>
  <si>
    <t>Gain</t>
  </si>
  <si>
    <t>Loss</t>
  </si>
  <si>
    <t>Products Loss</t>
  </si>
  <si>
    <t>Products Gain</t>
  </si>
  <si>
    <t xml:space="preserve">Products Gain </t>
  </si>
  <si>
    <t xml:space="preserve">Products Loss </t>
  </si>
  <si>
    <t xml:space="preserve">Net_Revenue </t>
  </si>
  <si>
    <t xml:space="preserve">Profit </t>
  </si>
  <si>
    <t xml:space="preserve">Net_Revenue  </t>
  </si>
  <si>
    <t xml:space="preserve">Profit  </t>
  </si>
  <si>
    <t>Product Gain/Loss</t>
  </si>
  <si>
    <t>Sum of Product Gain/Loss</t>
  </si>
  <si>
    <t>ONLINE vs IN-STORE</t>
  </si>
  <si>
    <t>TRANSACTION-BASED GAIN &amp; LOSS</t>
  </si>
  <si>
    <t>PRODUCTS-BASED GAIN &amp;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</si>
</sst>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
      <sz val="11"/>
      <color theme="5"/>
      <name val="Calibri"/>
      <family val="2"/>
      <scheme val="minor"/>
    </font>
    <font>
      <sz val="16"/>
      <color rgb="FFFFC210"/>
      <name val="Calibri"/>
      <family val="2"/>
      <scheme val="minor"/>
    </font>
    <font>
      <b/>
      <sz val="28"/>
      <color theme="0"/>
      <name val="Calibri"/>
      <family val="2"/>
      <scheme val="minor"/>
    </font>
    <font>
      <b/>
      <sz val="35"/>
      <color theme="0"/>
      <name val="Calibri"/>
      <family val="2"/>
      <scheme val="minor"/>
    </font>
    <font>
      <b/>
      <sz val="11"/>
      <color rgb="FFFF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
      <patternFill patternType="solid">
        <fgColor theme="2"/>
        <bgColor indexed="64"/>
      </patternFill>
    </fill>
    <fill>
      <patternFill patternType="solid">
        <fgColor rgb="FFE3DED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6">
    <xf numFmtId="0" fontId="0" fillId="0" borderId="0" xfId="0"/>
    <xf numFmtId="14" fontId="0" fillId="0" borderId="0" xfId="0" applyNumberFormat="1"/>
    <xf numFmtId="2" fontId="0" fillId="0" borderId="0" xfId="0" applyNumberFormat="1"/>
    <xf numFmtId="9"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19" fillId="33" borderId="0" xfId="0" applyFont="1" applyFill="1"/>
    <xf numFmtId="0" fontId="0" fillId="34" borderId="0" xfId="0" applyFill="1"/>
    <xf numFmtId="0" fontId="20" fillId="33" borderId="0" xfId="0" applyFont="1" applyFill="1"/>
    <xf numFmtId="164" fontId="0" fillId="0" borderId="0" xfId="0" applyNumberFormat="1"/>
    <xf numFmtId="0" fontId="19" fillId="34" borderId="0" xfId="0" applyFont="1" applyFill="1"/>
    <xf numFmtId="0" fontId="21" fillId="33" borderId="0" xfId="0" applyFont="1" applyFill="1"/>
    <xf numFmtId="0" fontId="22" fillId="33" borderId="0" xfId="0" applyFont="1" applyFill="1"/>
    <xf numFmtId="0" fontId="0" fillId="35" borderId="0" xfId="0" applyFill="1"/>
    <xf numFmtId="0" fontId="16" fillId="0" borderId="0" xfId="0" applyFont="1" applyAlignment="1">
      <alignment horizontal="center"/>
    </xf>
    <xf numFmtId="1" fontId="0" fillId="0" borderId="0" xfId="0" applyNumberFormat="1"/>
    <xf numFmtId="0" fontId="14" fillId="33" borderId="0" xfId="0" applyFont="1" applyFill="1"/>
    <xf numFmtId="0" fontId="23" fillId="33" borderId="0" xfId="0" applyFont="1" applyFill="1"/>
    <xf numFmtId="9" fontId="23" fillId="33" borderId="0" xfId="0" applyNumberFormat="1" applyFont="1" applyFill="1" applyAlignment="1">
      <alignment horizontal="left"/>
    </xf>
    <xf numFmtId="2" fontId="14" fillId="33" borderId="0" xfId="0" applyNumberFormat="1" applyFont="1" applyFill="1"/>
    <xf numFmtId="9" fontId="23" fillId="33" borderId="0" xfId="0" applyNumberFormat="1" applyFont="1" applyFill="1"/>
    <xf numFmtId="9" fontId="14" fillId="33" borderId="0" xfId="0" applyNumberFormat="1" applyFont="1" applyFill="1"/>
    <xf numFmtId="0" fontId="0" fillId="33" borderId="0" xfId="0" applyFill="1"/>
    <xf numFmtId="0" fontId="16" fillId="0" borderId="0" xfId="0" applyFont="1" applyAlignment="1">
      <alignment horizontal="center"/>
    </xf>
    <xf numFmtId="0" fontId="22"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
    <dxf>
      <numFmt numFmtId="164" formatCode="&quot;$&quot;#,##0"/>
    </dxf>
    <dxf>
      <numFmt numFmtId="1" formatCode="0"/>
    </dxf>
    <dxf>
      <numFmt numFmtId="1" formatCode="0"/>
    </dxf>
    <dxf>
      <numFmt numFmtId="1" formatCode="0"/>
    </dxf>
    <dxf>
      <numFmt numFmtId="1" formatCode="0"/>
    </dxf>
    <dxf>
      <numFmt numFmtId="1" formatCode="0"/>
    </dxf>
    <dxf>
      <numFmt numFmtId="2" formatCode="0.00"/>
    </dxf>
    <dxf>
      <numFmt numFmtId="13" formatCode="0%"/>
    </dxf>
    <dxf>
      <numFmt numFmtId="13"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3" formatCode="0%"/>
    </dxf>
    <dxf>
      <numFmt numFmtId="13" formatCode="0%"/>
    </dxf>
    <dxf>
      <numFmt numFmtId="2" formatCode="0.00"/>
    </dxf>
    <dxf>
      <numFmt numFmtId="2" formatCode="0.00"/>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colors>
    <mruColors>
      <color rgb="FFB2B2B2"/>
      <color rgb="FFE3DED1"/>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&amp; Profit by Region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lumMod val="50000"/>
            </a:schemeClr>
          </a:solidFill>
          <a:ln>
            <a:noFill/>
          </a:ln>
          <a:effectLst/>
        </c:spPr>
      </c:pivotFmt>
      <c:pivotFmt>
        <c:idx val="4"/>
        <c:spPr>
          <a:solidFill>
            <a:srgbClr val="00B0F0"/>
          </a:solidFill>
          <a:ln>
            <a:noFill/>
          </a:ln>
          <a:effectLst/>
        </c:spPr>
      </c:pivotFmt>
      <c:pivotFmt>
        <c:idx val="5"/>
        <c:spPr>
          <a:solidFill>
            <a:schemeClr val="accent3">
              <a:lumMod val="60000"/>
              <a:lumOff val="40000"/>
            </a:schemeClr>
          </a:solidFill>
          <a:ln>
            <a:noFill/>
          </a:ln>
          <a:effectLst/>
        </c:spPr>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lumMod val="50000"/>
            </a:schemeClr>
          </a:solidFill>
          <a:ln>
            <a:noFill/>
          </a:ln>
          <a:effectLst/>
        </c:spPr>
      </c:pivotFmt>
      <c:pivotFmt>
        <c:idx val="8"/>
        <c:spPr>
          <a:solidFill>
            <a:srgbClr val="00B0F0"/>
          </a:solidFill>
          <a:ln>
            <a:noFill/>
          </a:ln>
          <a:effectLst/>
        </c:spPr>
      </c:pivotFmt>
      <c:pivotFmt>
        <c:idx val="9"/>
        <c:spPr>
          <a:solidFill>
            <a:schemeClr val="accent3">
              <a:lumMod val="60000"/>
              <a:lumOff val="40000"/>
            </a:schemeClr>
          </a:solidFill>
          <a:ln>
            <a:noFill/>
          </a:ln>
          <a:effectLst/>
        </c:spPr>
      </c:pivotFmt>
      <c:pivotFmt>
        <c:idx val="10"/>
        <c:spPr>
          <a:solidFill>
            <a:schemeClr val="accent2"/>
          </a:solidFill>
          <a:ln>
            <a:noFill/>
          </a:ln>
          <a:effectLst/>
        </c:spPr>
        <c:marker>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1"/>
          </a:solidFill>
          <a:ln>
            <a:noFill/>
          </a:ln>
          <a:effectLst/>
        </c:spPr>
        <c:marker>
          <c:spPr>
            <a:solidFill>
              <a:schemeClr val="accent1"/>
            </a:solidFill>
            <a:ln w="9525">
              <a:solidFill>
                <a:schemeClr val="accent1"/>
              </a:solidFill>
            </a:ln>
            <a:effectLst/>
          </c:spPr>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barChart>
        <c:barDir val="col"/>
        <c:grouping val="clustered"/>
        <c:varyColors val="0"/>
        <c:ser>
          <c:idx val="0"/>
          <c:order val="0"/>
          <c:tx>
            <c:v>Sum of Net_Revenue</c:v>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4D1C-46B5-B270-309C64B503F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7-4D1C-46B5-B270-309C64B503FB}"/>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4D1C-46B5-B270-309C64B503FB}"/>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5-4D1C-46B5-B270-309C64B503FB}"/>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71096.773999999947</c:v>
              </c:pt>
              <c:pt idx="1">
                <c:v>81211.251499999926</c:v>
              </c:pt>
              <c:pt idx="2">
                <c:v>71008.218999999939</c:v>
              </c:pt>
              <c:pt idx="3">
                <c:v>71032.138999999937</c:v>
              </c:pt>
            </c:numLit>
          </c:val>
          <c:extLst>
            <c:ext xmlns:c16="http://schemas.microsoft.com/office/drawing/2014/chart" uri="{C3380CC4-5D6E-409C-BE32-E72D297353CC}">
              <c16:uniqueId val="{00000006-4D1C-46B5-B270-309C64B503FB}"/>
            </c:ext>
          </c:extLst>
        </c:ser>
        <c:ser>
          <c:idx val="1"/>
          <c:order val="1"/>
          <c:tx>
            <c:v>Sum of Profit</c:v>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East</c:v>
              </c:pt>
              <c:pt idx="1">
                <c:v>North</c:v>
              </c:pt>
              <c:pt idx="2">
                <c:v>South</c:v>
              </c:pt>
              <c:pt idx="3">
                <c:v>West</c:v>
              </c:pt>
            </c:strLit>
          </c:cat>
          <c:val>
            <c:numLit>
              <c:formatCode>General</c:formatCode>
              <c:ptCount val="4"/>
              <c:pt idx="0">
                <c:v>19646.413999999961</c:v>
              </c:pt>
              <c:pt idx="1">
                <c:v>27633.011499999971</c:v>
              </c:pt>
              <c:pt idx="2">
                <c:v>27758.378999999975</c:v>
              </c:pt>
              <c:pt idx="3">
                <c:v>24025.968999999957</c:v>
              </c:pt>
            </c:numLit>
          </c:val>
          <c:extLst>
            <c:ext xmlns:c16="http://schemas.microsoft.com/office/drawing/2014/chart" uri="{C3380CC4-5D6E-409C-BE32-E72D297353CC}">
              <c16:uniqueId val="{00000008-577B-41C9-8007-EB1AD5522D65}"/>
            </c:ext>
          </c:extLst>
        </c:ser>
        <c:dLbls>
          <c:dLblPos val="outEnd"/>
          <c:showLegendKey val="0"/>
          <c:showVal val="1"/>
          <c:showCatName val="0"/>
          <c:showSerName val="0"/>
          <c:showPercent val="0"/>
          <c:showBubbleSize val="0"/>
        </c:dLbls>
        <c:gapWidth val="50"/>
        <c:axId val="994454704"/>
        <c:axId val="994455664"/>
      </c:barChart>
      <c:catAx>
        <c:axId val="9944547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4455664"/>
        <c:crosses val="autoZero"/>
        <c:auto val="1"/>
        <c:lblAlgn val="ctr"/>
        <c:lblOffset val="100"/>
        <c:noMultiLvlLbl val="0"/>
      </c:catAx>
      <c:valAx>
        <c:axId val="994455664"/>
        <c:scaling>
          <c:orientation val="minMax"/>
        </c:scaling>
        <c:delete val="1"/>
        <c:axPos val="l"/>
        <c:numFmt formatCode="General" sourceLinked="1"/>
        <c:majorTickMark val="none"/>
        <c:minorTickMark val="none"/>
        <c:tickLblPos val="nextTo"/>
        <c:crossAx val="9944547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Revenue &amp; Profit by Category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rgbClr val="00B0F0"/>
          </a:solidFill>
          <a:ln>
            <a:noFill/>
          </a:ln>
          <a:effectLst/>
        </c:spPr>
      </c:pivotFmt>
      <c:pivotFmt>
        <c:idx val="5"/>
        <c:spPr>
          <a:solidFill>
            <a:schemeClr val="accent2"/>
          </a:solidFill>
          <a:ln>
            <a:noFill/>
          </a:ln>
          <a:effectLst/>
        </c:spPr>
      </c:pivotFmt>
      <c:pivotFmt>
        <c:idx val="6"/>
        <c:spPr>
          <a:solidFill>
            <a:schemeClr val="accent1">
              <a:lumMod val="50000"/>
            </a:schemeClr>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pivotFmt>
      <c:pivotFmt>
        <c:idx val="9"/>
        <c:spPr>
          <a:solidFill>
            <a:schemeClr val="accent1"/>
          </a:solidFill>
          <a:ln>
            <a:noFill/>
          </a:ln>
          <a:effectLst/>
        </c:spPr>
      </c:pivotFmt>
      <c:pivotFmt>
        <c:idx val="10"/>
        <c:spPr>
          <a:solidFill>
            <a:srgbClr val="00B0F0"/>
          </a:solidFill>
          <a:ln>
            <a:noFill/>
          </a:ln>
          <a:effectLst/>
        </c:spPr>
      </c:pivotFmt>
      <c:pivotFmt>
        <c:idx val="11"/>
        <c:spPr>
          <a:solidFill>
            <a:schemeClr val="accent2"/>
          </a:solidFill>
          <a:ln>
            <a:noFill/>
          </a:ln>
          <a:effectLst/>
        </c:spPr>
      </c:pivotFmt>
      <c:pivotFmt>
        <c:idx val="1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2"/>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pivotFmt>
      <c:pivotFmt>
        <c:idx val="19"/>
        <c:spPr>
          <a:solidFill>
            <a:schemeClr val="accent2"/>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0"/>
          <c:tx>
            <c:v>Sum of Net_Revenue</c:v>
          </c:tx>
          <c:spPr>
            <a:solidFill>
              <a:schemeClr val="accent2"/>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Accessories</c:v>
              </c:pt>
              <c:pt idx="1">
                <c:v>Clothing</c:v>
              </c:pt>
              <c:pt idx="2">
                <c:v>Electronics</c:v>
              </c:pt>
              <c:pt idx="3">
                <c:v>Home</c:v>
              </c:pt>
            </c:strLit>
          </c:cat>
          <c:val>
            <c:numLit>
              <c:formatCode>General</c:formatCode>
              <c:ptCount val="4"/>
              <c:pt idx="0">
                <c:v>68580.096499999956</c:v>
              </c:pt>
              <c:pt idx="1">
                <c:v>136291.06999999986</c:v>
              </c:pt>
              <c:pt idx="2">
                <c:v>46515.5075</c:v>
              </c:pt>
              <c:pt idx="3">
                <c:v>42961.70949999999</c:v>
              </c:pt>
            </c:numLit>
          </c:val>
          <c:extLst>
            <c:ext xmlns:c16="http://schemas.microsoft.com/office/drawing/2014/chart" uri="{C3380CC4-5D6E-409C-BE32-E72D297353CC}">
              <c16:uniqueId val="{00000009-6026-472E-8B8F-63B5FA9D1AE7}"/>
            </c:ext>
          </c:extLst>
        </c:ser>
        <c:ser>
          <c:idx val="0"/>
          <c:order val="1"/>
          <c:tx>
            <c:v>Sum of Profit</c:v>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6026-472E-8B8F-63B5FA9D1AE7}"/>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6026-472E-8B8F-63B5FA9D1AE7}"/>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6026-472E-8B8F-63B5FA9D1AE7}"/>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7-6026-472E-8B8F-63B5FA9D1AE7}"/>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Accessories</c:v>
              </c:pt>
              <c:pt idx="1">
                <c:v>Clothing</c:v>
              </c:pt>
              <c:pt idx="2">
                <c:v>Electronics</c:v>
              </c:pt>
              <c:pt idx="3">
                <c:v>Home</c:v>
              </c:pt>
            </c:strLit>
          </c:cat>
          <c:val>
            <c:numLit>
              <c:formatCode>General</c:formatCode>
              <c:ptCount val="4"/>
              <c:pt idx="0">
                <c:v>21607.256499999967</c:v>
              </c:pt>
              <c:pt idx="1">
                <c:v>46515.019999999931</c:v>
              </c:pt>
              <c:pt idx="2">
                <c:v>15625.957499999982</c:v>
              </c:pt>
              <c:pt idx="3">
                <c:v>15315.539499999999</c:v>
              </c:pt>
            </c:numLit>
          </c:val>
          <c:extLst>
            <c:ext xmlns:c16="http://schemas.microsoft.com/office/drawing/2014/chart" uri="{C3380CC4-5D6E-409C-BE32-E72D297353CC}">
              <c16:uniqueId val="{00000008-6026-472E-8B8F-63B5FA9D1AE7}"/>
            </c:ext>
          </c:extLst>
        </c:ser>
        <c:dLbls>
          <c:dLblPos val="outEnd"/>
          <c:showLegendKey val="0"/>
          <c:showVal val="1"/>
          <c:showCatName val="0"/>
          <c:showSerName val="0"/>
          <c:showPercent val="0"/>
          <c:showBubbleSize val="0"/>
        </c:dLbls>
        <c:gapWidth val="50"/>
        <c:overlap val="-27"/>
        <c:axId val="1243013632"/>
        <c:axId val="1242992512"/>
      </c:barChart>
      <c:catAx>
        <c:axId val="12430136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2992512"/>
        <c:crosses val="autoZero"/>
        <c:auto val="1"/>
        <c:lblAlgn val="ctr"/>
        <c:lblOffset val="100"/>
        <c:noMultiLvlLbl val="0"/>
      </c:catAx>
      <c:valAx>
        <c:axId val="1242992512"/>
        <c:scaling>
          <c:orientation val="minMax"/>
        </c:scaling>
        <c:delete val="1"/>
        <c:axPos val="l"/>
        <c:numFmt formatCode="General" sourceLinked="1"/>
        <c:majorTickMark val="none"/>
        <c:minorTickMark val="none"/>
        <c:tickLblPos val="nextTo"/>
        <c:crossAx val="12430136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 Analysis Project.xlsx]Pivot Tables!PivotTable4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Product-based</a:t>
            </a:r>
            <a:r>
              <a:rPr lang="en-US" b="1" baseline="0">
                <a:solidFill>
                  <a:schemeClr val="tx1">
                    <a:lumMod val="95000"/>
                    <a:lumOff val="5000"/>
                  </a:schemeClr>
                </a:solidFill>
              </a:rPr>
              <a:t> Gain &amp; Loss</a:t>
            </a:r>
            <a:endParaRPr lang="en-US"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Tables'!$I$36</c:f>
              <c:strCache>
                <c:ptCount val="1"/>
                <c:pt idx="0">
                  <c:v>Products Gain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Tables'!$H$37:$H$44</c:f>
              <c:strCache>
                <c:ptCount val="7"/>
                <c:pt idx="0">
                  <c:v>Backpack</c:v>
                </c:pt>
                <c:pt idx="1">
                  <c:v>Blender</c:v>
                </c:pt>
                <c:pt idx="2">
                  <c:v>Headphones</c:v>
                </c:pt>
                <c:pt idx="3">
                  <c:v>Jeans</c:v>
                </c:pt>
                <c:pt idx="4">
                  <c:v>Sneakers</c:v>
                </c:pt>
                <c:pt idx="5">
                  <c:v>T-shirt</c:v>
                </c:pt>
                <c:pt idx="6">
                  <c:v>Watch</c:v>
                </c:pt>
              </c:strCache>
            </c:strRef>
          </c:cat>
          <c:val>
            <c:numRef>
              <c:f>'Pivot Tables'!$I$37:$I$44</c:f>
              <c:numCache>
                <c:formatCode>0</c:formatCode>
                <c:ptCount val="7"/>
                <c:pt idx="0">
                  <c:v>213</c:v>
                </c:pt>
                <c:pt idx="1">
                  <c:v>242</c:v>
                </c:pt>
                <c:pt idx="2">
                  <c:v>254</c:v>
                </c:pt>
                <c:pt idx="3">
                  <c:v>269</c:v>
                </c:pt>
                <c:pt idx="4">
                  <c:v>265</c:v>
                </c:pt>
                <c:pt idx="5">
                  <c:v>250</c:v>
                </c:pt>
                <c:pt idx="6">
                  <c:v>175</c:v>
                </c:pt>
              </c:numCache>
            </c:numRef>
          </c:val>
          <c:extLst>
            <c:ext xmlns:c16="http://schemas.microsoft.com/office/drawing/2014/chart" uri="{C3380CC4-5D6E-409C-BE32-E72D297353CC}">
              <c16:uniqueId val="{00000000-78AB-47C0-858F-3D26FECCB420}"/>
            </c:ext>
          </c:extLst>
        </c:ser>
        <c:ser>
          <c:idx val="1"/>
          <c:order val="1"/>
          <c:tx>
            <c:strRef>
              <c:f>'Pivot Tables'!$J$36</c:f>
              <c:strCache>
                <c:ptCount val="1"/>
                <c:pt idx="0">
                  <c:v>Products Loss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Tables'!$H$37:$H$44</c:f>
              <c:strCache>
                <c:ptCount val="7"/>
                <c:pt idx="0">
                  <c:v>Backpack</c:v>
                </c:pt>
                <c:pt idx="1">
                  <c:v>Blender</c:v>
                </c:pt>
                <c:pt idx="2">
                  <c:v>Headphones</c:v>
                </c:pt>
                <c:pt idx="3">
                  <c:v>Jeans</c:v>
                </c:pt>
                <c:pt idx="4">
                  <c:v>Sneakers</c:v>
                </c:pt>
                <c:pt idx="5">
                  <c:v>T-shirt</c:v>
                </c:pt>
                <c:pt idx="6">
                  <c:v>Watch</c:v>
                </c:pt>
              </c:strCache>
            </c:strRef>
          </c:cat>
          <c:val>
            <c:numRef>
              <c:f>'Pivot Tables'!$J$37:$J$44</c:f>
              <c:numCache>
                <c:formatCode>0</c:formatCode>
                <c:ptCount val="7"/>
                <c:pt idx="0">
                  <c:v>116</c:v>
                </c:pt>
                <c:pt idx="1">
                  <c:v>107</c:v>
                </c:pt>
                <c:pt idx="2">
                  <c:v>129</c:v>
                </c:pt>
                <c:pt idx="3">
                  <c:v>111</c:v>
                </c:pt>
                <c:pt idx="4">
                  <c:v>145</c:v>
                </c:pt>
                <c:pt idx="5">
                  <c:v>91</c:v>
                </c:pt>
                <c:pt idx="6">
                  <c:v>100</c:v>
                </c:pt>
              </c:numCache>
            </c:numRef>
          </c:val>
          <c:extLst>
            <c:ext xmlns:c16="http://schemas.microsoft.com/office/drawing/2014/chart" uri="{C3380CC4-5D6E-409C-BE32-E72D297353CC}">
              <c16:uniqueId val="{00000001-78AB-47C0-858F-3D26FECCB420}"/>
            </c:ext>
          </c:extLst>
        </c:ser>
        <c:dLbls>
          <c:dLblPos val="outEnd"/>
          <c:showLegendKey val="0"/>
          <c:showVal val="1"/>
          <c:showCatName val="0"/>
          <c:showSerName val="0"/>
          <c:showPercent val="0"/>
          <c:showBubbleSize val="0"/>
        </c:dLbls>
        <c:gapWidth val="100"/>
        <c:overlap val="-27"/>
        <c:axId val="1826421328"/>
        <c:axId val="1826402128"/>
      </c:barChart>
      <c:catAx>
        <c:axId val="18264213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1826402128"/>
        <c:crosses val="autoZero"/>
        <c:auto val="1"/>
        <c:lblAlgn val="ctr"/>
        <c:lblOffset val="100"/>
        <c:noMultiLvlLbl val="0"/>
      </c:catAx>
      <c:valAx>
        <c:axId val="1826402128"/>
        <c:scaling>
          <c:orientation val="minMax"/>
        </c:scaling>
        <c:delete val="1"/>
        <c:axPos val="l"/>
        <c:numFmt formatCode="0" sourceLinked="1"/>
        <c:majorTickMark val="none"/>
        <c:minorTickMark val="none"/>
        <c:tickLblPos val="nextTo"/>
        <c:crossAx val="18264213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r>
              <a:rPr lang="en-US" b="1" baseline="0">
                <a:solidFill>
                  <a:schemeClr val="tx1"/>
                </a:solidFill>
              </a:rPr>
              <a:t>Products by Revenue &amp;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ln>
                <a:noFill/>
              </a:ln>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rgbClr val="00B0F0"/>
          </a:solidFill>
          <a:ln>
            <a:noFill/>
          </a:ln>
          <a:effectLst/>
        </c:spPr>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rgbClr val="00B0F0"/>
          </a:solidFill>
          <a:ln>
            <a:noFill/>
          </a:ln>
          <a:effectLst/>
        </c:spPr>
      </c:pivotFmt>
      <c:pivotFmt>
        <c:idx val="9"/>
        <c:spPr>
          <a:solidFill>
            <a:schemeClr val="accent2"/>
          </a:solidFill>
          <a:ln>
            <a:noFill/>
          </a:ln>
          <a:effectLst/>
        </c:spPr>
      </c:pivotFmt>
      <c:pivotFmt>
        <c:idx val="10"/>
        <c:spPr>
          <a:solidFill>
            <a:schemeClr val="accent2"/>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1"/>
          <c:order val="0"/>
          <c:tx>
            <c:v>Sum of Profit</c:v>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Sneakers</c:v>
              </c:pt>
              <c:pt idx="1">
                <c:v>Headphones</c:v>
              </c:pt>
              <c:pt idx="2">
                <c:v>T-shirt</c:v>
              </c:pt>
              <c:pt idx="3">
                <c:v>Jeans</c:v>
              </c:pt>
              <c:pt idx="4">
                <c:v>Blender</c:v>
              </c:pt>
              <c:pt idx="5">
                <c:v>Backpack</c:v>
              </c:pt>
              <c:pt idx="6">
                <c:v>Watch</c:v>
              </c:pt>
            </c:strLit>
          </c:cat>
          <c:val>
            <c:numLit>
              <c:formatCode>General</c:formatCode>
              <c:ptCount val="7"/>
              <c:pt idx="0">
                <c:v>14853.969499999994</c:v>
              </c:pt>
              <c:pt idx="1">
                <c:v>15625.957499999982</c:v>
              </c:pt>
              <c:pt idx="2">
                <c:v>17605.211499999965</c:v>
              </c:pt>
              <c:pt idx="3">
                <c:v>14055.838999999987</c:v>
              </c:pt>
              <c:pt idx="4">
                <c:v>15315.539499999999</c:v>
              </c:pt>
              <c:pt idx="5">
                <c:v>13078.384499999969</c:v>
              </c:pt>
              <c:pt idx="6">
                <c:v>8528.8719999999776</c:v>
              </c:pt>
            </c:numLit>
          </c:val>
          <c:extLst>
            <c:ext xmlns:c16="http://schemas.microsoft.com/office/drawing/2014/chart" uri="{C3380CC4-5D6E-409C-BE32-E72D297353CC}">
              <c16:uniqueId val="{00000007-8A51-4BC7-8878-092D8E1D42F2}"/>
            </c:ext>
          </c:extLst>
        </c:ser>
        <c:ser>
          <c:idx val="0"/>
          <c:order val="1"/>
          <c:tx>
            <c:v>Sum of Net_Revenue</c:v>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8A51-4BC7-8878-092D8E1D42F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8A51-4BC7-8878-092D8E1D42F2}"/>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5-8A51-4BC7-8878-092D8E1D42F2}"/>
              </c:ext>
            </c:extLst>
          </c:dPt>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7"/>
              <c:pt idx="0">
                <c:v>Sneakers</c:v>
              </c:pt>
              <c:pt idx="1">
                <c:v>Headphones</c:v>
              </c:pt>
              <c:pt idx="2">
                <c:v>T-shirt</c:v>
              </c:pt>
              <c:pt idx="3">
                <c:v>Jeans</c:v>
              </c:pt>
              <c:pt idx="4">
                <c:v>Blender</c:v>
              </c:pt>
              <c:pt idx="5">
                <c:v>Backpack</c:v>
              </c:pt>
              <c:pt idx="6">
                <c:v>Watch</c:v>
              </c:pt>
            </c:strLit>
          </c:cat>
          <c:val>
            <c:numLit>
              <c:formatCode>General</c:formatCode>
              <c:ptCount val="7"/>
              <c:pt idx="0">
                <c:v>48250.289499999999</c:v>
              </c:pt>
              <c:pt idx="1">
                <c:v>46515.5075</c:v>
              </c:pt>
              <c:pt idx="2">
                <c:v>44334.661499999936</c:v>
              </c:pt>
              <c:pt idx="3">
                <c:v>43706.118999999926</c:v>
              </c:pt>
              <c:pt idx="4">
                <c:v>42961.70949999999</c:v>
              </c:pt>
              <c:pt idx="5">
                <c:v>37457.424499999972</c:v>
              </c:pt>
              <c:pt idx="6">
                <c:v>31122.671999999973</c:v>
              </c:pt>
            </c:numLit>
          </c:val>
          <c:extLst>
            <c:ext xmlns:c16="http://schemas.microsoft.com/office/drawing/2014/chart" uri="{C3380CC4-5D6E-409C-BE32-E72D297353CC}">
              <c16:uniqueId val="{00000006-8A51-4BC7-8878-092D8E1D42F2}"/>
            </c:ext>
          </c:extLst>
        </c:ser>
        <c:dLbls>
          <c:dLblPos val="inEnd"/>
          <c:showLegendKey val="0"/>
          <c:showVal val="1"/>
          <c:showCatName val="0"/>
          <c:showSerName val="0"/>
          <c:showPercent val="0"/>
          <c:showBubbleSize val="0"/>
        </c:dLbls>
        <c:gapWidth val="50"/>
        <c:axId val="994459504"/>
        <c:axId val="994463824"/>
      </c:barChart>
      <c:catAx>
        <c:axId val="99445950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ln>
                  <a:noFill/>
                </a:ln>
                <a:solidFill>
                  <a:schemeClr val="tx1"/>
                </a:solidFill>
                <a:latin typeface="+mn-lt"/>
                <a:ea typeface="+mn-ea"/>
                <a:cs typeface="+mn-cs"/>
              </a:defRPr>
            </a:pPr>
            <a:endParaRPr lang="en-US"/>
          </a:p>
        </c:txPr>
        <c:crossAx val="994463824"/>
        <c:crosses val="autoZero"/>
        <c:auto val="1"/>
        <c:lblAlgn val="ctr"/>
        <c:lblOffset val="100"/>
        <c:noMultiLvlLbl val="0"/>
      </c:catAx>
      <c:valAx>
        <c:axId val="994463824"/>
        <c:scaling>
          <c:orientation val="minMax"/>
        </c:scaling>
        <c:delete val="1"/>
        <c:axPos val="b"/>
        <c:numFmt formatCode="&quot;$&quot;#,##0.00" sourceLinked="0"/>
        <c:majorTickMark val="out"/>
        <c:minorTickMark val="none"/>
        <c:tickLblPos val="nextTo"/>
        <c:crossAx val="99445950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ln>
                <a:noFill/>
              </a:ln>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 Analysis Project.xlsx]Pivot Tables!PivotTable9</c:name>
    <c:fmtId val="7"/>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US" b="1">
                <a:solidFill>
                  <a:schemeClr val="tx1">
                    <a:lumMod val="95000"/>
                    <a:lumOff val="5000"/>
                  </a:schemeClr>
                </a:solidFill>
              </a:rPr>
              <a:t>Transaction-based</a:t>
            </a:r>
            <a:r>
              <a:rPr lang="en-US" b="1" baseline="0">
                <a:solidFill>
                  <a:schemeClr val="tx1">
                    <a:lumMod val="95000"/>
                    <a:lumOff val="5000"/>
                  </a:schemeClr>
                </a:solidFill>
              </a:rPr>
              <a:t> Gain &amp; Loss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2"/>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Tables'!$F$34</c:f>
              <c:strCache>
                <c:ptCount val="1"/>
                <c:pt idx="0">
                  <c:v>Total</c:v>
                </c:pt>
              </c:strCache>
            </c:strRef>
          </c:tx>
          <c:explosion val="3"/>
          <c:dPt>
            <c:idx val="0"/>
            <c:bubble3D val="0"/>
            <c:spPr>
              <a:solidFill>
                <a:schemeClr val="accent2"/>
              </a:solidFill>
              <a:ln w="19050">
                <a:solidFill>
                  <a:schemeClr val="lt1"/>
                </a:solidFill>
              </a:ln>
              <a:effectLst/>
            </c:spPr>
            <c:extLst>
              <c:ext xmlns:c16="http://schemas.microsoft.com/office/drawing/2014/chart" uri="{C3380CC4-5D6E-409C-BE32-E72D297353CC}">
                <c16:uniqueId val="{00000001-3A9B-4E31-8DBC-7F1299470AC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3A9B-4E31-8DBC-7F1299470AC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Tables'!$E$35:$E$37</c:f>
              <c:strCache>
                <c:ptCount val="2"/>
                <c:pt idx="0">
                  <c:v>Gain</c:v>
                </c:pt>
                <c:pt idx="1">
                  <c:v>Loss</c:v>
                </c:pt>
              </c:strCache>
            </c:strRef>
          </c:cat>
          <c:val>
            <c:numRef>
              <c:f>'Pivot Tables'!$F$35:$F$37</c:f>
              <c:numCache>
                <c:formatCode>0</c:formatCode>
                <c:ptCount val="2"/>
                <c:pt idx="0">
                  <c:v>1668</c:v>
                </c:pt>
                <c:pt idx="1">
                  <c:v>799</c:v>
                </c:pt>
              </c:numCache>
            </c:numRef>
          </c:val>
          <c:extLst>
            <c:ext xmlns:c16="http://schemas.microsoft.com/office/drawing/2014/chart" uri="{C3380CC4-5D6E-409C-BE32-E72D297353CC}">
              <c16:uniqueId val="{00000004-3A9B-4E31-8DBC-7F1299470AC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Impact</a:t>
            </a:r>
            <a:r>
              <a:rPr lang="en-US" b="1" baseline="0">
                <a:solidFill>
                  <a:schemeClr val="tx1"/>
                </a:solidFill>
              </a:rPr>
              <a:t> of Discount on Profit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barChart>
        <c:barDir val="col"/>
        <c:grouping val="clustered"/>
        <c:varyColors val="0"/>
        <c:ser>
          <c:idx val="0"/>
          <c:order val="0"/>
          <c:tx>
            <c:strRef>
              <c:f>'Pivot Tables'!$B$38</c:f>
              <c:strCache>
                <c:ptCount val="1"/>
                <c:pt idx="0">
                  <c:v>Average Profit</c:v>
                </c:pt>
              </c:strCache>
            </c:strRef>
          </c:tx>
          <c:spPr>
            <a:solidFill>
              <a:schemeClr val="accent1"/>
            </a:solidFill>
            <a:ln>
              <a:noFill/>
            </a:ln>
            <a:effectLst/>
          </c:spPr>
          <c:invertIfNegative val="0"/>
          <c:dLbls>
            <c:delete val="1"/>
          </c:dLbls>
          <c:cat>
            <c:numRef>
              <c:f>'Pivot Tables'!$A$39:$A$43</c:f>
              <c:numCache>
                <c:formatCode>0%</c:formatCode>
                <c:ptCount val="5"/>
                <c:pt idx="0">
                  <c:v>0</c:v>
                </c:pt>
                <c:pt idx="1">
                  <c:v>0.05</c:v>
                </c:pt>
                <c:pt idx="2">
                  <c:v>0.1</c:v>
                </c:pt>
                <c:pt idx="3">
                  <c:v>0.15</c:v>
                </c:pt>
                <c:pt idx="4">
                  <c:v>0.2</c:v>
                </c:pt>
              </c:numCache>
            </c:numRef>
          </c:cat>
          <c:val>
            <c:numRef>
              <c:f>'Pivot Tables'!$B$39:$B$43</c:f>
              <c:numCache>
                <c:formatCode>0.00</c:formatCode>
                <c:ptCount val="5"/>
                <c:pt idx="0">
                  <c:v>310.98144230769208</c:v>
                </c:pt>
                <c:pt idx="1">
                  <c:v>224.2678705882349</c:v>
                </c:pt>
                <c:pt idx="2">
                  <c:v>233.50509009008962</c:v>
                </c:pt>
                <c:pt idx="3">
                  <c:v>64.912977272727275</c:v>
                </c:pt>
                <c:pt idx="4">
                  <c:v>162.21602222222191</c:v>
                </c:pt>
              </c:numCache>
            </c:numRef>
          </c:val>
          <c:extLst>
            <c:ext xmlns:c16="http://schemas.microsoft.com/office/drawing/2014/chart" uri="{C3380CC4-5D6E-409C-BE32-E72D297353CC}">
              <c16:uniqueId val="{00000000-15A1-425E-9564-7A9C7D9BFF45}"/>
            </c:ext>
          </c:extLst>
        </c:ser>
        <c:dLbls>
          <c:showLegendKey val="0"/>
          <c:showVal val="1"/>
          <c:showCatName val="0"/>
          <c:showSerName val="0"/>
          <c:showPercent val="0"/>
          <c:showBubbleSize val="0"/>
        </c:dLbls>
        <c:gapWidth val="100"/>
        <c:overlap val="-27"/>
        <c:axId val="1271709759"/>
        <c:axId val="1271712639"/>
      </c:barChart>
      <c:lineChart>
        <c:grouping val="standard"/>
        <c:varyColors val="0"/>
        <c:ser>
          <c:idx val="1"/>
          <c:order val="1"/>
          <c:tx>
            <c:strRef>
              <c:f>'Pivot Tables'!$C$38</c:f>
              <c:strCache>
                <c:ptCount val="1"/>
                <c:pt idx="0">
                  <c:v>Average Profit_Margin_Pct</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'Pivot Tables'!$A$39:$A$43</c:f>
              <c:numCache>
                <c:formatCode>0%</c:formatCode>
                <c:ptCount val="5"/>
                <c:pt idx="0">
                  <c:v>0</c:v>
                </c:pt>
                <c:pt idx="1">
                  <c:v>0.05</c:v>
                </c:pt>
                <c:pt idx="2">
                  <c:v>0.1</c:v>
                </c:pt>
                <c:pt idx="3">
                  <c:v>0.15</c:v>
                </c:pt>
                <c:pt idx="4">
                  <c:v>0.2</c:v>
                </c:pt>
              </c:numCache>
            </c:numRef>
          </c:cat>
          <c:val>
            <c:numRef>
              <c:f>'Pivot Tables'!$C$39:$C$43</c:f>
              <c:numCache>
                <c:formatCode>0%</c:formatCode>
                <c:ptCount val="5"/>
                <c:pt idx="0">
                  <c:v>-0.11375916236738684</c:v>
                </c:pt>
                <c:pt idx="1">
                  <c:v>-8.3534260021130416E-2</c:v>
                </c:pt>
                <c:pt idx="2">
                  <c:v>5.4477029547866387E-2</c:v>
                </c:pt>
                <c:pt idx="3">
                  <c:v>-0.4340740653732299</c:v>
                </c:pt>
                <c:pt idx="4">
                  <c:v>-0.16544017134611066</c:v>
                </c:pt>
              </c:numCache>
            </c:numRef>
          </c:val>
          <c:smooth val="0"/>
          <c:extLst>
            <c:ext xmlns:c16="http://schemas.microsoft.com/office/drawing/2014/chart" uri="{C3380CC4-5D6E-409C-BE32-E72D297353CC}">
              <c16:uniqueId val="{00000001-15A1-425E-9564-7A9C7D9BFF45}"/>
            </c:ext>
          </c:extLst>
        </c:ser>
        <c:dLbls>
          <c:showLegendKey val="0"/>
          <c:showVal val="1"/>
          <c:showCatName val="0"/>
          <c:showSerName val="0"/>
          <c:showPercent val="0"/>
          <c:showBubbleSize val="0"/>
        </c:dLbls>
        <c:marker val="1"/>
        <c:smooth val="0"/>
        <c:axId val="1271713599"/>
        <c:axId val="1271715999"/>
      </c:lineChart>
      <c:catAx>
        <c:axId val="1271709759"/>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1712639"/>
        <c:crosses val="autoZero"/>
        <c:auto val="1"/>
        <c:lblAlgn val="ctr"/>
        <c:lblOffset val="100"/>
        <c:noMultiLvlLbl val="0"/>
      </c:catAx>
      <c:valAx>
        <c:axId val="127171263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1709759"/>
        <c:crosses val="autoZero"/>
        <c:crossBetween val="between"/>
      </c:valAx>
      <c:valAx>
        <c:axId val="1271715999"/>
        <c:scaling>
          <c:orientation val="minMax"/>
        </c:scaling>
        <c:delete val="0"/>
        <c:axPos val="r"/>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1713599"/>
        <c:crosses val="max"/>
        <c:crossBetween val="between"/>
      </c:valAx>
      <c:catAx>
        <c:axId val="1271713599"/>
        <c:scaling>
          <c:orientation val="minMax"/>
        </c:scaling>
        <c:delete val="1"/>
        <c:axPos val="b"/>
        <c:numFmt formatCode="0%" sourceLinked="1"/>
        <c:majorTickMark val="none"/>
        <c:minorTickMark val="none"/>
        <c:tickLblPos val="nextTo"/>
        <c:crossAx val="1271715999"/>
        <c:crosses val="autoZero"/>
        <c:auto val="1"/>
        <c:lblAlgn val="ctr"/>
        <c:lblOffset val="100"/>
        <c:noMultiLvlLbl val="0"/>
      </c:cat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 Analysis Project.xlsx]Pivot Tables!PivotTable32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 Profit Trend</a:t>
            </a:r>
            <a:r>
              <a:rPr lang="en-US" b="1" baseline="0">
                <a:solidFill>
                  <a:schemeClr val="tx1"/>
                </a:solidFill>
              </a:rPr>
              <a:t>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Tables'!$I$19:$I$20</c:f>
              <c:strCache>
                <c:ptCount val="1"/>
                <c:pt idx="0">
                  <c:v>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Tables'!$I$21:$I$33</c:f>
              <c:numCache>
                <c:formatCode>0.00</c:formatCode>
                <c:ptCount val="12"/>
                <c:pt idx="0">
                  <c:v>2029.3959999999968</c:v>
                </c:pt>
                <c:pt idx="1">
                  <c:v>7084.7134999999971</c:v>
                </c:pt>
                <c:pt idx="2">
                  <c:v>5171.7884999999915</c:v>
                </c:pt>
                <c:pt idx="3">
                  <c:v>3954.8374999999892</c:v>
                </c:pt>
                <c:pt idx="4">
                  <c:v>7792.0664999999872</c:v>
                </c:pt>
                <c:pt idx="5">
                  <c:v>3519.6070000000004</c:v>
                </c:pt>
                <c:pt idx="6">
                  <c:v>9437.5099999999948</c:v>
                </c:pt>
                <c:pt idx="7">
                  <c:v>7626.4734999999746</c:v>
                </c:pt>
                <c:pt idx="8">
                  <c:v>5820.2939999999971</c:v>
                </c:pt>
                <c:pt idx="9">
                  <c:v>10800.577999999985</c:v>
                </c:pt>
                <c:pt idx="10">
                  <c:v>2878.1564999999987</c:v>
                </c:pt>
                <c:pt idx="11">
                  <c:v>2045.1114999999957</c:v>
                </c:pt>
              </c:numCache>
            </c:numRef>
          </c:val>
          <c:smooth val="0"/>
          <c:extLst>
            <c:ext xmlns:c16="http://schemas.microsoft.com/office/drawing/2014/chart" uri="{C3380CC4-5D6E-409C-BE32-E72D297353CC}">
              <c16:uniqueId val="{00000000-A47B-47CE-B405-6EE23112E20A}"/>
            </c:ext>
          </c:extLst>
        </c:ser>
        <c:ser>
          <c:idx val="1"/>
          <c:order val="1"/>
          <c:tx>
            <c:strRef>
              <c:f>'Pivot Tables'!$J$19:$J$20</c:f>
              <c:strCache>
                <c:ptCount val="1"/>
                <c:pt idx="0">
                  <c:v>2026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Tables'!$J$21:$J$33</c:f>
              <c:numCache>
                <c:formatCode>0.00</c:formatCode>
                <c:ptCount val="12"/>
                <c:pt idx="0">
                  <c:v>9268.6359999999822</c:v>
                </c:pt>
                <c:pt idx="1">
                  <c:v>8965.1434999999856</c:v>
                </c:pt>
                <c:pt idx="2">
                  <c:v>3657.3784999999998</c:v>
                </c:pt>
                <c:pt idx="3">
                  <c:v>3968.6864999999966</c:v>
                </c:pt>
                <c:pt idx="4">
                  <c:v>5043.3964999999998</c:v>
                </c:pt>
              </c:numCache>
            </c:numRef>
          </c:val>
          <c:smooth val="0"/>
          <c:extLst>
            <c:ext xmlns:c16="http://schemas.microsoft.com/office/drawing/2014/chart" uri="{C3380CC4-5D6E-409C-BE32-E72D297353CC}">
              <c16:uniqueId val="{00000001-A47B-47CE-B405-6EE23112E20A}"/>
            </c:ext>
          </c:extLst>
        </c:ser>
        <c:dLbls>
          <c:showLegendKey val="0"/>
          <c:showVal val="0"/>
          <c:showCatName val="0"/>
          <c:showSerName val="0"/>
          <c:showPercent val="0"/>
          <c:showBubbleSize val="0"/>
        </c:dLbls>
        <c:marker val="1"/>
        <c:smooth val="0"/>
        <c:axId val="1271708799"/>
        <c:axId val="1271719359"/>
      </c:lineChart>
      <c:catAx>
        <c:axId val="127170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1719359"/>
        <c:crosses val="autoZero"/>
        <c:auto val="1"/>
        <c:lblAlgn val="ctr"/>
        <c:lblOffset val="100"/>
        <c:noMultiLvlLbl val="0"/>
      </c:catAx>
      <c:valAx>
        <c:axId val="1271719359"/>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7170879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 Analysis Project.xlsx]Pivot Tables!PivotTable37</c:name>
    <c:fmtId val="5"/>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Online</a:t>
            </a:r>
            <a:r>
              <a:rPr lang="en-US" b="1" baseline="0">
                <a:solidFill>
                  <a:schemeClr val="tx1"/>
                </a:solidFill>
              </a:rPr>
              <a:t> vs In-store Revenue Performance</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Tables'!$F$9</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D7C3-4DFA-8D1D-745EC06D1B4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7C3-4DFA-8D1D-745EC06D1B42}"/>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Tables'!$E$10:$E$12</c:f>
              <c:strCache>
                <c:ptCount val="2"/>
                <c:pt idx="0">
                  <c:v>In-Store</c:v>
                </c:pt>
                <c:pt idx="1">
                  <c:v>Online</c:v>
                </c:pt>
              </c:strCache>
            </c:strRef>
          </c:cat>
          <c:val>
            <c:numRef>
              <c:f>'Pivot Tables'!$F$10:$F$12</c:f>
              <c:numCache>
                <c:formatCode>0.00</c:formatCode>
                <c:ptCount val="2"/>
                <c:pt idx="0">
                  <c:v>144694.4359999999</c:v>
                </c:pt>
                <c:pt idx="1">
                  <c:v>149653.94749999986</c:v>
                </c:pt>
              </c:numCache>
            </c:numRef>
          </c:val>
          <c:extLst>
            <c:ext xmlns:c16="http://schemas.microsoft.com/office/drawing/2014/chart" uri="{C3380CC4-5D6E-409C-BE32-E72D297353CC}">
              <c16:uniqueId val="{00000004-D7C3-4DFA-8D1D-745EC06D1B42}"/>
            </c:ext>
          </c:extLst>
        </c:ser>
        <c:dLbls>
          <c:dLblPos val="ctr"/>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Sales &amp; Profit Analysis Project.xlsx]Pivot Tables!PivotTable31</c:name>
    <c:fmtId val="1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Monthly</a:t>
            </a:r>
            <a:r>
              <a:rPr lang="en-US" b="1" baseline="0">
                <a:solidFill>
                  <a:schemeClr val="tx1"/>
                </a:solidFill>
              </a:rPr>
              <a:t> Revenue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Tables'!$I$2:$I$3</c:f>
              <c:strCache>
                <c:ptCount val="1"/>
                <c:pt idx="0">
                  <c:v>2025</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Tables'!$I$4:$I$16</c:f>
              <c:numCache>
                <c:formatCode>0.00</c:formatCode>
                <c:ptCount val="12"/>
                <c:pt idx="0">
                  <c:v>15354.435999999996</c:v>
                </c:pt>
                <c:pt idx="1">
                  <c:v>18495.753499999992</c:v>
                </c:pt>
                <c:pt idx="2">
                  <c:v>18895.978499999987</c:v>
                </c:pt>
                <c:pt idx="3">
                  <c:v>13665.40749999997</c:v>
                </c:pt>
                <c:pt idx="4">
                  <c:v>21678.336499999994</c:v>
                </c:pt>
                <c:pt idx="5">
                  <c:v>18623.816999999985</c:v>
                </c:pt>
                <c:pt idx="6">
                  <c:v>21368.689999999995</c:v>
                </c:pt>
                <c:pt idx="7">
                  <c:v>21150.483499999962</c:v>
                </c:pt>
                <c:pt idx="8">
                  <c:v>14660.303999999996</c:v>
                </c:pt>
                <c:pt idx="9">
                  <c:v>20405.617999999995</c:v>
                </c:pt>
                <c:pt idx="10">
                  <c:v>12319.746499999988</c:v>
                </c:pt>
                <c:pt idx="11">
                  <c:v>15132.011499999991</c:v>
                </c:pt>
              </c:numCache>
            </c:numRef>
          </c:val>
          <c:smooth val="0"/>
          <c:extLst>
            <c:ext xmlns:c16="http://schemas.microsoft.com/office/drawing/2014/chart" uri="{C3380CC4-5D6E-409C-BE32-E72D297353CC}">
              <c16:uniqueId val="{00000000-BB10-494D-95A6-A5F6600BE34B}"/>
            </c:ext>
          </c:extLst>
        </c:ser>
        <c:ser>
          <c:idx val="1"/>
          <c:order val="1"/>
          <c:tx>
            <c:strRef>
              <c:f>'Pivot Tables'!$J$2:$J$3</c:f>
              <c:strCache>
                <c:ptCount val="1"/>
                <c:pt idx="0">
                  <c:v>2026</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Tables'!$H$4:$H$16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Tables'!$J$4:$J$16</c:f>
              <c:numCache>
                <c:formatCode>0.00</c:formatCode>
                <c:ptCount val="12"/>
                <c:pt idx="0">
                  <c:v>20090.045999999951</c:v>
                </c:pt>
                <c:pt idx="1">
                  <c:v>19512.253499999973</c:v>
                </c:pt>
                <c:pt idx="2">
                  <c:v>16489.738499999989</c:v>
                </c:pt>
                <c:pt idx="3">
                  <c:v>17029.756499999996</c:v>
                </c:pt>
                <c:pt idx="4">
                  <c:v>9476.0064999999886</c:v>
                </c:pt>
              </c:numCache>
            </c:numRef>
          </c:val>
          <c:smooth val="0"/>
          <c:extLst>
            <c:ext xmlns:c16="http://schemas.microsoft.com/office/drawing/2014/chart" uri="{C3380CC4-5D6E-409C-BE32-E72D297353CC}">
              <c16:uniqueId val="{00000001-BB10-494D-95A6-A5F6600BE34B}"/>
            </c:ext>
          </c:extLst>
        </c:ser>
        <c:dLbls>
          <c:showLegendKey val="0"/>
          <c:showVal val="0"/>
          <c:showCatName val="0"/>
          <c:showSerName val="0"/>
          <c:showPercent val="0"/>
          <c:showBubbleSize val="0"/>
        </c:dLbls>
        <c:marker val="1"/>
        <c:smooth val="0"/>
        <c:axId val="1018996191"/>
        <c:axId val="1018996671"/>
      </c:lineChart>
      <c:catAx>
        <c:axId val="101899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8996671"/>
        <c:crosses val="autoZero"/>
        <c:auto val="1"/>
        <c:lblAlgn val="ctr"/>
        <c:lblOffset val="100"/>
        <c:noMultiLvlLbl val="0"/>
      </c:catAx>
      <c:valAx>
        <c:axId val="1018996671"/>
        <c:scaling>
          <c:orientation val="minMax"/>
        </c:scaling>
        <c:delete val="0"/>
        <c:axPos val="l"/>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018996191"/>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Customer Loyalty</a:t>
            </a:r>
            <a:r>
              <a:rPr lang="en-US" b="1" baseline="0">
                <a:solidFill>
                  <a:schemeClr val="tx1"/>
                </a:solidFill>
              </a:rPr>
              <a:t> Rating</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ECB8-444E-AC3F-B67F09B7AC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Loyal</c:v>
              </c:pt>
              <c:pt idx="1">
                <c:v>One-time</c:v>
              </c:pt>
              <c:pt idx="2">
                <c:v>Repeat</c:v>
              </c:pt>
            </c:strLit>
          </c:cat>
          <c:val>
            <c:numLit>
              <c:formatCode>General</c:formatCode>
              <c:ptCount val="3"/>
              <c:pt idx="0">
                <c:v>12</c:v>
              </c:pt>
              <c:pt idx="1">
                <c:v>312</c:v>
              </c:pt>
              <c:pt idx="2">
                <c:v>176</c:v>
              </c:pt>
            </c:numLit>
          </c:val>
          <c:extLst>
            <c:ext xmlns:c16="http://schemas.microsoft.com/office/drawing/2014/chart" uri="{C3380CC4-5D6E-409C-BE32-E72D297353CC}">
              <c16:uniqueId val="{00000002-ECB8-444E-AC3F-B67F09B7AC17}"/>
            </c:ext>
          </c:extLst>
        </c:ser>
        <c:dLbls>
          <c:dLblPos val="outEnd"/>
          <c:showLegendKey val="0"/>
          <c:showVal val="1"/>
          <c:showCatName val="0"/>
          <c:showSerName val="0"/>
          <c:showPercent val="0"/>
          <c:showBubbleSize val="0"/>
        </c:dLbls>
        <c:gapWidth val="100"/>
        <c:overlap val="-27"/>
        <c:axId val="1585602463"/>
        <c:axId val="1585601983"/>
      </c:barChart>
      <c:catAx>
        <c:axId val="158560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5601983"/>
        <c:crosses val="autoZero"/>
        <c:auto val="1"/>
        <c:lblAlgn val="ctr"/>
        <c:lblOffset val="100"/>
        <c:noMultiLvlLbl val="0"/>
      </c:catAx>
      <c:valAx>
        <c:axId val="1585601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58560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Top</a:t>
            </a:r>
            <a:r>
              <a:rPr lang="en-US" b="1" baseline="0">
                <a:solidFill>
                  <a:schemeClr val="tx1"/>
                </a:solidFill>
              </a:rPr>
              <a:t> 3 Products by Quantity Sold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lumMod val="50000"/>
            </a:schemeClr>
          </a:solidFill>
          <a:ln>
            <a:noFill/>
          </a:ln>
          <a:effectLst/>
        </c:spPr>
      </c:pivotFmt>
      <c:pivotFmt>
        <c:idx val="5"/>
        <c:spPr>
          <a:solidFill>
            <a:srgbClr val="00B0F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rgbClr val="00B0F0"/>
          </a:solidFill>
          <a:ln>
            <a:noFill/>
          </a:ln>
          <a:effectLst/>
        </c:spPr>
      </c:pivotFmt>
      <c:pivotFmt>
        <c:idx val="9"/>
        <c:spPr>
          <a:solidFill>
            <a:schemeClr val="accent1">
              <a:lumMod val="50000"/>
            </a:schemeClr>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2"/>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D2E4-4FAE-86E9-840D51A7854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3-D2E4-4FAE-86E9-840D51A7854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5-D2E4-4FAE-86E9-840D51A7854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Sneakers</c:v>
              </c:pt>
              <c:pt idx="1">
                <c:v>Headphones</c:v>
              </c:pt>
              <c:pt idx="2">
                <c:v>Jeans</c:v>
              </c:pt>
            </c:strLit>
          </c:cat>
          <c:val>
            <c:numLit>
              <c:formatCode>General</c:formatCode>
              <c:ptCount val="3"/>
              <c:pt idx="0">
                <c:v>410</c:v>
              </c:pt>
              <c:pt idx="1">
                <c:v>383</c:v>
              </c:pt>
              <c:pt idx="2">
                <c:v>380</c:v>
              </c:pt>
            </c:numLit>
          </c:val>
          <c:extLst>
            <c:ext xmlns:c16="http://schemas.microsoft.com/office/drawing/2014/chart" uri="{C3380CC4-5D6E-409C-BE32-E72D297353CC}">
              <c16:uniqueId val="{00000006-D2E4-4FAE-86E9-840D51A78540}"/>
            </c:ext>
          </c:extLst>
        </c:ser>
        <c:dLbls>
          <c:dLblPos val="outEnd"/>
          <c:showLegendKey val="0"/>
          <c:showVal val="1"/>
          <c:showCatName val="0"/>
          <c:showSerName val="0"/>
          <c:showPercent val="0"/>
          <c:showBubbleSize val="0"/>
        </c:dLbls>
        <c:gapWidth val="100"/>
        <c:overlap val="-27"/>
        <c:axId val="994480624"/>
        <c:axId val="994481584"/>
      </c:barChart>
      <c:catAx>
        <c:axId val="9944806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994481584"/>
        <c:crosses val="autoZero"/>
        <c:auto val="1"/>
        <c:lblAlgn val="ctr"/>
        <c:lblOffset val="100"/>
        <c:noMultiLvlLbl val="0"/>
      </c:catAx>
      <c:valAx>
        <c:axId val="994481584"/>
        <c:scaling>
          <c:orientation val="minMax"/>
        </c:scaling>
        <c:delete val="1"/>
        <c:axPos val="l"/>
        <c:numFmt formatCode="General" sourceLinked="1"/>
        <c:majorTickMark val="out"/>
        <c:minorTickMark val="none"/>
        <c:tickLblPos val="nextTo"/>
        <c:crossAx val="99448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svg"/><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absolute">
    <xdr:from>
      <xdr:col>9</xdr:col>
      <xdr:colOff>257175</xdr:colOff>
      <xdr:row>0</xdr:row>
      <xdr:rowOff>419100</xdr:rowOff>
    </xdr:from>
    <xdr:to>
      <xdr:col>9</xdr:col>
      <xdr:colOff>441906</xdr:colOff>
      <xdr:row>1</xdr:row>
      <xdr:rowOff>102635</xdr:rowOff>
    </xdr:to>
    <xdr:sp macro="" textlink="">
      <xdr:nvSpPr>
        <xdr:cNvPr id="35" name="TextBox 34">
          <a:extLst>
            <a:ext uri="{FF2B5EF4-FFF2-40B4-BE49-F238E27FC236}">
              <a16:creationId xmlns:a16="http://schemas.microsoft.com/office/drawing/2014/main" id="{7E2F4790-76C8-4D2B-3548-E4985BAC698B}"/>
            </a:ext>
          </a:extLst>
        </xdr:cNvPr>
        <xdr:cNvSpPr txBox="1"/>
      </xdr:nvSpPr>
      <xdr:spPr>
        <a:xfrm>
          <a:off x="6457950" y="41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twoCellAnchor>
  <xdr:twoCellAnchor editAs="absolute">
    <xdr:from>
      <xdr:col>7</xdr:col>
      <xdr:colOff>517275</xdr:colOff>
      <xdr:row>0</xdr:row>
      <xdr:rowOff>47625</xdr:rowOff>
    </xdr:from>
    <xdr:to>
      <xdr:col>11</xdr:col>
      <xdr:colOff>381750</xdr:colOff>
      <xdr:row>1</xdr:row>
      <xdr:rowOff>210298</xdr:rowOff>
    </xdr:to>
    <xdr:grpSp>
      <xdr:nvGrpSpPr>
        <xdr:cNvPr id="2" name="Group 1">
          <a:extLst>
            <a:ext uri="{FF2B5EF4-FFF2-40B4-BE49-F238E27FC236}">
              <a16:creationId xmlns:a16="http://schemas.microsoft.com/office/drawing/2014/main" id="{E6809A3C-5195-09DE-ED8B-8D7388F9F837}"/>
            </a:ext>
          </a:extLst>
        </xdr:cNvPr>
        <xdr:cNvGrpSpPr/>
      </xdr:nvGrpSpPr>
      <xdr:grpSpPr>
        <a:xfrm>
          <a:off x="5498850" y="47625"/>
          <a:ext cx="2302875" cy="743698"/>
          <a:chOff x="5632200" y="295274"/>
          <a:chExt cx="2302875" cy="838949"/>
        </a:xfrm>
      </xdr:grpSpPr>
      <xdr:grpSp>
        <xdr:nvGrpSpPr>
          <xdr:cNvPr id="33" name="Group 32">
            <a:extLst>
              <a:ext uri="{FF2B5EF4-FFF2-40B4-BE49-F238E27FC236}">
                <a16:creationId xmlns:a16="http://schemas.microsoft.com/office/drawing/2014/main" id="{F4578C2E-410D-6113-521D-B1C6E96D9203}"/>
              </a:ext>
            </a:extLst>
          </xdr:cNvPr>
          <xdr:cNvGrpSpPr/>
        </xdr:nvGrpSpPr>
        <xdr:grpSpPr>
          <a:xfrm>
            <a:off x="5632200" y="295274"/>
            <a:ext cx="2302875" cy="838949"/>
            <a:chOff x="5632200" y="178049"/>
            <a:chExt cx="2302875" cy="1080000"/>
          </a:xfrm>
        </xdr:grpSpPr>
        <xdr:sp macro="" textlink="">
          <xdr:nvSpPr>
            <xdr:cNvPr id="6" name="Rectangle: Top Corners Rounded 5">
              <a:extLst>
                <a:ext uri="{FF2B5EF4-FFF2-40B4-BE49-F238E27FC236}">
                  <a16:creationId xmlns:a16="http://schemas.microsoft.com/office/drawing/2014/main" id="{7A9685FC-6FCC-DD81-7D96-50B7183C9A7B}"/>
                </a:ext>
              </a:extLst>
            </xdr:cNvPr>
            <xdr:cNvSpPr/>
          </xdr:nvSpPr>
          <xdr:spPr>
            <a:xfrm rot="16200000">
              <a:off x="6172200" y="-361951"/>
              <a:ext cx="1080000" cy="2160000"/>
            </a:xfrm>
            <a:prstGeom prst="round2SameRect">
              <a:avLst>
                <a:gd name="adj1" fmla="val 7848"/>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sp macro="" textlink="">
          <xdr:nvSpPr>
            <xdr:cNvPr id="7" name="Rectangle: Top Corners Rounded 6">
              <a:extLst>
                <a:ext uri="{FF2B5EF4-FFF2-40B4-BE49-F238E27FC236}">
                  <a16:creationId xmlns:a16="http://schemas.microsoft.com/office/drawing/2014/main" id="{5BF0D47A-2E89-3B6D-5E01-8DBC873227A4}"/>
                </a:ext>
              </a:extLst>
            </xdr:cNvPr>
            <xdr:cNvSpPr/>
          </xdr:nvSpPr>
          <xdr:spPr>
            <a:xfrm rot="5400000">
              <a:off x="6315075" y="-361951"/>
              <a:ext cx="1080000" cy="2160000"/>
            </a:xfrm>
            <a:prstGeom prst="round2SameRect">
              <a:avLst>
                <a:gd name="adj1" fmla="val 7848"/>
                <a:gd name="adj2"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chemeClr val="bg1"/>
                </a:solidFill>
              </a:endParaRPr>
            </a:p>
          </xdr:txBody>
        </xdr:sp>
        <xdr:cxnSp macro="">
          <xdr:nvCxnSpPr>
            <xdr:cNvPr id="9" name="Straight Connector 8">
              <a:extLst>
                <a:ext uri="{FF2B5EF4-FFF2-40B4-BE49-F238E27FC236}">
                  <a16:creationId xmlns:a16="http://schemas.microsoft.com/office/drawing/2014/main" id="{A842F1D5-9519-C9B7-5A34-BF4E2553A6EF}"/>
                </a:ext>
              </a:extLst>
            </xdr:cNvPr>
            <xdr:cNvCxnSpPr/>
          </xdr:nvCxnSpPr>
          <xdr:spPr>
            <a:xfrm>
              <a:off x="6391275" y="352425"/>
              <a:ext cx="0" cy="723900"/>
            </a:xfrm>
            <a:prstGeom prst="line">
              <a:avLst/>
            </a:prstGeom>
            <a:ln w="12700"/>
          </xdr:spPr>
          <xdr:style>
            <a:lnRef idx="1">
              <a:schemeClr val="accent1"/>
            </a:lnRef>
            <a:fillRef idx="0">
              <a:schemeClr val="accent1"/>
            </a:fillRef>
            <a:effectRef idx="0">
              <a:schemeClr val="accent1"/>
            </a:effectRef>
            <a:fontRef idx="minor">
              <a:schemeClr val="tx1"/>
            </a:fontRef>
          </xdr:style>
        </xdr:cxnSp>
      </xdr:grpSp>
      <xdr:pic>
        <xdr:nvPicPr>
          <xdr:cNvPr id="28" name="Graphic 27" descr="Bar graph with upward trend">
            <a:extLst>
              <a:ext uri="{FF2B5EF4-FFF2-40B4-BE49-F238E27FC236}">
                <a16:creationId xmlns:a16="http://schemas.microsoft.com/office/drawing/2014/main" id="{33CD398C-0A56-2760-3E73-E0F0163D94B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791200" y="420320"/>
            <a:ext cx="594360" cy="594360"/>
          </a:xfrm>
          <a:prstGeom prst="rect">
            <a:avLst/>
          </a:prstGeom>
        </xdr:spPr>
      </xdr:pic>
      <xdr:grpSp>
        <xdr:nvGrpSpPr>
          <xdr:cNvPr id="40" name="Group 39">
            <a:extLst>
              <a:ext uri="{FF2B5EF4-FFF2-40B4-BE49-F238E27FC236}">
                <a16:creationId xmlns:a16="http://schemas.microsoft.com/office/drawing/2014/main" id="{8F217997-6DAE-5EB7-74BB-C185B0FB061C}"/>
              </a:ext>
            </a:extLst>
          </xdr:cNvPr>
          <xdr:cNvGrpSpPr/>
        </xdr:nvGrpSpPr>
        <xdr:grpSpPr>
          <a:xfrm>
            <a:off x="6438900" y="381000"/>
            <a:ext cx="1457325" cy="666750"/>
            <a:chOff x="6438900" y="381000"/>
            <a:chExt cx="1457325" cy="666750"/>
          </a:xfrm>
        </xdr:grpSpPr>
        <xdr:sp macro="" textlink="'Pivot Tables'!F16">
          <xdr:nvSpPr>
            <xdr:cNvPr id="37" name="TextBox 36">
              <a:extLst>
                <a:ext uri="{FF2B5EF4-FFF2-40B4-BE49-F238E27FC236}">
                  <a16:creationId xmlns:a16="http://schemas.microsoft.com/office/drawing/2014/main" id="{8CAB8504-42C5-245D-F4CA-33A5C988FCF0}"/>
                </a:ext>
              </a:extLst>
            </xdr:cNvPr>
            <xdr:cNvSpPr txBox="1"/>
          </xdr:nvSpPr>
          <xdr:spPr>
            <a:xfrm>
              <a:off x="6438900" y="381000"/>
              <a:ext cx="1457325" cy="3905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2C9DEC-1879-4DB0-B4E9-D32D1121513B}" type="TxLink">
                <a:rPr lang="en-US" sz="2000" b="1" i="0" u="none" strike="noStrike">
                  <a:solidFill>
                    <a:schemeClr val="accent2"/>
                  </a:solidFill>
                  <a:latin typeface="Calibri"/>
                  <a:cs typeface="Calibri"/>
                </a:rPr>
                <a:pPr algn="ctr"/>
                <a:t>2467</a:t>
              </a:fld>
              <a:endParaRPr lang="en-US" sz="2000" b="1">
                <a:solidFill>
                  <a:schemeClr val="accent2"/>
                </a:solidFill>
              </a:endParaRPr>
            </a:p>
          </xdr:txBody>
        </xdr:sp>
        <xdr:sp macro="" textlink="">
          <xdr:nvSpPr>
            <xdr:cNvPr id="38" name="TextBox 37">
              <a:extLst>
                <a:ext uri="{FF2B5EF4-FFF2-40B4-BE49-F238E27FC236}">
                  <a16:creationId xmlns:a16="http://schemas.microsoft.com/office/drawing/2014/main" id="{17F199C6-9365-1A2A-CE7A-810FAF2623E8}"/>
                </a:ext>
              </a:extLst>
            </xdr:cNvPr>
            <xdr:cNvSpPr txBox="1"/>
          </xdr:nvSpPr>
          <xdr:spPr>
            <a:xfrm>
              <a:off x="6438900" y="809625"/>
              <a:ext cx="14573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solidFill>
                </a:rPr>
                <a:t>QUANTITY</a:t>
              </a:r>
              <a:r>
                <a:rPr lang="en-US" sz="1400">
                  <a:solidFill>
                    <a:schemeClr val="accent2"/>
                  </a:solidFill>
                </a:rPr>
                <a:t> </a:t>
              </a:r>
              <a:r>
                <a:rPr lang="en-US" sz="1400" b="1">
                  <a:solidFill>
                    <a:schemeClr val="accent2"/>
                  </a:solidFill>
                </a:rPr>
                <a:t>SOLD</a:t>
              </a:r>
            </a:p>
          </xdr:txBody>
        </xdr:sp>
      </xdr:grpSp>
    </xdr:grpSp>
    <xdr:clientData/>
  </xdr:twoCellAnchor>
  <xdr:twoCellAnchor editAs="absolute">
    <xdr:from>
      <xdr:col>15</xdr:col>
      <xdr:colOff>555375</xdr:colOff>
      <xdr:row>0</xdr:row>
      <xdr:rowOff>47625</xdr:rowOff>
    </xdr:from>
    <xdr:to>
      <xdr:col>19</xdr:col>
      <xdr:colOff>419851</xdr:colOff>
      <xdr:row>1</xdr:row>
      <xdr:rowOff>210298</xdr:rowOff>
    </xdr:to>
    <xdr:grpSp>
      <xdr:nvGrpSpPr>
        <xdr:cNvPr id="3" name="Group 2">
          <a:extLst>
            <a:ext uri="{FF2B5EF4-FFF2-40B4-BE49-F238E27FC236}">
              <a16:creationId xmlns:a16="http://schemas.microsoft.com/office/drawing/2014/main" id="{DFC6722F-78B3-60E1-DA3E-1723ED1CECB8}"/>
            </a:ext>
          </a:extLst>
        </xdr:cNvPr>
        <xdr:cNvGrpSpPr/>
      </xdr:nvGrpSpPr>
      <xdr:grpSpPr>
        <a:xfrm>
          <a:off x="10413750" y="47625"/>
          <a:ext cx="2302876" cy="743698"/>
          <a:chOff x="5632200" y="295273"/>
          <a:chExt cx="2302876" cy="838950"/>
        </a:xfrm>
      </xdr:grpSpPr>
      <xdr:grpSp>
        <xdr:nvGrpSpPr>
          <xdr:cNvPr id="4" name="Group 3">
            <a:extLst>
              <a:ext uri="{FF2B5EF4-FFF2-40B4-BE49-F238E27FC236}">
                <a16:creationId xmlns:a16="http://schemas.microsoft.com/office/drawing/2014/main" id="{98F9D199-C555-8A2B-241B-619CA3DC8B36}"/>
              </a:ext>
            </a:extLst>
          </xdr:cNvPr>
          <xdr:cNvGrpSpPr/>
        </xdr:nvGrpSpPr>
        <xdr:grpSpPr>
          <a:xfrm>
            <a:off x="5632200" y="295273"/>
            <a:ext cx="2302876" cy="838950"/>
            <a:chOff x="5632200" y="178048"/>
            <a:chExt cx="2302876" cy="1080001"/>
          </a:xfrm>
        </xdr:grpSpPr>
        <xdr:sp macro="" textlink="">
          <xdr:nvSpPr>
            <xdr:cNvPr id="12" name="Rectangle: Top Corners Rounded 11">
              <a:extLst>
                <a:ext uri="{FF2B5EF4-FFF2-40B4-BE49-F238E27FC236}">
                  <a16:creationId xmlns:a16="http://schemas.microsoft.com/office/drawing/2014/main" id="{8C0147BA-10B5-880B-C9DB-EB19BAD38BC8}"/>
                </a:ext>
              </a:extLst>
            </xdr:cNvPr>
            <xdr:cNvSpPr/>
          </xdr:nvSpPr>
          <xdr:spPr>
            <a:xfrm rot="16200000">
              <a:off x="6172200" y="-361951"/>
              <a:ext cx="1080000" cy="2160000"/>
            </a:xfrm>
            <a:prstGeom prst="round2SameRect">
              <a:avLst>
                <a:gd name="adj1" fmla="val 7848"/>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sp macro="" textlink="">
          <xdr:nvSpPr>
            <xdr:cNvPr id="13" name="Rectangle: Top Corners Rounded 12">
              <a:extLst>
                <a:ext uri="{FF2B5EF4-FFF2-40B4-BE49-F238E27FC236}">
                  <a16:creationId xmlns:a16="http://schemas.microsoft.com/office/drawing/2014/main" id="{9202B199-00F3-31CA-94B5-27D7325600B8}"/>
                </a:ext>
              </a:extLst>
            </xdr:cNvPr>
            <xdr:cNvSpPr/>
          </xdr:nvSpPr>
          <xdr:spPr>
            <a:xfrm rot="5400000">
              <a:off x="6315076" y="-361952"/>
              <a:ext cx="1080000" cy="2160000"/>
            </a:xfrm>
            <a:prstGeom prst="round2SameRect">
              <a:avLst>
                <a:gd name="adj1" fmla="val 7848"/>
                <a:gd name="adj2"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chemeClr val="bg1"/>
                </a:solidFill>
              </a:endParaRPr>
            </a:p>
          </xdr:txBody>
        </xdr:sp>
        <xdr:cxnSp macro="">
          <xdr:nvCxnSpPr>
            <xdr:cNvPr id="14" name="Straight Connector 13">
              <a:extLst>
                <a:ext uri="{FF2B5EF4-FFF2-40B4-BE49-F238E27FC236}">
                  <a16:creationId xmlns:a16="http://schemas.microsoft.com/office/drawing/2014/main" id="{C6D2E4E9-63B1-2914-1A5A-9BB6C4D78633}"/>
                </a:ext>
              </a:extLst>
            </xdr:cNvPr>
            <xdr:cNvCxnSpPr/>
          </xdr:nvCxnSpPr>
          <xdr:spPr>
            <a:xfrm>
              <a:off x="6391275" y="352425"/>
              <a:ext cx="0" cy="723900"/>
            </a:xfrm>
            <a:prstGeom prst="line">
              <a:avLst/>
            </a:prstGeom>
            <a:ln w="12700"/>
          </xdr:spPr>
          <xdr:style>
            <a:lnRef idx="1">
              <a:schemeClr val="accent1"/>
            </a:lnRef>
            <a:fillRef idx="0">
              <a:schemeClr val="accent1"/>
            </a:fillRef>
            <a:effectRef idx="0">
              <a:schemeClr val="accent1"/>
            </a:effectRef>
            <a:fontRef idx="minor">
              <a:schemeClr val="tx1"/>
            </a:fontRef>
          </xdr:style>
        </xdr:cxnSp>
      </xdr:grpSp>
      <xdr:grpSp>
        <xdr:nvGrpSpPr>
          <xdr:cNvPr id="8" name="Group 7">
            <a:extLst>
              <a:ext uri="{FF2B5EF4-FFF2-40B4-BE49-F238E27FC236}">
                <a16:creationId xmlns:a16="http://schemas.microsoft.com/office/drawing/2014/main" id="{A156E149-C4C6-A2D2-D2B2-8D4FBAB2F282}"/>
              </a:ext>
            </a:extLst>
          </xdr:cNvPr>
          <xdr:cNvGrpSpPr/>
        </xdr:nvGrpSpPr>
        <xdr:grpSpPr>
          <a:xfrm>
            <a:off x="6438900" y="381000"/>
            <a:ext cx="1457325" cy="666750"/>
            <a:chOff x="6438900" y="381000"/>
            <a:chExt cx="1457325" cy="666750"/>
          </a:xfrm>
        </xdr:grpSpPr>
        <xdr:sp macro="" textlink="'Pivot Tables'!F18">
          <xdr:nvSpPr>
            <xdr:cNvPr id="10" name="TextBox 9">
              <a:extLst>
                <a:ext uri="{FF2B5EF4-FFF2-40B4-BE49-F238E27FC236}">
                  <a16:creationId xmlns:a16="http://schemas.microsoft.com/office/drawing/2014/main" id="{95E7F865-7DA3-785A-D2CB-F08E0B24C86E}"/>
                </a:ext>
              </a:extLst>
            </xdr:cNvPr>
            <xdr:cNvSpPr txBox="1"/>
          </xdr:nvSpPr>
          <xdr:spPr>
            <a:xfrm>
              <a:off x="6438900" y="381000"/>
              <a:ext cx="1457325" cy="3905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9CDEA8-743F-445E-869A-8AC52C717C66}" type="TxLink">
                <a:rPr lang="en-US" sz="2000" b="1" i="0" u="none" strike="noStrike">
                  <a:solidFill>
                    <a:schemeClr val="accent2"/>
                  </a:solidFill>
                  <a:latin typeface="Calibri"/>
                  <a:cs typeface="Calibri"/>
                </a:rPr>
                <a:pPr algn="ctr"/>
                <a:t>$99,064</a:t>
              </a:fld>
              <a:endParaRPr lang="en-US" sz="2000" b="1">
                <a:solidFill>
                  <a:schemeClr val="accent2"/>
                </a:solidFill>
              </a:endParaRPr>
            </a:p>
          </xdr:txBody>
        </xdr:sp>
        <xdr:sp macro="" textlink="">
          <xdr:nvSpPr>
            <xdr:cNvPr id="11" name="TextBox 10">
              <a:extLst>
                <a:ext uri="{FF2B5EF4-FFF2-40B4-BE49-F238E27FC236}">
                  <a16:creationId xmlns:a16="http://schemas.microsoft.com/office/drawing/2014/main" id="{2119D213-759F-D58D-1DB6-40B4852C57C7}"/>
                </a:ext>
              </a:extLst>
            </xdr:cNvPr>
            <xdr:cNvSpPr txBox="1"/>
          </xdr:nvSpPr>
          <xdr:spPr>
            <a:xfrm>
              <a:off x="6438900" y="809625"/>
              <a:ext cx="14573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solidFill>
                </a:rPr>
                <a:t>PROFIT</a:t>
              </a:r>
            </a:p>
          </xdr:txBody>
        </xdr:sp>
      </xdr:grpSp>
    </xdr:grpSp>
    <xdr:clientData/>
  </xdr:twoCellAnchor>
  <xdr:twoCellAnchor editAs="absolute">
    <xdr:from>
      <xdr:col>11</xdr:col>
      <xdr:colOff>536325</xdr:colOff>
      <xdr:row>0</xdr:row>
      <xdr:rowOff>47625</xdr:rowOff>
    </xdr:from>
    <xdr:to>
      <xdr:col>15</xdr:col>
      <xdr:colOff>400800</xdr:colOff>
      <xdr:row>1</xdr:row>
      <xdr:rowOff>210298</xdr:rowOff>
    </xdr:to>
    <xdr:grpSp>
      <xdr:nvGrpSpPr>
        <xdr:cNvPr id="15" name="Group 14">
          <a:extLst>
            <a:ext uri="{FF2B5EF4-FFF2-40B4-BE49-F238E27FC236}">
              <a16:creationId xmlns:a16="http://schemas.microsoft.com/office/drawing/2014/main" id="{B23A4358-98A3-A21F-9204-7136C7D6030C}"/>
            </a:ext>
          </a:extLst>
        </xdr:cNvPr>
        <xdr:cNvGrpSpPr/>
      </xdr:nvGrpSpPr>
      <xdr:grpSpPr>
        <a:xfrm>
          <a:off x="7956300" y="47625"/>
          <a:ext cx="2302875" cy="743698"/>
          <a:chOff x="5632200" y="295274"/>
          <a:chExt cx="2302875" cy="838949"/>
        </a:xfrm>
      </xdr:grpSpPr>
      <xdr:grpSp>
        <xdr:nvGrpSpPr>
          <xdr:cNvPr id="16" name="Group 15">
            <a:extLst>
              <a:ext uri="{FF2B5EF4-FFF2-40B4-BE49-F238E27FC236}">
                <a16:creationId xmlns:a16="http://schemas.microsoft.com/office/drawing/2014/main" id="{4A0D3D82-1A0B-AFCC-500B-0A643609C1E5}"/>
              </a:ext>
            </a:extLst>
          </xdr:cNvPr>
          <xdr:cNvGrpSpPr/>
        </xdr:nvGrpSpPr>
        <xdr:grpSpPr>
          <a:xfrm>
            <a:off x="5632200" y="295274"/>
            <a:ext cx="2302875" cy="838949"/>
            <a:chOff x="5632200" y="178049"/>
            <a:chExt cx="2302875" cy="1080000"/>
          </a:xfrm>
        </xdr:grpSpPr>
        <xdr:sp macro="" textlink="">
          <xdr:nvSpPr>
            <xdr:cNvPr id="31" name="Rectangle: Top Corners Rounded 30">
              <a:extLst>
                <a:ext uri="{FF2B5EF4-FFF2-40B4-BE49-F238E27FC236}">
                  <a16:creationId xmlns:a16="http://schemas.microsoft.com/office/drawing/2014/main" id="{A513B17B-4E84-AD0E-8459-8BE2F54E3FBA}"/>
                </a:ext>
              </a:extLst>
            </xdr:cNvPr>
            <xdr:cNvSpPr/>
          </xdr:nvSpPr>
          <xdr:spPr>
            <a:xfrm rot="16200000">
              <a:off x="6172200" y="-361951"/>
              <a:ext cx="1080000" cy="2160000"/>
            </a:xfrm>
            <a:prstGeom prst="round2SameRect">
              <a:avLst>
                <a:gd name="adj1" fmla="val 7848"/>
                <a:gd name="adj2" fmla="val 0"/>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sp macro="" textlink="">
          <xdr:nvSpPr>
            <xdr:cNvPr id="36" name="Rectangle: Top Corners Rounded 35">
              <a:extLst>
                <a:ext uri="{FF2B5EF4-FFF2-40B4-BE49-F238E27FC236}">
                  <a16:creationId xmlns:a16="http://schemas.microsoft.com/office/drawing/2014/main" id="{25BE2DE6-4919-0CBB-8CB7-5A40F6304222}"/>
                </a:ext>
              </a:extLst>
            </xdr:cNvPr>
            <xdr:cNvSpPr/>
          </xdr:nvSpPr>
          <xdr:spPr>
            <a:xfrm rot="5400000">
              <a:off x="6315075" y="-361951"/>
              <a:ext cx="1080000" cy="2160000"/>
            </a:xfrm>
            <a:prstGeom prst="round2SameRect">
              <a:avLst>
                <a:gd name="adj1" fmla="val 7848"/>
                <a:gd name="adj2" fmla="val 0"/>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solidFill>
                  <a:schemeClr val="bg1"/>
                </a:solidFill>
              </a:endParaRPr>
            </a:p>
          </xdr:txBody>
        </xdr:sp>
        <xdr:cxnSp macro="">
          <xdr:nvCxnSpPr>
            <xdr:cNvPr id="39" name="Straight Connector 38">
              <a:extLst>
                <a:ext uri="{FF2B5EF4-FFF2-40B4-BE49-F238E27FC236}">
                  <a16:creationId xmlns:a16="http://schemas.microsoft.com/office/drawing/2014/main" id="{5D705E2E-F8D6-211A-8D73-D39610488823}"/>
                </a:ext>
              </a:extLst>
            </xdr:cNvPr>
            <xdr:cNvCxnSpPr/>
          </xdr:nvCxnSpPr>
          <xdr:spPr>
            <a:xfrm>
              <a:off x="6391275" y="352425"/>
              <a:ext cx="0" cy="723900"/>
            </a:xfrm>
            <a:prstGeom prst="line">
              <a:avLst/>
            </a:prstGeom>
            <a:ln w="12700"/>
          </xdr:spPr>
          <xdr:style>
            <a:lnRef idx="1">
              <a:schemeClr val="accent1"/>
            </a:lnRef>
            <a:fillRef idx="0">
              <a:schemeClr val="accent1"/>
            </a:fillRef>
            <a:effectRef idx="0">
              <a:schemeClr val="accent1"/>
            </a:effectRef>
            <a:fontRef idx="minor">
              <a:schemeClr val="tx1"/>
            </a:fontRef>
          </xdr:style>
        </xdr:cxnSp>
      </xdr:grpSp>
      <xdr:grpSp>
        <xdr:nvGrpSpPr>
          <xdr:cNvPr id="18" name="Group 17">
            <a:extLst>
              <a:ext uri="{FF2B5EF4-FFF2-40B4-BE49-F238E27FC236}">
                <a16:creationId xmlns:a16="http://schemas.microsoft.com/office/drawing/2014/main" id="{08630344-8A1C-7EA2-1706-166829CF97A7}"/>
              </a:ext>
            </a:extLst>
          </xdr:cNvPr>
          <xdr:cNvGrpSpPr/>
        </xdr:nvGrpSpPr>
        <xdr:grpSpPr>
          <a:xfrm>
            <a:off x="6438900" y="381000"/>
            <a:ext cx="1457325" cy="666750"/>
            <a:chOff x="6438900" y="381000"/>
            <a:chExt cx="1457325" cy="666750"/>
          </a:xfrm>
        </xdr:grpSpPr>
        <xdr:sp macro="" textlink="'Pivot Tables'!F17">
          <xdr:nvSpPr>
            <xdr:cNvPr id="27" name="TextBox 26">
              <a:extLst>
                <a:ext uri="{FF2B5EF4-FFF2-40B4-BE49-F238E27FC236}">
                  <a16:creationId xmlns:a16="http://schemas.microsoft.com/office/drawing/2014/main" id="{FDFD9421-E559-E2D6-9627-ABEAE2B7819B}"/>
                </a:ext>
              </a:extLst>
            </xdr:cNvPr>
            <xdr:cNvSpPr txBox="1"/>
          </xdr:nvSpPr>
          <xdr:spPr>
            <a:xfrm>
              <a:off x="6438900" y="381000"/>
              <a:ext cx="1457325" cy="390525"/>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C87733-122C-41AA-94CD-7A2274605F31}" type="TxLink">
                <a:rPr lang="en-US" sz="2000" b="1" i="0" u="none" strike="noStrike">
                  <a:solidFill>
                    <a:schemeClr val="accent2"/>
                  </a:solidFill>
                  <a:latin typeface="Calibri"/>
                  <a:cs typeface="Calibri"/>
                </a:rPr>
                <a:pPr algn="ctr"/>
                <a:t>$294,348</a:t>
              </a:fld>
              <a:endParaRPr lang="en-US" sz="2000" b="1">
                <a:solidFill>
                  <a:schemeClr val="accent2"/>
                </a:solidFill>
              </a:endParaRPr>
            </a:p>
          </xdr:txBody>
        </xdr:sp>
        <xdr:sp macro="" textlink="">
          <xdr:nvSpPr>
            <xdr:cNvPr id="29" name="TextBox 28">
              <a:extLst>
                <a:ext uri="{FF2B5EF4-FFF2-40B4-BE49-F238E27FC236}">
                  <a16:creationId xmlns:a16="http://schemas.microsoft.com/office/drawing/2014/main" id="{DB1FB1FF-A711-4CAB-4786-85F8EE1AFFD3}"/>
                </a:ext>
              </a:extLst>
            </xdr:cNvPr>
            <xdr:cNvSpPr txBox="1"/>
          </xdr:nvSpPr>
          <xdr:spPr>
            <a:xfrm>
              <a:off x="6438900" y="809625"/>
              <a:ext cx="14573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accent2"/>
                  </a:solidFill>
                </a:rPr>
                <a:t>REVENUE</a:t>
              </a:r>
            </a:p>
          </xdr:txBody>
        </xdr:sp>
      </xdr:grpSp>
    </xdr:grpSp>
    <xdr:clientData/>
  </xdr:twoCellAnchor>
  <xdr:twoCellAnchor editAs="absolute">
    <xdr:from>
      <xdr:col>12</xdr:col>
      <xdr:colOff>88650</xdr:colOff>
      <xdr:row>0</xdr:row>
      <xdr:rowOff>123824</xdr:rowOff>
    </xdr:from>
    <xdr:to>
      <xdr:col>13</xdr:col>
      <xdr:colOff>73410</xdr:colOff>
      <xdr:row>1</xdr:row>
      <xdr:rowOff>137159</xdr:rowOff>
    </xdr:to>
    <xdr:pic>
      <xdr:nvPicPr>
        <xdr:cNvPr id="58" name="Graphic 57" descr="Money">
          <a:extLst>
            <a:ext uri="{FF2B5EF4-FFF2-40B4-BE49-F238E27FC236}">
              <a16:creationId xmlns:a16="http://schemas.microsoft.com/office/drawing/2014/main" id="{E3644C1C-259F-45B3-A854-BD2AC75A92A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18225" y="123824"/>
          <a:ext cx="594360" cy="594360"/>
        </a:xfrm>
        <a:prstGeom prst="rect">
          <a:avLst/>
        </a:prstGeom>
      </xdr:spPr>
    </xdr:pic>
    <xdr:clientData/>
  </xdr:twoCellAnchor>
  <xdr:twoCellAnchor editAs="absolute">
    <xdr:from>
      <xdr:col>16</xdr:col>
      <xdr:colOff>104775</xdr:colOff>
      <xdr:row>0</xdr:row>
      <xdr:rowOff>133350</xdr:rowOff>
    </xdr:from>
    <xdr:to>
      <xdr:col>17</xdr:col>
      <xdr:colOff>89535</xdr:colOff>
      <xdr:row>1</xdr:row>
      <xdr:rowOff>146685</xdr:rowOff>
    </xdr:to>
    <xdr:pic>
      <xdr:nvPicPr>
        <xdr:cNvPr id="59" name="Graphic 58" descr="Coins">
          <a:extLst>
            <a:ext uri="{FF2B5EF4-FFF2-40B4-BE49-F238E27FC236}">
              <a16:creationId xmlns:a16="http://schemas.microsoft.com/office/drawing/2014/main" id="{0FF214A0-1B7A-428B-9D56-DC951A5FF418}"/>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572750" y="133350"/>
          <a:ext cx="594360" cy="594360"/>
        </a:xfrm>
        <a:prstGeom prst="rect">
          <a:avLst/>
        </a:prstGeom>
      </xdr:spPr>
    </xdr:pic>
    <xdr:clientData/>
  </xdr:twoCellAnchor>
  <xdr:twoCellAnchor editAs="absolute">
    <xdr:from>
      <xdr:col>2</xdr:col>
      <xdr:colOff>200023</xdr:colOff>
      <xdr:row>2</xdr:row>
      <xdr:rowOff>38102</xdr:rowOff>
    </xdr:from>
    <xdr:to>
      <xdr:col>8</xdr:col>
      <xdr:colOff>19050</xdr:colOff>
      <xdr:row>10</xdr:row>
      <xdr:rowOff>142876</xdr:rowOff>
    </xdr:to>
    <xdr:graphicFrame macro="">
      <xdr:nvGraphicFramePr>
        <xdr:cNvPr id="64" name="Chart 63">
          <a:extLst>
            <a:ext uri="{FF2B5EF4-FFF2-40B4-BE49-F238E27FC236}">
              <a16:creationId xmlns:a16="http://schemas.microsoft.com/office/drawing/2014/main" id="{BAED9003-4EBF-49D7-8D85-F9DA8E7F52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38099</xdr:colOff>
      <xdr:row>2</xdr:row>
      <xdr:rowOff>28575</xdr:rowOff>
    </xdr:from>
    <xdr:to>
      <xdr:col>2</xdr:col>
      <xdr:colOff>142874</xdr:colOff>
      <xdr:row>7</xdr:row>
      <xdr:rowOff>200024</xdr:rowOff>
    </xdr:to>
    <mc:AlternateContent xmlns:mc="http://schemas.openxmlformats.org/markup-compatibility/2006" xmlns:a14="http://schemas.microsoft.com/office/drawing/2010/main">
      <mc:Choice Requires="a14">
        <xdr:graphicFrame macro="">
          <xdr:nvGraphicFramePr>
            <xdr:cNvPr id="24" name="Product_Category 1">
              <a:extLst>
                <a:ext uri="{FF2B5EF4-FFF2-40B4-BE49-F238E27FC236}">
                  <a16:creationId xmlns:a16="http://schemas.microsoft.com/office/drawing/2014/main" id="{0BDE2C9B-7243-4981-BFC1-7118A29602E2}"/>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38099" y="876300"/>
              <a:ext cx="1323975" cy="1657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47625</xdr:colOff>
      <xdr:row>13</xdr:row>
      <xdr:rowOff>114301</xdr:rowOff>
    </xdr:from>
    <xdr:to>
      <xdr:col>2</xdr:col>
      <xdr:colOff>133351</xdr:colOff>
      <xdr:row>22</xdr:row>
      <xdr:rowOff>38101</xdr:rowOff>
    </xdr:to>
    <mc:AlternateContent xmlns:mc="http://schemas.openxmlformats.org/markup-compatibility/2006" xmlns:a14="http://schemas.microsoft.com/office/drawing/2010/main">
      <mc:Choice Requires="a14">
        <xdr:graphicFrame macro="">
          <xdr:nvGraphicFramePr>
            <xdr:cNvPr id="25" name="Region 1">
              <a:extLst>
                <a:ext uri="{FF2B5EF4-FFF2-40B4-BE49-F238E27FC236}">
                  <a16:creationId xmlns:a16="http://schemas.microsoft.com/office/drawing/2014/main" id="{83FC5EFC-D001-4854-9F93-1CC1F2CECB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47624" y="3724276"/>
              <a:ext cx="1647825" cy="1638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38100</xdr:colOff>
      <xdr:row>7</xdr:row>
      <xdr:rowOff>276225</xdr:rowOff>
    </xdr:from>
    <xdr:to>
      <xdr:col>2</xdr:col>
      <xdr:colOff>142875</xdr:colOff>
      <xdr:row>13</xdr:row>
      <xdr:rowOff>38100</xdr:rowOff>
    </xdr:to>
    <mc:AlternateContent xmlns:mc="http://schemas.openxmlformats.org/markup-compatibility/2006" xmlns:a14="http://schemas.microsoft.com/office/drawing/2010/main">
      <mc:Choice Requires="a14">
        <xdr:graphicFrame macro="">
          <xdr:nvGraphicFramePr>
            <xdr:cNvPr id="30" name="Channel 1">
              <a:extLst>
                <a:ext uri="{FF2B5EF4-FFF2-40B4-BE49-F238E27FC236}">
                  <a16:creationId xmlns:a16="http://schemas.microsoft.com/office/drawing/2014/main" id="{BF97E1D7-3028-4DC5-BE1B-A429B1808640}"/>
                </a:ext>
              </a:extLst>
            </xdr:cNvPr>
            <xdr:cNvGraphicFramePr/>
          </xdr:nvGraphicFramePr>
          <xdr:xfrm>
            <a:off x="0" y="0"/>
            <a:ext cx="0" cy="0"/>
          </xdr:xfrm>
          <a:graphic>
            <a:graphicData uri="http://schemas.microsoft.com/office/drawing/2010/slicer">
              <sle:slicer xmlns:sle="http://schemas.microsoft.com/office/drawing/2010/slicer" name="Channel 1"/>
            </a:graphicData>
          </a:graphic>
        </xdr:graphicFrame>
      </mc:Choice>
      <mc:Fallback xmlns="">
        <xdr:sp macro="" textlink="">
          <xdr:nvSpPr>
            <xdr:cNvPr id="0" name=""/>
            <xdr:cNvSpPr>
              <a:spLocks noTextEdit="1"/>
            </xdr:cNvSpPr>
          </xdr:nvSpPr>
          <xdr:spPr>
            <a:xfrm>
              <a:off x="38100" y="2609850"/>
              <a:ext cx="1323975" cy="1038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76200</xdr:colOff>
      <xdr:row>2</xdr:row>
      <xdr:rowOff>38100</xdr:rowOff>
    </xdr:from>
    <xdr:to>
      <xdr:col>14</xdr:col>
      <xdr:colOff>495300</xdr:colOff>
      <xdr:row>10</xdr:row>
      <xdr:rowOff>142875</xdr:rowOff>
    </xdr:to>
    <xdr:graphicFrame macro="">
      <xdr:nvGraphicFramePr>
        <xdr:cNvPr id="19" name="Chart 18">
          <a:extLst>
            <a:ext uri="{FF2B5EF4-FFF2-40B4-BE49-F238E27FC236}">
              <a16:creationId xmlns:a16="http://schemas.microsoft.com/office/drawing/2014/main" id="{F36C6D16-54AD-41E9-B212-988B1FCA7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200025</xdr:colOff>
      <xdr:row>11</xdr:row>
      <xdr:rowOff>19050</xdr:rowOff>
    </xdr:from>
    <xdr:to>
      <xdr:col>9</xdr:col>
      <xdr:colOff>219076</xdr:colOff>
      <xdr:row>22</xdr:row>
      <xdr:rowOff>38100</xdr:rowOff>
    </xdr:to>
    <xdr:graphicFrame macro="">
      <xdr:nvGraphicFramePr>
        <xdr:cNvPr id="5" name="Chart 4">
          <a:extLst>
            <a:ext uri="{FF2B5EF4-FFF2-40B4-BE49-F238E27FC236}">
              <a16:creationId xmlns:a16="http://schemas.microsoft.com/office/drawing/2014/main" id="{6A6724A0-B866-4B7D-8F37-6FF2000625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14</xdr:col>
      <xdr:colOff>552450</xdr:colOff>
      <xdr:row>2</xdr:row>
      <xdr:rowOff>38100</xdr:rowOff>
    </xdr:from>
    <xdr:to>
      <xdr:col>19</xdr:col>
      <xdr:colOff>457199</xdr:colOff>
      <xdr:row>22</xdr:row>
      <xdr:rowOff>28574</xdr:rowOff>
    </xdr:to>
    <xdr:graphicFrame macro="">
      <xdr:nvGraphicFramePr>
        <xdr:cNvPr id="23" name="Chart 22">
          <a:extLst>
            <a:ext uri="{FF2B5EF4-FFF2-40B4-BE49-F238E27FC236}">
              <a16:creationId xmlns:a16="http://schemas.microsoft.com/office/drawing/2014/main" id="{5E2F970C-A0FC-4BBF-A186-3522944ED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266700</xdr:colOff>
      <xdr:row>11</xdr:row>
      <xdr:rowOff>28576</xdr:rowOff>
    </xdr:from>
    <xdr:to>
      <xdr:col>14</xdr:col>
      <xdr:colOff>485775</xdr:colOff>
      <xdr:row>22</xdr:row>
      <xdr:rowOff>38100</xdr:rowOff>
    </xdr:to>
    <xdr:graphicFrame macro="">
      <xdr:nvGraphicFramePr>
        <xdr:cNvPr id="34" name="Chart 33">
          <a:extLst>
            <a:ext uri="{FF2B5EF4-FFF2-40B4-BE49-F238E27FC236}">
              <a16:creationId xmlns:a16="http://schemas.microsoft.com/office/drawing/2014/main" id="{7121704D-093A-4ACE-B0F9-ED4A15FA07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219075</xdr:colOff>
      <xdr:row>1</xdr:row>
      <xdr:rowOff>123824</xdr:rowOff>
    </xdr:from>
    <xdr:to>
      <xdr:col>20</xdr:col>
      <xdr:colOff>590550</xdr:colOff>
      <xdr:row>13</xdr:row>
      <xdr:rowOff>114299</xdr:rowOff>
    </xdr:to>
    <xdr:graphicFrame macro="">
      <xdr:nvGraphicFramePr>
        <xdr:cNvPr id="2" name="Chart 1">
          <a:extLst>
            <a:ext uri="{FF2B5EF4-FFF2-40B4-BE49-F238E27FC236}">
              <a16:creationId xmlns:a16="http://schemas.microsoft.com/office/drawing/2014/main" id="{9058A76A-AB7F-4EA7-9A6F-1601AB159A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57149</xdr:colOff>
      <xdr:row>13</xdr:row>
      <xdr:rowOff>180975</xdr:rowOff>
    </xdr:from>
    <xdr:to>
      <xdr:col>10</xdr:col>
      <xdr:colOff>295275</xdr:colOff>
      <xdr:row>25</xdr:row>
      <xdr:rowOff>142875</xdr:rowOff>
    </xdr:to>
    <xdr:graphicFrame macro="">
      <xdr:nvGraphicFramePr>
        <xdr:cNvPr id="3" name="Chart 2">
          <a:extLst>
            <a:ext uri="{FF2B5EF4-FFF2-40B4-BE49-F238E27FC236}">
              <a16:creationId xmlns:a16="http://schemas.microsoft.com/office/drawing/2014/main" id="{891EA5F8-E0C7-43E4-990B-6B87F0F41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342900</xdr:colOff>
      <xdr:row>13</xdr:row>
      <xdr:rowOff>180975</xdr:rowOff>
    </xdr:from>
    <xdr:to>
      <xdr:col>16</xdr:col>
      <xdr:colOff>104775</xdr:colOff>
      <xdr:row>25</xdr:row>
      <xdr:rowOff>142875</xdr:rowOff>
    </xdr:to>
    <xdr:graphicFrame macro="">
      <xdr:nvGraphicFramePr>
        <xdr:cNvPr id="7" name="Chart 6">
          <a:extLst>
            <a:ext uri="{FF2B5EF4-FFF2-40B4-BE49-F238E27FC236}">
              <a16:creationId xmlns:a16="http://schemas.microsoft.com/office/drawing/2014/main" id="{8B47FD03-37BA-4CC5-BF06-854E37DE3F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47625</xdr:colOff>
      <xdr:row>1</xdr:row>
      <xdr:rowOff>133349</xdr:rowOff>
    </xdr:from>
    <xdr:to>
      <xdr:col>10</xdr:col>
      <xdr:colOff>304800</xdr:colOff>
      <xdr:row>13</xdr:row>
      <xdr:rowOff>123825</xdr:rowOff>
    </xdr:to>
    <xdr:graphicFrame macro="">
      <xdr:nvGraphicFramePr>
        <xdr:cNvPr id="9" name="Chart 8">
          <a:extLst>
            <a:ext uri="{FF2B5EF4-FFF2-40B4-BE49-F238E27FC236}">
              <a16:creationId xmlns:a16="http://schemas.microsoft.com/office/drawing/2014/main" id="{8D103EFF-9411-4FF3-BED1-D37B8FF80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152401</xdr:colOff>
      <xdr:row>13</xdr:row>
      <xdr:rowOff>171450</xdr:rowOff>
    </xdr:from>
    <xdr:to>
      <xdr:col>20</xdr:col>
      <xdr:colOff>561975</xdr:colOff>
      <xdr:row>25</xdr:row>
      <xdr:rowOff>142875</xdr:rowOff>
    </xdr:to>
    <xdr:graphicFrame macro="">
      <xdr:nvGraphicFramePr>
        <xdr:cNvPr id="4" name="Chart 3">
          <a:extLst>
            <a:ext uri="{FF2B5EF4-FFF2-40B4-BE49-F238E27FC236}">
              <a16:creationId xmlns:a16="http://schemas.microsoft.com/office/drawing/2014/main" id="{913FBA5F-7214-4956-A756-96EEA34EA5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10</xdr:col>
      <xdr:colOff>361950</xdr:colOff>
      <xdr:row>1</xdr:row>
      <xdr:rowOff>133349</xdr:rowOff>
    </xdr:from>
    <xdr:to>
      <xdr:col>15</xdr:col>
      <xdr:colOff>171450</xdr:colOff>
      <xdr:row>13</xdr:row>
      <xdr:rowOff>123824</xdr:rowOff>
    </xdr:to>
    <xdr:graphicFrame macro="">
      <xdr:nvGraphicFramePr>
        <xdr:cNvPr id="5" name="Chart 4">
          <a:extLst>
            <a:ext uri="{FF2B5EF4-FFF2-40B4-BE49-F238E27FC236}">
              <a16:creationId xmlns:a16="http://schemas.microsoft.com/office/drawing/2014/main" id="{8BB53DA5-B9F5-4126-B09E-BDC1CBFF3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d.docs.live.net/a35fafce39042e34/Documents/Retail%20Sales%20%5e0%20Profit%20Analysis%20dataset2(AutoRecovered).csv.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03.549372800924" createdVersion="8" refreshedVersion="8" minRefreshableVersion="3" recordCount="398" xr:uid="{DFFADC37-A203-46D7-8F7A-E2ED17833546}">
  <cacheSource type="worksheet">
    <worksheetSource ref="A1:C399" sheet="Sheet7" r:id="rId2"/>
  </cacheSource>
  <cacheFields count="3">
    <cacheField name="Customer_ID" numFmtId="0">
      <sharedItems containsSemiMixedTypes="0" containsString="0" containsNumber="1" containsInteger="1" minValue="3001" maxValue="3999"/>
    </cacheField>
    <cacheField name="Order_ID" numFmtId="0">
      <sharedItems containsSemiMixedTypes="0" containsString="0" containsNumber="1" containsInteger="1" minValue="1" maxValue="4"/>
    </cacheField>
    <cacheField name="Loyalty Rating" numFmtId="0">
      <sharedItems count="3">
        <s v="One-time"/>
        <s v="Repeat"/>
        <s v="Loya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15.540530671293" missingItemsLimit="0" createdVersion="8" refreshedVersion="8" minRefreshableVersion="3" recordCount="500" xr:uid="{3DCB7538-C602-4150-96AA-790A2DFC46EA}">
  <cacheSource type="worksheet">
    <worksheetSource name="Table1"/>
  </cacheSource>
  <cacheFields count="25">
    <cacheField name="Order_ID" numFmtId="0">
      <sharedItems containsSemiMixedTypes="0" containsString="0" containsNumber="1" containsInteger="1" minValue="10001" maxValue="10500"/>
    </cacheField>
    <cacheField name="Order_Date" numFmtId="14">
      <sharedItems containsSemiMixedTypes="0" containsNonDate="0" containsDate="1" containsString="0" minDate="2025-01-01T00:00:00" maxDate="2026-05-16T00:00:00"/>
    </cacheField>
    <cacheField name="Day" numFmtId="14">
      <sharedItems/>
    </cacheField>
    <cacheField name="Month" numFmtId="14">
      <sharedItems count="12">
        <s v="Jan"/>
        <s v="Feb"/>
        <s v="Mar"/>
        <s v="Apr"/>
        <s v="May"/>
        <s v="Jun"/>
        <s v="Jul"/>
        <s v="Aug"/>
        <s v="Sep"/>
        <s v="Oct"/>
        <s v="Nov"/>
        <s v="Dec"/>
      </sharedItems>
    </cacheField>
    <cacheField name="Year" numFmtId="14">
      <sharedItems count="2">
        <s v="2025"/>
        <s v="2026"/>
      </sharedItems>
    </cacheField>
    <cacheField name="Customer_ID" numFmtId="0">
      <sharedItems containsSemiMixedTypes="0" containsString="0" containsNumber="1" containsInteger="1" minValue="3001" maxValue="3999" count="398">
        <n v="3175"/>
        <n v="3196"/>
        <n v="3537"/>
        <n v="3502"/>
        <n v="3579"/>
        <n v="3211"/>
        <n v="3919"/>
        <n v="3615"/>
        <n v="3348"/>
        <n v="3185"/>
        <n v="3398"/>
        <n v="3535"/>
        <n v="3584"/>
        <n v="3345"/>
        <n v="3366"/>
        <n v="3554"/>
        <n v="3730"/>
        <n v="3904"/>
        <n v="3167"/>
        <n v="3998"/>
        <n v="3068"/>
        <n v="3432"/>
        <n v="3895"/>
        <n v="3391"/>
        <n v="3940"/>
        <n v="3512"/>
        <n v="3075"/>
        <n v="3823"/>
        <n v="3250"/>
        <n v="3006"/>
        <n v="3787"/>
        <n v="3444"/>
        <n v="3044"/>
        <n v="3703"/>
        <n v="3325"/>
        <n v="3824"/>
        <n v="3152"/>
        <n v="3183"/>
        <n v="3949"/>
        <n v="3112"/>
        <n v="3763"/>
        <n v="3189"/>
        <n v="3960"/>
        <n v="3290"/>
        <n v="3312"/>
        <n v="3201"/>
        <n v="3462"/>
        <n v="3550"/>
        <n v="3772"/>
        <n v="3494"/>
        <n v="3137"/>
        <n v="3855"/>
        <n v="3483"/>
        <n v="3195"/>
        <n v="3072"/>
        <n v="3851"/>
        <n v="3944"/>
        <n v="3257"/>
        <n v="3704"/>
        <n v="3400"/>
        <n v="3374"/>
        <n v="3927"/>
        <n v="3349"/>
        <n v="3604"/>
        <n v="3764"/>
        <n v="3583"/>
        <n v="3279"/>
        <n v="3522"/>
        <n v="3745"/>
        <n v="3803"/>
        <n v="3448"/>
        <n v="3317"/>
        <n v="3151"/>
        <n v="3092"/>
        <n v="3759"/>
        <n v="3224"/>
        <n v="3661"/>
        <n v="3356"/>
        <n v="3931"/>
        <n v="3481"/>
        <n v="3891"/>
        <n v="3219"/>
        <n v="3019"/>
        <n v="3923"/>
        <n v="3516"/>
        <n v="3033"/>
        <n v="3123"/>
        <n v="3286"/>
        <n v="3697"/>
        <n v="3741"/>
        <n v="3841"/>
        <n v="3989"/>
        <n v="3977"/>
        <n v="3415"/>
        <n v="3130"/>
        <n v="3083"/>
        <n v="3946"/>
        <n v="3402"/>
        <n v="3021"/>
        <n v="3631"/>
        <n v="3203"/>
        <n v="3954"/>
        <n v="3047"/>
        <n v="3784"/>
        <n v="3524"/>
        <n v="3107"/>
        <n v="3393"/>
        <n v="3844"/>
        <n v="3835"/>
        <n v="3622"/>
        <n v="3654"/>
        <n v="3636"/>
        <n v="3276"/>
        <n v="3309"/>
        <n v="3911"/>
        <n v="3827"/>
        <n v="3035"/>
        <n v="3816"/>
        <n v="3260"/>
        <n v="3811"/>
        <n v="3456"/>
        <n v="3474"/>
        <n v="3762"/>
        <n v="3566"/>
        <n v="3555"/>
        <n v="3215"/>
        <n v="3973"/>
        <n v="3434"/>
        <n v="3039"/>
        <n v="3131"/>
        <n v="3413"/>
        <n v="3908"/>
        <n v="3460"/>
        <n v="3847"/>
        <n v="3797"/>
        <n v="3648"/>
        <n v="3678"/>
        <n v="3373"/>
        <n v="3710"/>
        <n v="3987"/>
        <n v="3647"/>
        <n v="3721"/>
        <n v="3495"/>
        <n v="3197"/>
        <n v="3100"/>
        <n v="3180"/>
        <n v="3169"/>
        <n v="3029"/>
        <n v="3282"/>
        <n v="3832"/>
        <n v="3190"/>
        <n v="3726"/>
        <n v="3738"/>
        <n v="3012"/>
        <n v="3646"/>
        <n v="3488"/>
        <n v="3930"/>
        <n v="3443"/>
        <n v="3106"/>
        <n v="3884"/>
        <n v="3497"/>
        <n v="3486"/>
        <n v="3234"/>
        <n v="3529"/>
        <n v="3005"/>
        <n v="3049"/>
        <n v="3438"/>
        <n v="3332"/>
        <n v="3617"/>
        <n v="3988"/>
        <n v="3182"/>
        <n v="3687"/>
        <n v="3421"/>
        <n v="3969"/>
        <n v="3599"/>
        <n v="3475"/>
        <n v="3588"/>
        <n v="3233"/>
        <n v="3331"/>
        <n v="3774"/>
        <n v="3888"/>
        <n v="3225"/>
        <n v="3469"/>
        <n v="3085"/>
        <n v="3670"/>
        <n v="3875"/>
        <n v="3476"/>
        <n v="3819"/>
        <n v="3247"/>
        <n v="3633"/>
        <n v="3076"/>
        <n v="3877"/>
        <n v="3932"/>
        <n v="3711"/>
        <n v="3698"/>
        <n v="3809"/>
        <n v="3230"/>
        <n v="3315"/>
        <n v="3850"/>
        <n v="3575"/>
        <n v="3924"/>
        <n v="3901"/>
        <n v="3589"/>
        <n v="3288"/>
        <n v="3629"/>
        <n v="3727"/>
        <n v="3991"/>
        <n v="3161"/>
        <n v="3045"/>
        <n v="3936"/>
        <n v="3628"/>
        <n v="3873"/>
        <n v="3042"/>
        <n v="3864"/>
        <n v="3095"/>
        <n v="3880"/>
        <n v="3914"/>
        <n v="3265"/>
        <n v="3269"/>
        <n v="3341"/>
        <n v="3939"/>
        <n v="3001"/>
        <n v="3287"/>
        <n v="3910"/>
        <n v="3208"/>
        <n v="3560"/>
        <n v="3665"/>
        <n v="3981"/>
        <n v="3979"/>
        <n v="3255"/>
        <n v="3338"/>
        <n v="3576"/>
        <n v="3461"/>
        <n v="3826"/>
        <n v="3266"/>
        <n v="3436"/>
        <n v="3506"/>
        <n v="3539"/>
        <n v="3156"/>
        <n v="3008"/>
        <n v="3612"/>
        <n v="3985"/>
        <n v="3428"/>
        <n v="3766"/>
        <n v="3947"/>
        <n v="3822"/>
        <n v="3298"/>
        <n v="3519"/>
        <n v="3753"/>
        <n v="3143"/>
        <n v="3640"/>
        <n v="3210"/>
        <n v="3231"/>
        <n v="3688"/>
        <n v="3521"/>
        <n v="3814"/>
        <n v="3440"/>
        <n v="3994"/>
        <n v="3176"/>
        <n v="3639"/>
        <n v="3427"/>
        <n v="3517"/>
        <n v="3917"/>
        <n v="3144"/>
        <n v="3011"/>
        <n v="3874"/>
        <n v="3160"/>
        <n v="3808"/>
        <n v="3548"/>
        <n v="3069"/>
        <n v="3363"/>
        <n v="3605"/>
        <n v="3829"/>
        <n v="3490"/>
        <n v="3735"/>
        <n v="3690"/>
        <n v="3846"/>
        <n v="3559"/>
        <n v="3638"/>
        <n v="3958"/>
        <n v="3105"/>
        <n v="3077"/>
        <n v="3536"/>
        <n v="3067"/>
        <n v="3903"/>
        <n v="3561"/>
        <n v="3416"/>
        <n v="3859"/>
        <n v="3607"/>
        <n v="3637"/>
        <n v="3573"/>
        <n v="3862"/>
        <n v="3078"/>
        <n v="3876"/>
        <n v="3369"/>
        <n v="3634"/>
        <n v="3410"/>
        <n v="3992"/>
        <n v="3380"/>
        <n v="3865"/>
        <n v="3520"/>
        <n v="3692"/>
        <n v="3606"/>
        <n v="3719"/>
        <n v="3406"/>
        <n v="3184"/>
        <n v="3181"/>
        <n v="3546"/>
        <n v="3780"/>
        <n v="3311"/>
        <n v="3433"/>
        <n v="3274"/>
        <n v="3121"/>
        <n v="3018"/>
        <n v="3965"/>
        <n v="3871"/>
        <n v="3645"/>
        <n v="3838"/>
        <n v="3479"/>
        <n v="3157"/>
        <n v="3938"/>
        <n v="3246"/>
        <n v="3942"/>
        <n v="3238"/>
        <n v="3102"/>
        <n v="3717"/>
        <n v="3450"/>
        <n v="3088"/>
        <n v="3091"/>
        <n v="3439"/>
        <n v="3016"/>
        <n v="3104"/>
        <n v="3073"/>
        <n v="3695"/>
        <n v="3295"/>
        <n v="3206"/>
        <n v="3966"/>
        <n v="3386"/>
        <n v="3549"/>
        <n v="3342"/>
        <n v="3241"/>
        <n v="3675"/>
        <n v="3527"/>
        <n v="3916"/>
        <n v="3672"/>
        <n v="3867"/>
        <n v="3198"/>
        <n v="3468"/>
        <n v="3896"/>
        <n v="3212"/>
        <n v="3545"/>
        <n v="3533"/>
        <n v="3834"/>
        <n v="3267"/>
        <n v="3303"/>
        <n v="3139"/>
        <n v="3036"/>
        <n v="3749"/>
        <n v="3683"/>
        <n v="3765"/>
        <n v="3821"/>
        <n v="3775"/>
        <n v="3405"/>
        <n v="3126"/>
        <n v="3275"/>
        <n v="3999"/>
        <n v="3854"/>
        <n v="3301"/>
        <n v="3227"/>
        <n v="3894"/>
        <n v="3849"/>
        <n v="3776"/>
        <n v="3970"/>
        <n v="3786"/>
        <n v="3593"/>
        <n v="3986"/>
        <n v="3103"/>
        <n v="3909"/>
        <n v="3268"/>
        <n v="3689"/>
        <n v="3226"/>
        <n v="3124"/>
        <n v="3608"/>
        <n v="3337"/>
        <n v="3715"/>
        <n v="3129"/>
        <n v="3805"/>
        <n v="3950"/>
        <n v="3496"/>
        <n v="3723"/>
        <n v="3178"/>
        <n v="3852"/>
        <n v="3194"/>
        <n v="3111"/>
        <n v="3136"/>
        <n v="3574"/>
        <n v="3084"/>
        <n v="3313"/>
      </sharedItems>
    </cacheField>
    <cacheField name="Region" numFmtId="0">
      <sharedItems count="4">
        <s v="West"/>
        <s v="North"/>
        <s v="East"/>
        <s v="South"/>
      </sharedItems>
    </cacheField>
    <cacheField name="Channel" numFmtId="0">
      <sharedItems count="2">
        <s v="In-Store"/>
        <s v="Online"/>
      </sharedItems>
    </cacheField>
    <cacheField name="Product_Category" numFmtId="0">
      <sharedItems count="4">
        <s v="Electronics"/>
        <s v="Accessories"/>
        <s v="Home"/>
        <s v="Clothing"/>
      </sharedItems>
    </cacheField>
    <cacheField name="Product_Name" numFmtId="0">
      <sharedItems count="7">
        <s v="Headphones"/>
        <s v="Watch"/>
        <s v="Blender"/>
        <s v="Sneakers"/>
        <s v="T-shirt"/>
        <s v="Jeans"/>
        <s v="Backpack"/>
      </sharedItems>
    </cacheField>
    <cacheField name="Quantity" numFmtId="0">
      <sharedItems containsSemiMixedTypes="0" containsString="0" containsNumber="1" containsInteger="1" minValue="1" maxValue="9"/>
    </cacheField>
    <cacheField name="Unit_Price" numFmtId="2">
      <sharedItems containsSemiMixedTypes="0" containsString="0" containsNumber="1" minValue="10.02" maxValue="249.83"/>
    </cacheField>
    <cacheField name="Discount_Pct" numFmtId="9">
      <sharedItems containsSemiMixedTypes="0" containsString="0" containsNumber="1" minValue="0" maxValue="0.2" count="5">
        <n v="0.15"/>
        <n v="0.2"/>
        <n v="0"/>
        <n v="0.1"/>
        <n v="0.05"/>
      </sharedItems>
    </cacheField>
    <cacheField name="Gross_Revenue" numFmtId="2">
      <sharedItems containsSemiMixedTypes="0" containsString="0" containsNumber="1" minValue="16.010000000000002" maxValue="2235.7799999999902"/>
    </cacheField>
    <cacheField name="Discount_Amount" numFmtId="2">
      <sharedItems containsSemiMixedTypes="0" containsString="0" containsNumber="1" minValue="0" maxValue="447.15599999999898"/>
    </cacheField>
    <cacheField name="Net_Revenue" numFmtId="2">
      <sharedItems containsSemiMixedTypes="0" containsString="0" containsNumber="1" minValue="14.409000000000001" maxValue="2172.96"/>
    </cacheField>
    <cacheField name="Cost_per_Unit" numFmtId="2">
      <sharedItems containsSemiMixedTypes="0" containsString="0" containsNumber="1" minValue="5.69" maxValue="149.9"/>
    </cacheField>
    <cacheField name="Total_Cost" numFmtId="2">
      <sharedItems containsSemiMixedTypes="0" containsString="0" containsNumber="1" minValue="13.71" maxValue="1311.84"/>
    </cacheField>
    <cacheField name="Profit" numFmtId="2">
      <sharedItems containsSemiMixedTypes="0" containsString="0" containsNumber="1" minValue="-909.92" maxValue="1881.54"/>
    </cacheField>
    <cacheField name="Profit_Margin_Pct" numFmtId="9">
      <sharedItems containsSemiMixedTypes="0" containsString="0" containsNumber="1" minValue="-11.728169222424899" maxValue="0.96798064207534906"/>
    </cacheField>
    <cacheField name="Gain/Loss" numFmtId="2">
      <sharedItems count="2">
        <s v="Gain"/>
        <s v="Loss"/>
      </sharedItems>
    </cacheField>
    <cacheField name="Column1" numFmtId="1">
      <sharedItems containsSemiMixedTypes="0" containsString="0" containsNumber="1" containsInteger="1" minValue="0" maxValue="1"/>
    </cacheField>
    <cacheField name="Products Gain" numFmtId="1">
      <sharedItems containsSemiMixedTypes="0" containsString="0" containsNumber="1" containsInteger="1" minValue="0" maxValue="9"/>
    </cacheField>
    <cacheField name="Products Loss" numFmtId="1">
      <sharedItems containsSemiMixedTypes="0" containsString="0" containsNumber="1" containsInteger="1" minValue="0" maxValue="9"/>
    </cacheField>
    <cacheField name="Product Gain/Loss" numFmtId="1">
      <sharedItems containsSemiMixedTypes="0" containsString="0" containsNumber="1" containsInteger="1" minValue="1" maxValue="9"/>
    </cacheField>
  </cacheFields>
  <extLst>
    <ext xmlns:x14="http://schemas.microsoft.com/office/spreadsheetml/2009/9/main" uri="{725AE2AE-9491-48be-B2B4-4EB974FC3084}">
      <x14:pivotCacheDefinition pivotCacheId="151370870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8">
  <r>
    <n v="3001"/>
    <n v="1"/>
    <x v="0"/>
  </r>
  <r>
    <n v="3005"/>
    <n v="2"/>
    <x v="1"/>
  </r>
  <r>
    <n v="3006"/>
    <n v="1"/>
    <x v="0"/>
  </r>
  <r>
    <n v="3008"/>
    <n v="1"/>
    <x v="0"/>
  </r>
  <r>
    <n v="3011"/>
    <n v="1"/>
    <x v="0"/>
  </r>
  <r>
    <n v="3012"/>
    <n v="1"/>
    <x v="0"/>
  </r>
  <r>
    <n v="3016"/>
    <n v="1"/>
    <x v="0"/>
  </r>
  <r>
    <n v="3018"/>
    <n v="1"/>
    <x v="0"/>
  </r>
  <r>
    <n v="3019"/>
    <n v="1"/>
    <x v="0"/>
  </r>
  <r>
    <n v="3021"/>
    <n v="1"/>
    <x v="0"/>
  </r>
  <r>
    <n v="3029"/>
    <n v="1"/>
    <x v="0"/>
  </r>
  <r>
    <n v="3033"/>
    <n v="2"/>
    <x v="1"/>
  </r>
  <r>
    <n v="3035"/>
    <n v="2"/>
    <x v="1"/>
  </r>
  <r>
    <n v="3036"/>
    <n v="1"/>
    <x v="0"/>
  </r>
  <r>
    <n v="3039"/>
    <n v="1"/>
    <x v="0"/>
  </r>
  <r>
    <n v="3042"/>
    <n v="1"/>
    <x v="0"/>
  </r>
  <r>
    <n v="3044"/>
    <n v="4"/>
    <x v="2"/>
  </r>
  <r>
    <n v="3045"/>
    <n v="2"/>
    <x v="1"/>
  </r>
  <r>
    <n v="3047"/>
    <n v="1"/>
    <x v="0"/>
  </r>
  <r>
    <n v="3049"/>
    <n v="2"/>
    <x v="1"/>
  </r>
  <r>
    <n v="3067"/>
    <n v="1"/>
    <x v="0"/>
  </r>
  <r>
    <n v="3068"/>
    <n v="3"/>
    <x v="1"/>
  </r>
  <r>
    <n v="3069"/>
    <n v="1"/>
    <x v="0"/>
  </r>
  <r>
    <n v="3072"/>
    <n v="1"/>
    <x v="0"/>
  </r>
  <r>
    <n v="3073"/>
    <n v="1"/>
    <x v="0"/>
  </r>
  <r>
    <n v="3075"/>
    <n v="1"/>
    <x v="0"/>
  </r>
  <r>
    <n v="3076"/>
    <n v="1"/>
    <x v="0"/>
  </r>
  <r>
    <n v="3077"/>
    <n v="1"/>
    <x v="0"/>
  </r>
  <r>
    <n v="3078"/>
    <n v="1"/>
    <x v="0"/>
  </r>
  <r>
    <n v="3083"/>
    <n v="1"/>
    <x v="0"/>
  </r>
  <r>
    <n v="3084"/>
    <n v="1"/>
    <x v="0"/>
  </r>
  <r>
    <n v="3085"/>
    <n v="2"/>
    <x v="1"/>
  </r>
  <r>
    <n v="3088"/>
    <n v="1"/>
    <x v="0"/>
  </r>
  <r>
    <n v="3091"/>
    <n v="1"/>
    <x v="0"/>
  </r>
  <r>
    <n v="3092"/>
    <n v="2"/>
    <x v="1"/>
  </r>
  <r>
    <n v="3095"/>
    <n v="1"/>
    <x v="0"/>
  </r>
  <r>
    <n v="3100"/>
    <n v="1"/>
    <x v="0"/>
  </r>
  <r>
    <n v="3102"/>
    <n v="1"/>
    <x v="0"/>
  </r>
  <r>
    <n v="3103"/>
    <n v="1"/>
    <x v="0"/>
  </r>
  <r>
    <n v="3104"/>
    <n v="1"/>
    <x v="0"/>
  </r>
  <r>
    <n v="3105"/>
    <n v="1"/>
    <x v="0"/>
  </r>
  <r>
    <n v="3106"/>
    <n v="1"/>
    <x v="0"/>
  </r>
  <r>
    <n v="3107"/>
    <n v="1"/>
    <x v="0"/>
  </r>
  <r>
    <n v="3111"/>
    <n v="1"/>
    <x v="0"/>
  </r>
  <r>
    <n v="3112"/>
    <n v="1"/>
    <x v="0"/>
  </r>
  <r>
    <n v="3121"/>
    <n v="1"/>
    <x v="0"/>
  </r>
  <r>
    <n v="3123"/>
    <n v="1"/>
    <x v="0"/>
  </r>
  <r>
    <n v="3124"/>
    <n v="1"/>
    <x v="0"/>
  </r>
  <r>
    <n v="3126"/>
    <n v="1"/>
    <x v="0"/>
  </r>
  <r>
    <n v="3129"/>
    <n v="1"/>
    <x v="0"/>
  </r>
  <r>
    <n v="3130"/>
    <n v="1"/>
    <x v="0"/>
  </r>
  <r>
    <n v="3131"/>
    <n v="1"/>
    <x v="0"/>
  </r>
  <r>
    <n v="3136"/>
    <n v="1"/>
    <x v="0"/>
  </r>
  <r>
    <n v="3137"/>
    <n v="1"/>
    <x v="0"/>
  </r>
  <r>
    <n v="3139"/>
    <n v="1"/>
    <x v="0"/>
  </r>
  <r>
    <n v="3143"/>
    <n v="1"/>
    <x v="0"/>
  </r>
  <r>
    <n v="3144"/>
    <n v="1"/>
    <x v="0"/>
  </r>
  <r>
    <n v="3151"/>
    <n v="1"/>
    <x v="0"/>
  </r>
  <r>
    <n v="3152"/>
    <n v="2"/>
    <x v="1"/>
  </r>
  <r>
    <n v="3156"/>
    <n v="1"/>
    <x v="0"/>
  </r>
  <r>
    <n v="3157"/>
    <n v="1"/>
    <x v="0"/>
  </r>
  <r>
    <n v="3160"/>
    <n v="1"/>
    <x v="0"/>
  </r>
  <r>
    <n v="3161"/>
    <n v="2"/>
    <x v="1"/>
  </r>
  <r>
    <n v="3167"/>
    <n v="1"/>
    <x v="0"/>
  </r>
  <r>
    <n v="3169"/>
    <n v="1"/>
    <x v="0"/>
  </r>
  <r>
    <n v="3175"/>
    <n v="1"/>
    <x v="0"/>
  </r>
  <r>
    <n v="3176"/>
    <n v="1"/>
    <x v="0"/>
  </r>
  <r>
    <n v="3178"/>
    <n v="1"/>
    <x v="0"/>
  </r>
  <r>
    <n v="3180"/>
    <n v="1"/>
    <x v="0"/>
  </r>
  <r>
    <n v="3181"/>
    <n v="1"/>
    <x v="0"/>
  </r>
  <r>
    <n v="3182"/>
    <n v="1"/>
    <x v="0"/>
  </r>
  <r>
    <n v="3183"/>
    <n v="3"/>
    <x v="1"/>
  </r>
  <r>
    <n v="3184"/>
    <n v="2"/>
    <x v="1"/>
  </r>
  <r>
    <n v="3185"/>
    <n v="1"/>
    <x v="0"/>
  </r>
  <r>
    <n v="3189"/>
    <n v="1"/>
    <x v="0"/>
  </r>
  <r>
    <n v="3190"/>
    <n v="2"/>
    <x v="1"/>
  </r>
  <r>
    <n v="3194"/>
    <n v="1"/>
    <x v="0"/>
  </r>
  <r>
    <n v="3195"/>
    <n v="2"/>
    <x v="1"/>
  </r>
  <r>
    <n v="3196"/>
    <n v="1"/>
    <x v="0"/>
  </r>
  <r>
    <n v="3197"/>
    <n v="1"/>
    <x v="0"/>
  </r>
  <r>
    <n v="3198"/>
    <n v="1"/>
    <x v="0"/>
  </r>
  <r>
    <n v="3201"/>
    <n v="1"/>
    <x v="0"/>
  </r>
  <r>
    <n v="3203"/>
    <n v="1"/>
    <x v="0"/>
  </r>
  <r>
    <n v="3206"/>
    <n v="1"/>
    <x v="0"/>
  </r>
  <r>
    <n v="3208"/>
    <n v="1"/>
    <x v="0"/>
  </r>
  <r>
    <n v="3210"/>
    <n v="1"/>
    <x v="0"/>
  </r>
  <r>
    <n v="3211"/>
    <n v="2"/>
    <x v="1"/>
  </r>
  <r>
    <n v="3212"/>
    <n v="1"/>
    <x v="0"/>
  </r>
  <r>
    <n v="3215"/>
    <n v="1"/>
    <x v="0"/>
  </r>
  <r>
    <n v="3219"/>
    <n v="1"/>
    <x v="0"/>
  </r>
  <r>
    <n v="3224"/>
    <n v="1"/>
    <x v="0"/>
  </r>
  <r>
    <n v="3225"/>
    <n v="1"/>
    <x v="0"/>
  </r>
  <r>
    <n v="3226"/>
    <n v="1"/>
    <x v="0"/>
  </r>
  <r>
    <n v="3227"/>
    <n v="1"/>
    <x v="0"/>
  </r>
  <r>
    <n v="3230"/>
    <n v="3"/>
    <x v="1"/>
  </r>
  <r>
    <n v="3231"/>
    <n v="1"/>
    <x v="0"/>
  </r>
  <r>
    <n v="3233"/>
    <n v="1"/>
    <x v="0"/>
  </r>
  <r>
    <n v="3234"/>
    <n v="1"/>
    <x v="0"/>
  </r>
  <r>
    <n v="3238"/>
    <n v="1"/>
    <x v="0"/>
  </r>
  <r>
    <n v="3241"/>
    <n v="1"/>
    <x v="0"/>
  </r>
  <r>
    <n v="3246"/>
    <n v="1"/>
    <x v="0"/>
  </r>
  <r>
    <n v="3247"/>
    <n v="2"/>
    <x v="1"/>
  </r>
  <r>
    <n v="3250"/>
    <n v="1"/>
    <x v="0"/>
  </r>
  <r>
    <n v="3255"/>
    <n v="1"/>
    <x v="0"/>
  </r>
  <r>
    <n v="3257"/>
    <n v="1"/>
    <x v="0"/>
  </r>
  <r>
    <n v="3260"/>
    <n v="3"/>
    <x v="1"/>
  </r>
  <r>
    <n v="3265"/>
    <n v="2"/>
    <x v="1"/>
  </r>
  <r>
    <n v="3266"/>
    <n v="1"/>
    <x v="0"/>
  </r>
  <r>
    <n v="3267"/>
    <n v="1"/>
    <x v="0"/>
  </r>
  <r>
    <n v="3268"/>
    <n v="1"/>
    <x v="0"/>
  </r>
  <r>
    <n v="3269"/>
    <n v="1"/>
    <x v="0"/>
  </r>
  <r>
    <n v="3274"/>
    <n v="1"/>
    <x v="0"/>
  </r>
  <r>
    <n v="3275"/>
    <n v="1"/>
    <x v="0"/>
  </r>
  <r>
    <n v="3276"/>
    <n v="2"/>
    <x v="1"/>
  </r>
  <r>
    <n v="3279"/>
    <n v="1"/>
    <x v="0"/>
  </r>
  <r>
    <n v="3282"/>
    <n v="1"/>
    <x v="0"/>
  </r>
  <r>
    <n v="3286"/>
    <n v="1"/>
    <x v="0"/>
  </r>
  <r>
    <n v="3287"/>
    <n v="1"/>
    <x v="0"/>
  </r>
  <r>
    <n v="3288"/>
    <n v="1"/>
    <x v="0"/>
  </r>
  <r>
    <n v="3290"/>
    <n v="2"/>
    <x v="1"/>
  </r>
  <r>
    <n v="3295"/>
    <n v="1"/>
    <x v="0"/>
  </r>
  <r>
    <n v="3298"/>
    <n v="1"/>
    <x v="0"/>
  </r>
  <r>
    <n v="3301"/>
    <n v="1"/>
    <x v="0"/>
  </r>
  <r>
    <n v="3303"/>
    <n v="1"/>
    <x v="0"/>
  </r>
  <r>
    <n v="3309"/>
    <n v="1"/>
    <x v="0"/>
  </r>
  <r>
    <n v="3311"/>
    <n v="1"/>
    <x v="0"/>
  </r>
  <r>
    <n v="3312"/>
    <n v="1"/>
    <x v="0"/>
  </r>
  <r>
    <n v="3313"/>
    <n v="1"/>
    <x v="0"/>
  </r>
  <r>
    <n v="3315"/>
    <n v="1"/>
    <x v="0"/>
  </r>
  <r>
    <n v="3317"/>
    <n v="1"/>
    <x v="0"/>
  </r>
  <r>
    <n v="3325"/>
    <n v="1"/>
    <x v="0"/>
  </r>
  <r>
    <n v="3331"/>
    <n v="2"/>
    <x v="1"/>
  </r>
  <r>
    <n v="3332"/>
    <n v="1"/>
    <x v="0"/>
  </r>
  <r>
    <n v="3337"/>
    <n v="1"/>
    <x v="0"/>
  </r>
  <r>
    <n v="3338"/>
    <n v="1"/>
    <x v="0"/>
  </r>
  <r>
    <n v="3341"/>
    <n v="1"/>
    <x v="0"/>
  </r>
  <r>
    <n v="3342"/>
    <n v="1"/>
    <x v="0"/>
  </r>
  <r>
    <n v="3345"/>
    <n v="1"/>
    <x v="0"/>
  </r>
  <r>
    <n v="3348"/>
    <n v="2"/>
    <x v="1"/>
  </r>
  <r>
    <n v="3349"/>
    <n v="3"/>
    <x v="1"/>
  </r>
  <r>
    <n v="3356"/>
    <n v="1"/>
    <x v="0"/>
  </r>
  <r>
    <n v="3363"/>
    <n v="1"/>
    <x v="0"/>
  </r>
  <r>
    <n v="3366"/>
    <n v="2"/>
    <x v="1"/>
  </r>
  <r>
    <n v="3369"/>
    <n v="1"/>
    <x v="0"/>
  </r>
  <r>
    <n v="3373"/>
    <n v="1"/>
    <x v="0"/>
  </r>
  <r>
    <n v="3374"/>
    <n v="1"/>
    <x v="0"/>
  </r>
  <r>
    <n v="3380"/>
    <n v="2"/>
    <x v="1"/>
  </r>
  <r>
    <n v="3386"/>
    <n v="1"/>
    <x v="0"/>
  </r>
  <r>
    <n v="3391"/>
    <n v="2"/>
    <x v="1"/>
  </r>
  <r>
    <n v="3393"/>
    <n v="1"/>
    <x v="0"/>
  </r>
  <r>
    <n v="3398"/>
    <n v="2"/>
    <x v="1"/>
  </r>
  <r>
    <n v="3400"/>
    <n v="4"/>
    <x v="2"/>
  </r>
  <r>
    <n v="3402"/>
    <n v="1"/>
    <x v="0"/>
  </r>
  <r>
    <n v="3405"/>
    <n v="1"/>
    <x v="0"/>
  </r>
  <r>
    <n v="3406"/>
    <n v="2"/>
    <x v="1"/>
  </r>
  <r>
    <n v="3410"/>
    <n v="1"/>
    <x v="0"/>
  </r>
  <r>
    <n v="3413"/>
    <n v="1"/>
    <x v="0"/>
  </r>
  <r>
    <n v="3415"/>
    <n v="1"/>
    <x v="0"/>
  </r>
  <r>
    <n v="3416"/>
    <n v="1"/>
    <x v="0"/>
  </r>
  <r>
    <n v="3421"/>
    <n v="1"/>
    <x v="0"/>
  </r>
  <r>
    <n v="3427"/>
    <n v="2"/>
    <x v="1"/>
  </r>
  <r>
    <n v="3428"/>
    <n v="2"/>
    <x v="1"/>
  </r>
  <r>
    <n v="3432"/>
    <n v="1"/>
    <x v="0"/>
  </r>
  <r>
    <n v="3433"/>
    <n v="1"/>
    <x v="0"/>
  </r>
  <r>
    <n v="3434"/>
    <n v="2"/>
    <x v="1"/>
  </r>
  <r>
    <n v="3436"/>
    <n v="2"/>
    <x v="1"/>
  </r>
  <r>
    <n v="3438"/>
    <n v="1"/>
    <x v="0"/>
  </r>
  <r>
    <n v="3439"/>
    <n v="1"/>
    <x v="0"/>
  </r>
  <r>
    <n v="3440"/>
    <n v="1"/>
    <x v="0"/>
  </r>
  <r>
    <n v="3443"/>
    <n v="2"/>
    <x v="1"/>
  </r>
  <r>
    <n v="3444"/>
    <n v="1"/>
    <x v="0"/>
  </r>
  <r>
    <n v="3448"/>
    <n v="2"/>
    <x v="1"/>
  </r>
  <r>
    <n v="3450"/>
    <n v="1"/>
    <x v="0"/>
  </r>
  <r>
    <n v="3456"/>
    <n v="2"/>
    <x v="1"/>
  </r>
  <r>
    <n v="3460"/>
    <n v="1"/>
    <x v="0"/>
  </r>
  <r>
    <n v="3461"/>
    <n v="2"/>
    <x v="1"/>
  </r>
  <r>
    <n v="3462"/>
    <n v="1"/>
    <x v="0"/>
  </r>
  <r>
    <n v="3468"/>
    <n v="1"/>
    <x v="0"/>
  </r>
  <r>
    <n v="3469"/>
    <n v="1"/>
    <x v="0"/>
  </r>
  <r>
    <n v="3474"/>
    <n v="1"/>
    <x v="0"/>
  </r>
  <r>
    <n v="3475"/>
    <n v="2"/>
    <x v="1"/>
  </r>
  <r>
    <n v="3476"/>
    <n v="1"/>
    <x v="0"/>
  </r>
  <r>
    <n v="3479"/>
    <n v="1"/>
    <x v="0"/>
  </r>
  <r>
    <n v="3481"/>
    <n v="3"/>
    <x v="1"/>
  </r>
  <r>
    <n v="3483"/>
    <n v="1"/>
    <x v="0"/>
  </r>
  <r>
    <n v="3486"/>
    <n v="1"/>
    <x v="0"/>
  </r>
  <r>
    <n v="3488"/>
    <n v="1"/>
    <x v="0"/>
  </r>
  <r>
    <n v="3490"/>
    <n v="2"/>
    <x v="1"/>
  </r>
  <r>
    <n v="3494"/>
    <n v="2"/>
    <x v="1"/>
  </r>
  <r>
    <n v="3495"/>
    <n v="2"/>
    <x v="1"/>
  </r>
  <r>
    <n v="3496"/>
    <n v="1"/>
    <x v="0"/>
  </r>
  <r>
    <n v="3497"/>
    <n v="2"/>
    <x v="1"/>
  </r>
  <r>
    <n v="3502"/>
    <n v="1"/>
    <x v="0"/>
  </r>
  <r>
    <n v="3506"/>
    <n v="1"/>
    <x v="0"/>
  </r>
  <r>
    <n v="3512"/>
    <n v="1"/>
    <x v="0"/>
  </r>
  <r>
    <n v="3516"/>
    <n v="1"/>
    <x v="0"/>
  </r>
  <r>
    <n v="3517"/>
    <n v="1"/>
    <x v="0"/>
  </r>
  <r>
    <n v="3519"/>
    <n v="1"/>
    <x v="0"/>
  </r>
  <r>
    <n v="3520"/>
    <n v="1"/>
    <x v="0"/>
  </r>
  <r>
    <n v="3521"/>
    <n v="1"/>
    <x v="0"/>
  </r>
  <r>
    <n v="3522"/>
    <n v="1"/>
    <x v="0"/>
  </r>
  <r>
    <n v="3524"/>
    <n v="1"/>
    <x v="0"/>
  </r>
  <r>
    <n v="3527"/>
    <n v="1"/>
    <x v="0"/>
  </r>
  <r>
    <n v="3529"/>
    <n v="1"/>
    <x v="0"/>
  </r>
  <r>
    <n v="3533"/>
    <n v="1"/>
    <x v="0"/>
  </r>
  <r>
    <n v="3535"/>
    <n v="1"/>
    <x v="0"/>
  </r>
  <r>
    <n v="3536"/>
    <n v="1"/>
    <x v="0"/>
  </r>
  <r>
    <n v="3537"/>
    <n v="1"/>
    <x v="0"/>
  </r>
  <r>
    <n v="3539"/>
    <n v="1"/>
    <x v="0"/>
  </r>
  <r>
    <n v="3545"/>
    <n v="2"/>
    <x v="1"/>
  </r>
  <r>
    <n v="3546"/>
    <n v="1"/>
    <x v="0"/>
  </r>
  <r>
    <n v="3548"/>
    <n v="1"/>
    <x v="0"/>
  </r>
  <r>
    <n v="3549"/>
    <n v="1"/>
    <x v="0"/>
  </r>
  <r>
    <n v="3550"/>
    <n v="1"/>
    <x v="0"/>
  </r>
  <r>
    <n v="3554"/>
    <n v="1"/>
    <x v="0"/>
  </r>
  <r>
    <n v="3555"/>
    <n v="2"/>
    <x v="1"/>
  </r>
  <r>
    <n v="3559"/>
    <n v="1"/>
    <x v="0"/>
  </r>
  <r>
    <n v="3560"/>
    <n v="1"/>
    <x v="0"/>
  </r>
  <r>
    <n v="3561"/>
    <n v="1"/>
    <x v="0"/>
  </r>
  <r>
    <n v="3566"/>
    <n v="2"/>
    <x v="1"/>
  </r>
  <r>
    <n v="3573"/>
    <n v="1"/>
    <x v="0"/>
  </r>
  <r>
    <n v="3574"/>
    <n v="1"/>
    <x v="0"/>
  </r>
  <r>
    <n v="3575"/>
    <n v="1"/>
    <x v="0"/>
  </r>
  <r>
    <n v="3576"/>
    <n v="1"/>
    <x v="0"/>
  </r>
  <r>
    <n v="3579"/>
    <n v="3"/>
    <x v="1"/>
  </r>
  <r>
    <n v="3583"/>
    <n v="1"/>
    <x v="0"/>
  </r>
  <r>
    <n v="3584"/>
    <n v="2"/>
    <x v="1"/>
  </r>
  <r>
    <n v="3588"/>
    <n v="2"/>
    <x v="1"/>
  </r>
  <r>
    <n v="3589"/>
    <n v="1"/>
    <x v="0"/>
  </r>
  <r>
    <n v="3593"/>
    <n v="1"/>
    <x v="0"/>
  </r>
  <r>
    <n v="3599"/>
    <n v="1"/>
    <x v="0"/>
  </r>
  <r>
    <n v="3604"/>
    <n v="1"/>
    <x v="0"/>
  </r>
  <r>
    <n v="3605"/>
    <n v="2"/>
    <x v="1"/>
  </r>
  <r>
    <n v="3606"/>
    <n v="1"/>
    <x v="0"/>
  </r>
  <r>
    <n v="3607"/>
    <n v="1"/>
    <x v="0"/>
  </r>
  <r>
    <n v="3608"/>
    <n v="1"/>
    <x v="0"/>
  </r>
  <r>
    <n v="3612"/>
    <n v="1"/>
    <x v="0"/>
  </r>
  <r>
    <n v="3615"/>
    <n v="1"/>
    <x v="0"/>
  </r>
  <r>
    <n v="3617"/>
    <n v="1"/>
    <x v="0"/>
  </r>
  <r>
    <n v="3622"/>
    <n v="2"/>
    <x v="1"/>
  </r>
  <r>
    <n v="3628"/>
    <n v="1"/>
    <x v="0"/>
  </r>
  <r>
    <n v="3629"/>
    <n v="1"/>
    <x v="0"/>
  </r>
  <r>
    <n v="3631"/>
    <n v="1"/>
    <x v="0"/>
  </r>
  <r>
    <n v="3633"/>
    <n v="1"/>
    <x v="0"/>
  </r>
  <r>
    <n v="3634"/>
    <n v="1"/>
    <x v="0"/>
  </r>
  <r>
    <n v="3636"/>
    <n v="1"/>
    <x v="0"/>
  </r>
  <r>
    <n v="3637"/>
    <n v="1"/>
    <x v="0"/>
  </r>
  <r>
    <n v="3638"/>
    <n v="1"/>
    <x v="0"/>
  </r>
  <r>
    <n v="3639"/>
    <n v="1"/>
    <x v="0"/>
  </r>
  <r>
    <n v="3640"/>
    <n v="1"/>
    <x v="0"/>
  </r>
  <r>
    <n v="3645"/>
    <n v="2"/>
    <x v="1"/>
  </r>
  <r>
    <n v="3646"/>
    <n v="1"/>
    <x v="0"/>
  </r>
  <r>
    <n v="3647"/>
    <n v="2"/>
    <x v="1"/>
  </r>
  <r>
    <n v="3648"/>
    <n v="1"/>
    <x v="0"/>
  </r>
  <r>
    <n v="3654"/>
    <n v="1"/>
    <x v="0"/>
  </r>
  <r>
    <n v="3661"/>
    <n v="4"/>
    <x v="2"/>
  </r>
  <r>
    <n v="3665"/>
    <n v="1"/>
    <x v="0"/>
  </r>
  <r>
    <n v="3670"/>
    <n v="1"/>
    <x v="0"/>
  </r>
  <r>
    <n v="3672"/>
    <n v="1"/>
    <x v="0"/>
  </r>
  <r>
    <n v="3675"/>
    <n v="1"/>
    <x v="0"/>
  </r>
  <r>
    <n v="3678"/>
    <n v="1"/>
    <x v="0"/>
  </r>
  <r>
    <n v="3683"/>
    <n v="1"/>
    <x v="0"/>
  </r>
  <r>
    <n v="3687"/>
    <n v="1"/>
    <x v="0"/>
  </r>
  <r>
    <n v="3688"/>
    <n v="2"/>
    <x v="1"/>
  </r>
  <r>
    <n v="3689"/>
    <n v="1"/>
    <x v="0"/>
  </r>
  <r>
    <n v="3690"/>
    <n v="1"/>
    <x v="0"/>
  </r>
  <r>
    <n v="3692"/>
    <n v="1"/>
    <x v="0"/>
  </r>
  <r>
    <n v="3695"/>
    <n v="1"/>
    <x v="0"/>
  </r>
  <r>
    <n v="3697"/>
    <n v="1"/>
    <x v="0"/>
  </r>
  <r>
    <n v="3698"/>
    <n v="1"/>
    <x v="0"/>
  </r>
  <r>
    <n v="3703"/>
    <n v="1"/>
    <x v="0"/>
  </r>
  <r>
    <n v="3704"/>
    <n v="1"/>
    <x v="0"/>
  </r>
  <r>
    <n v="3710"/>
    <n v="1"/>
    <x v="0"/>
  </r>
  <r>
    <n v="3711"/>
    <n v="2"/>
    <x v="1"/>
  </r>
  <r>
    <n v="3715"/>
    <n v="1"/>
    <x v="0"/>
  </r>
  <r>
    <n v="3717"/>
    <n v="1"/>
    <x v="0"/>
  </r>
  <r>
    <n v="3719"/>
    <n v="2"/>
    <x v="1"/>
  </r>
  <r>
    <n v="3721"/>
    <n v="1"/>
    <x v="0"/>
  </r>
  <r>
    <n v="3723"/>
    <n v="1"/>
    <x v="0"/>
  </r>
  <r>
    <n v="3726"/>
    <n v="1"/>
    <x v="0"/>
  </r>
  <r>
    <n v="3727"/>
    <n v="1"/>
    <x v="0"/>
  </r>
  <r>
    <n v="3730"/>
    <n v="2"/>
    <x v="1"/>
  </r>
  <r>
    <n v="3735"/>
    <n v="1"/>
    <x v="0"/>
  </r>
  <r>
    <n v="3738"/>
    <n v="1"/>
    <x v="0"/>
  </r>
  <r>
    <n v="3741"/>
    <n v="1"/>
    <x v="0"/>
  </r>
  <r>
    <n v="3745"/>
    <n v="2"/>
    <x v="1"/>
  </r>
  <r>
    <n v="3749"/>
    <n v="1"/>
    <x v="0"/>
  </r>
  <r>
    <n v="3753"/>
    <n v="1"/>
    <x v="0"/>
  </r>
  <r>
    <n v="3759"/>
    <n v="2"/>
    <x v="1"/>
  </r>
  <r>
    <n v="3762"/>
    <n v="2"/>
    <x v="1"/>
  </r>
  <r>
    <n v="3763"/>
    <n v="2"/>
    <x v="1"/>
  </r>
  <r>
    <n v="3764"/>
    <n v="2"/>
    <x v="1"/>
  </r>
  <r>
    <n v="3765"/>
    <n v="1"/>
    <x v="0"/>
  </r>
  <r>
    <n v="3766"/>
    <n v="1"/>
    <x v="0"/>
  </r>
  <r>
    <n v="3772"/>
    <n v="1"/>
    <x v="0"/>
  </r>
  <r>
    <n v="3774"/>
    <n v="1"/>
    <x v="0"/>
  </r>
  <r>
    <n v="3775"/>
    <n v="1"/>
    <x v="0"/>
  </r>
  <r>
    <n v="3776"/>
    <n v="1"/>
    <x v="0"/>
  </r>
  <r>
    <n v="3780"/>
    <n v="1"/>
    <x v="0"/>
  </r>
  <r>
    <n v="3784"/>
    <n v="1"/>
    <x v="0"/>
  </r>
  <r>
    <n v="3786"/>
    <n v="1"/>
    <x v="0"/>
  </r>
  <r>
    <n v="3787"/>
    <n v="2"/>
    <x v="1"/>
  </r>
  <r>
    <n v="3797"/>
    <n v="1"/>
    <x v="0"/>
  </r>
  <r>
    <n v="3803"/>
    <n v="1"/>
    <x v="0"/>
  </r>
  <r>
    <n v="3805"/>
    <n v="2"/>
    <x v="1"/>
  </r>
  <r>
    <n v="3808"/>
    <n v="1"/>
    <x v="0"/>
  </r>
  <r>
    <n v="3809"/>
    <n v="1"/>
    <x v="0"/>
  </r>
  <r>
    <n v="3811"/>
    <n v="3"/>
    <x v="1"/>
  </r>
  <r>
    <n v="3814"/>
    <n v="2"/>
    <x v="1"/>
  </r>
  <r>
    <n v="3816"/>
    <n v="1"/>
    <x v="0"/>
  </r>
  <r>
    <n v="3819"/>
    <n v="1"/>
    <x v="0"/>
  </r>
  <r>
    <n v="3821"/>
    <n v="1"/>
    <x v="0"/>
  </r>
  <r>
    <n v="3822"/>
    <n v="2"/>
    <x v="1"/>
  </r>
  <r>
    <n v="3823"/>
    <n v="1"/>
    <x v="0"/>
  </r>
  <r>
    <n v="3824"/>
    <n v="2"/>
    <x v="1"/>
  </r>
  <r>
    <n v="3826"/>
    <n v="2"/>
    <x v="1"/>
  </r>
  <r>
    <n v="3827"/>
    <n v="1"/>
    <x v="0"/>
  </r>
  <r>
    <n v="3829"/>
    <n v="1"/>
    <x v="0"/>
  </r>
  <r>
    <n v="3832"/>
    <n v="1"/>
    <x v="0"/>
  </r>
  <r>
    <n v="3834"/>
    <n v="1"/>
    <x v="0"/>
  </r>
  <r>
    <n v="3835"/>
    <n v="1"/>
    <x v="0"/>
  </r>
  <r>
    <n v="3838"/>
    <n v="1"/>
    <x v="0"/>
  </r>
  <r>
    <n v="3841"/>
    <n v="1"/>
    <x v="0"/>
  </r>
  <r>
    <n v="3844"/>
    <n v="1"/>
    <x v="0"/>
  </r>
  <r>
    <n v="3846"/>
    <n v="1"/>
    <x v="0"/>
  </r>
  <r>
    <n v="3847"/>
    <n v="2"/>
    <x v="1"/>
  </r>
  <r>
    <n v="3849"/>
    <n v="1"/>
    <x v="0"/>
  </r>
  <r>
    <n v="3850"/>
    <n v="1"/>
    <x v="0"/>
  </r>
  <r>
    <n v="3851"/>
    <n v="1"/>
    <x v="0"/>
  </r>
  <r>
    <n v="3852"/>
    <n v="1"/>
    <x v="0"/>
  </r>
  <r>
    <n v="3854"/>
    <n v="1"/>
    <x v="0"/>
  </r>
  <r>
    <n v="3855"/>
    <n v="1"/>
    <x v="0"/>
  </r>
  <r>
    <n v="3859"/>
    <n v="2"/>
    <x v="1"/>
  </r>
  <r>
    <n v="3862"/>
    <n v="1"/>
    <x v="0"/>
  </r>
  <r>
    <n v="3864"/>
    <n v="1"/>
    <x v="0"/>
  </r>
  <r>
    <n v="3865"/>
    <n v="2"/>
    <x v="1"/>
  </r>
  <r>
    <n v="3867"/>
    <n v="1"/>
    <x v="0"/>
  </r>
  <r>
    <n v="3871"/>
    <n v="1"/>
    <x v="0"/>
  </r>
  <r>
    <n v="3873"/>
    <n v="1"/>
    <x v="0"/>
  </r>
  <r>
    <n v="3874"/>
    <n v="1"/>
    <x v="0"/>
  </r>
  <r>
    <n v="3875"/>
    <n v="1"/>
    <x v="0"/>
  </r>
  <r>
    <n v="3876"/>
    <n v="1"/>
    <x v="0"/>
  </r>
  <r>
    <n v="3877"/>
    <n v="1"/>
    <x v="0"/>
  </r>
  <r>
    <n v="3880"/>
    <n v="1"/>
    <x v="0"/>
  </r>
  <r>
    <n v="3884"/>
    <n v="2"/>
    <x v="1"/>
  </r>
  <r>
    <n v="3888"/>
    <n v="1"/>
    <x v="0"/>
  </r>
  <r>
    <n v="3891"/>
    <n v="1"/>
    <x v="0"/>
  </r>
  <r>
    <n v="3894"/>
    <n v="1"/>
    <x v="0"/>
  </r>
  <r>
    <n v="3895"/>
    <n v="2"/>
    <x v="1"/>
  </r>
  <r>
    <n v="3896"/>
    <n v="2"/>
    <x v="1"/>
  </r>
  <r>
    <n v="3901"/>
    <n v="1"/>
    <x v="0"/>
  </r>
  <r>
    <n v="3903"/>
    <n v="1"/>
    <x v="0"/>
  </r>
  <r>
    <n v="3904"/>
    <n v="1"/>
    <x v="0"/>
  </r>
  <r>
    <n v="3908"/>
    <n v="3"/>
    <x v="1"/>
  </r>
  <r>
    <n v="3909"/>
    <n v="1"/>
    <x v="0"/>
  </r>
  <r>
    <n v="3910"/>
    <n v="1"/>
    <x v="0"/>
  </r>
  <r>
    <n v="3911"/>
    <n v="2"/>
    <x v="1"/>
  </r>
  <r>
    <n v="3914"/>
    <n v="1"/>
    <x v="0"/>
  </r>
  <r>
    <n v="3916"/>
    <n v="1"/>
    <x v="0"/>
  </r>
  <r>
    <n v="3917"/>
    <n v="2"/>
    <x v="1"/>
  </r>
  <r>
    <n v="3919"/>
    <n v="1"/>
    <x v="0"/>
  </r>
  <r>
    <n v="3923"/>
    <n v="1"/>
    <x v="0"/>
  </r>
  <r>
    <n v="3924"/>
    <n v="2"/>
    <x v="1"/>
  </r>
  <r>
    <n v="3927"/>
    <n v="1"/>
    <x v="0"/>
  </r>
  <r>
    <n v="3930"/>
    <n v="1"/>
    <x v="0"/>
  </r>
  <r>
    <n v="3931"/>
    <n v="1"/>
    <x v="0"/>
  </r>
  <r>
    <n v="3932"/>
    <n v="1"/>
    <x v="0"/>
  </r>
  <r>
    <n v="3936"/>
    <n v="1"/>
    <x v="0"/>
  </r>
  <r>
    <n v="3938"/>
    <n v="1"/>
    <x v="0"/>
  </r>
  <r>
    <n v="3939"/>
    <n v="1"/>
    <x v="0"/>
  </r>
  <r>
    <n v="3940"/>
    <n v="2"/>
    <x v="1"/>
  </r>
  <r>
    <n v="3942"/>
    <n v="1"/>
    <x v="0"/>
  </r>
  <r>
    <n v="3944"/>
    <n v="1"/>
    <x v="0"/>
  </r>
  <r>
    <n v="3946"/>
    <n v="2"/>
    <x v="1"/>
  </r>
  <r>
    <n v="3947"/>
    <n v="1"/>
    <x v="0"/>
  </r>
  <r>
    <n v="3949"/>
    <n v="1"/>
    <x v="0"/>
  </r>
  <r>
    <n v="3950"/>
    <n v="1"/>
    <x v="0"/>
  </r>
  <r>
    <n v="3954"/>
    <n v="1"/>
    <x v="0"/>
  </r>
  <r>
    <n v="3958"/>
    <n v="1"/>
    <x v="0"/>
  </r>
  <r>
    <n v="3960"/>
    <n v="1"/>
    <x v="0"/>
  </r>
  <r>
    <n v="3965"/>
    <n v="1"/>
    <x v="0"/>
  </r>
  <r>
    <n v="3966"/>
    <n v="1"/>
    <x v="0"/>
  </r>
  <r>
    <n v="3969"/>
    <n v="3"/>
    <x v="1"/>
  </r>
  <r>
    <n v="3970"/>
    <n v="1"/>
    <x v="0"/>
  </r>
  <r>
    <n v="3973"/>
    <n v="1"/>
    <x v="0"/>
  </r>
  <r>
    <n v="3977"/>
    <n v="1"/>
    <x v="0"/>
  </r>
  <r>
    <n v="3979"/>
    <n v="1"/>
    <x v="0"/>
  </r>
  <r>
    <n v="3981"/>
    <n v="1"/>
    <x v="0"/>
  </r>
  <r>
    <n v="3985"/>
    <n v="1"/>
    <x v="0"/>
  </r>
  <r>
    <n v="3986"/>
    <n v="1"/>
    <x v="0"/>
  </r>
  <r>
    <n v="3987"/>
    <n v="2"/>
    <x v="1"/>
  </r>
  <r>
    <n v="3988"/>
    <n v="1"/>
    <x v="0"/>
  </r>
  <r>
    <n v="3989"/>
    <n v="1"/>
    <x v="0"/>
  </r>
  <r>
    <n v="3991"/>
    <n v="1"/>
    <x v="0"/>
  </r>
  <r>
    <n v="3992"/>
    <n v="1"/>
    <x v="0"/>
  </r>
  <r>
    <n v="3994"/>
    <n v="1"/>
    <x v="0"/>
  </r>
  <r>
    <n v="3998"/>
    <n v="1"/>
    <x v="0"/>
  </r>
  <r>
    <n v="3999"/>
    <n v="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0001"/>
    <d v="2025-01-01T00:00:00"/>
    <s v="01"/>
    <x v="0"/>
    <x v="0"/>
    <x v="0"/>
    <x v="0"/>
    <x v="0"/>
    <x v="0"/>
    <x v="0"/>
    <n v="2"/>
    <n v="162.53"/>
    <x v="0"/>
    <n v="325.06"/>
    <n v="48.759"/>
    <n v="276.30099999999999"/>
    <n v="24.3"/>
    <n v="48.6"/>
    <n v="227.70099999999999"/>
    <n v="0.824104871136912"/>
    <x v="0"/>
    <n v="1"/>
    <n v="2"/>
    <n v="0"/>
    <n v="2"/>
  </r>
  <r>
    <n v="10002"/>
    <d v="2025-01-02T00:00:00"/>
    <s v="02"/>
    <x v="0"/>
    <x v="0"/>
    <x v="1"/>
    <x v="1"/>
    <x v="0"/>
    <x v="1"/>
    <x v="1"/>
    <n v="5"/>
    <n v="10.4"/>
    <x v="1"/>
    <n v="52"/>
    <n v="10.4"/>
    <n v="41.6"/>
    <n v="33.71"/>
    <n v="168.55"/>
    <n v="-126.95"/>
    <n v="-3.0516826923076898"/>
    <x v="1"/>
    <n v="0"/>
    <n v="0"/>
    <n v="5"/>
    <n v="5"/>
  </r>
  <r>
    <n v="10003"/>
    <d v="2025-01-03T00:00:00"/>
    <s v="03"/>
    <x v="0"/>
    <x v="0"/>
    <x v="2"/>
    <x v="2"/>
    <x v="1"/>
    <x v="1"/>
    <x v="1"/>
    <n v="1"/>
    <n v="211.65"/>
    <x v="2"/>
    <n v="211.65"/>
    <n v="0"/>
    <n v="211.65"/>
    <n v="109.14"/>
    <n v="109.14"/>
    <n v="102.51"/>
    <n v="0.48433734939758999"/>
    <x v="0"/>
    <n v="1"/>
    <n v="1"/>
    <n v="0"/>
    <n v="1"/>
  </r>
  <r>
    <n v="10004"/>
    <d v="2025-01-04T00:00:00"/>
    <s v="04"/>
    <x v="0"/>
    <x v="0"/>
    <x v="3"/>
    <x v="1"/>
    <x v="0"/>
    <x v="2"/>
    <x v="2"/>
    <n v="4"/>
    <n v="63.72"/>
    <x v="3"/>
    <n v="254.88"/>
    <n v="25.488"/>
    <n v="229.392"/>
    <n v="82.99"/>
    <n v="331.96"/>
    <n v="-102.567999999999"/>
    <n v="-0.44712980400362601"/>
    <x v="1"/>
    <n v="0"/>
    <n v="0"/>
    <n v="4"/>
    <n v="4"/>
  </r>
  <r>
    <n v="10005"/>
    <d v="2025-01-05T00:00:00"/>
    <s v="05"/>
    <x v="0"/>
    <x v="0"/>
    <x v="4"/>
    <x v="2"/>
    <x v="1"/>
    <x v="1"/>
    <x v="1"/>
    <n v="9"/>
    <n v="147.16"/>
    <x v="0"/>
    <n v="1324.44"/>
    <n v="198.666"/>
    <n v="1125.7739999999999"/>
    <n v="107.51"/>
    <n v="967.59"/>
    <n v="158.184"/>
    <n v="0.140511328206194"/>
    <x v="0"/>
    <n v="1"/>
    <n v="9"/>
    <n v="0"/>
    <n v="9"/>
  </r>
  <r>
    <n v="10006"/>
    <d v="2025-01-06T00:00:00"/>
    <s v="06"/>
    <x v="0"/>
    <x v="0"/>
    <x v="5"/>
    <x v="2"/>
    <x v="1"/>
    <x v="3"/>
    <x v="3"/>
    <n v="2"/>
    <n v="94.38"/>
    <x v="4"/>
    <n v="188.76"/>
    <n v="9.4380000000000006"/>
    <n v="179.322"/>
    <n v="91.88"/>
    <n v="183.76"/>
    <n v="-4.4379999999999802"/>
    <n v="-2.47487759449481E-2"/>
    <x v="1"/>
    <n v="0"/>
    <n v="0"/>
    <n v="2"/>
    <n v="2"/>
  </r>
  <r>
    <n v="10007"/>
    <d v="2025-01-07T00:00:00"/>
    <s v="07"/>
    <x v="0"/>
    <x v="0"/>
    <x v="6"/>
    <x v="3"/>
    <x v="1"/>
    <x v="0"/>
    <x v="0"/>
    <n v="3"/>
    <n v="150.56"/>
    <x v="3"/>
    <n v="451.68"/>
    <n v="45.167999999999999"/>
    <n v="406.512"/>
    <n v="86.16"/>
    <n v="258.48"/>
    <n v="148.03199999999899"/>
    <n v="0.36415161176053801"/>
    <x v="0"/>
    <n v="1"/>
    <n v="3"/>
    <n v="0"/>
    <n v="3"/>
  </r>
  <r>
    <n v="10008"/>
    <d v="2025-01-08T00:00:00"/>
    <s v="08"/>
    <x v="0"/>
    <x v="0"/>
    <x v="7"/>
    <x v="2"/>
    <x v="1"/>
    <x v="3"/>
    <x v="4"/>
    <n v="1"/>
    <n v="73.819999999999993"/>
    <x v="2"/>
    <n v="73.819999999999993"/>
    <n v="0"/>
    <n v="73.819999999999993"/>
    <n v="31.93"/>
    <n v="31.93"/>
    <n v="41.889999999999901"/>
    <n v="0.56746139257653705"/>
    <x v="0"/>
    <n v="1"/>
    <n v="1"/>
    <n v="0"/>
    <n v="1"/>
  </r>
  <r>
    <n v="10009"/>
    <d v="2025-01-09T00:00:00"/>
    <s v="09"/>
    <x v="0"/>
    <x v="0"/>
    <x v="8"/>
    <x v="2"/>
    <x v="0"/>
    <x v="2"/>
    <x v="2"/>
    <n v="6"/>
    <n v="194.84"/>
    <x v="0"/>
    <n v="1169.04"/>
    <n v="175.35599999999999"/>
    <n v="993.68399999999997"/>
    <n v="129.72999999999999"/>
    <n v="778.37999999999897"/>
    <n v="215.304"/>
    <n v="0.21667250353231002"/>
    <x v="0"/>
    <n v="1"/>
    <n v="6"/>
    <n v="0"/>
    <n v="6"/>
  </r>
  <r>
    <n v="10010"/>
    <d v="2025-01-10T00:00:00"/>
    <s v="10"/>
    <x v="0"/>
    <x v="0"/>
    <x v="9"/>
    <x v="1"/>
    <x v="1"/>
    <x v="3"/>
    <x v="5"/>
    <n v="8"/>
    <n v="187.47"/>
    <x v="4"/>
    <n v="1499.76"/>
    <n v="74.988"/>
    <n v="1424.7719999999999"/>
    <n v="117.06"/>
    <n v="936.48"/>
    <n v="488.29199999999901"/>
    <n v="0.34271588717352602"/>
    <x v="0"/>
    <n v="1"/>
    <n v="8"/>
    <n v="0"/>
    <n v="8"/>
  </r>
  <r>
    <n v="10011"/>
    <d v="2025-01-11T00:00:00"/>
    <s v="11"/>
    <x v="0"/>
    <x v="0"/>
    <x v="10"/>
    <x v="0"/>
    <x v="1"/>
    <x v="3"/>
    <x v="4"/>
    <n v="6"/>
    <n v="184.63"/>
    <x v="1"/>
    <n v="1107.78"/>
    <n v="221.55600000000001"/>
    <n v="886.22399999999902"/>
    <n v="114.62"/>
    <n v="687.72"/>
    <n v="198.503999999999"/>
    <n v="0.22398851757569102"/>
    <x v="0"/>
    <n v="1"/>
    <n v="6"/>
    <n v="0"/>
    <n v="6"/>
  </r>
  <r>
    <n v="10012"/>
    <d v="2025-01-12T00:00:00"/>
    <s v="12"/>
    <x v="0"/>
    <x v="0"/>
    <x v="11"/>
    <x v="3"/>
    <x v="1"/>
    <x v="3"/>
    <x v="5"/>
    <n v="3"/>
    <n v="55.41"/>
    <x v="0"/>
    <n v="166.23"/>
    <n v="24.9344999999999"/>
    <n v="141.2955"/>
    <n v="140.11000000000001"/>
    <n v="420.33"/>
    <n v="-279.03449999999998"/>
    <n v="-1.9748293470068001"/>
    <x v="1"/>
    <n v="0"/>
    <n v="0"/>
    <n v="3"/>
    <n v="3"/>
  </r>
  <r>
    <n v="10013"/>
    <d v="2025-01-13T00:00:00"/>
    <s v="13"/>
    <x v="0"/>
    <x v="0"/>
    <x v="12"/>
    <x v="1"/>
    <x v="0"/>
    <x v="1"/>
    <x v="6"/>
    <n v="2"/>
    <n v="19.73"/>
    <x v="1"/>
    <n v="39.46"/>
    <n v="7.8920000000000003"/>
    <n v="31.568000000000001"/>
    <n v="62.34"/>
    <n v="124.68"/>
    <n v="-93.111999999999995"/>
    <n v="-2.9495691839837797"/>
    <x v="1"/>
    <n v="0"/>
    <n v="0"/>
    <n v="2"/>
    <n v="2"/>
  </r>
  <r>
    <n v="10014"/>
    <d v="2025-01-14T00:00:00"/>
    <s v="14"/>
    <x v="0"/>
    <x v="0"/>
    <x v="13"/>
    <x v="3"/>
    <x v="0"/>
    <x v="3"/>
    <x v="3"/>
    <n v="8"/>
    <n v="55.59"/>
    <x v="2"/>
    <n v="444.72"/>
    <n v="0"/>
    <n v="444.72"/>
    <n v="66.17"/>
    <n v="529.36"/>
    <n v="-84.639999999999901"/>
    <n v="-0.19032200035977598"/>
    <x v="1"/>
    <n v="0"/>
    <n v="0"/>
    <n v="8"/>
    <n v="8"/>
  </r>
  <r>
    <n v="10015"/>
    <d v="2025-01-15T00:00:00"/>
    <s v="15"/>
    <x v="0"/>
    <x v="0"/>
    <x v="14"/>
    <x v="0"/>
    <x v="0"/>
    <x v="3"/>
    <x v="5"/>
    <n v="7"/>
    <n v="138.84"/>
    <x v="1"/>
    <n v="971.88"/>
    <n v="194.376"/>
    <n v="777.50400000000002"/>
    <n v="73.31"/>
    <n v="513.16999999999996"/>
    <n v="264.33399999999898"/>
    <n v="0.33997767214059299"/>
    <x v="0"/>
    <n v="1"/>
    <n v="7"/>
    <n v="0"/>
    <n v="7"/>
  </r>
  <r>
    <n v="10016"/>
    <d v="2025-01-16T00:00:00"/>
    <s v="16"/>
    <x v="0"/>
    <x v="0"/>
    <x v="15"/>
    <x v="1"/>
    <x v="1"/>
    <x v="3"/>
    <x v="3"/>
    <n v="5"/>
    <n v="93.91"/>
    <x v="3"/>
    <n v="469.54999999999899"/>
    <n v="46.954999999999998"/>
    <n v="422.594999999999"/>
    <n v="55.71"/>
    <n v="278.55"/>
    <n v="144.04499999999899"/>
    <n v="0.34085826855499901"/>
    <x v="0"/>
    <n v="1"/>
    <n v="5"/>
    <n v="0"/>
    <n v="5"/>
  </r>
  <r>
    <n v="10017"/>
    <d v="2025-01-17T00:00:00"/>
    <s v="17"/>
    <x v="0"/>
    <x v="0"/>
    <x v="16"/>
    <x v="3"/>
    <x v="1"/>
    <x v="3"/>
    <x v="5"/>
    <n v="7"/>
    <n v="148.75"/>
    <x v="0"/>
    <n v="1041.25"/>
    <n v="156.1875"/>
    <n v="885.0625"/>
    <n v="79.13"/>
    <n v="553.91"/>
    <n v="331.15249999999997"/>
    <n v="0.37415719228868"/>
    <x v="0"/>
    <n v="1"/>
    <n v="7"/>
    <n v="0"/>
    <n v="7"/>
  </r>
  <r>
    <n v="10018"/>
    <d v="2025-01-18T00:00:00"/>
    <s v="18"/>
    <x v="0"/>
    <x v="0"/>
    <x v="17"/>
    <x v="2"/>
    <x v="1"/>
    <x v="1"/>
    <x v="1"/>
    <n v="4"/>
    <n v="54.52"/>
    <x v="1"/>
    <n v="218.08"/>
    <n v="43.616"/>
    <n v="174.464"/>
    <n v="95.8"/>
    <n v="383.2"/>
    <n v="-208.73599999999999"/>
    <n v="-1.19644167278063"/>
    <x v="1"/>
    <n v="0"/>
    <n v="0"/>
    <n v="4"/>
    <n v="4"/>
  </r>
  <r>
    <n v="10019"/>
    <d v="2025-01-19T00:00:00"/>
    <s v="19"/>
    <x v="0"/>
    <x v="0"/>
    <x v="18"/>
    <x v="3"/>
    <x v="1"/>
    <x v="1"/>
    <x v="6"/>
    <n v="8"/>
    <n v="14.55"/>
    <x v="4"/>
    <n v="116.4"/>
    <n v="5.82"/>
    <n v="110.58"/>
    <n v="90.18"/>
    <n v="721.44"/>
    <n v="-610.86"/>
    <n v="-5.5241454150841003"/>
    <x v="1"/>
    <n v="0"/>
    <n v="0"/>
    <n v="8"/>
    <n v="8"/>
  </r>
  <r>
    <n v="10020"/>
    <d v="2025-01-20T00:00:00"/>
    <s v="20"/>
    <x v="0"/>
    <x v="0"/>
    <x v="19"/>
    <x v="3"/>
    <x v="1"/>
    <x v="3"/>
    <x v="4"/>
    <n v="3"/>
    <n v="26.48"/>
    <x v="0"/>
    <n v="79.44"/>
    <n v="11.915999999999899"/>
    <n v="67.524000000000001"/>
    <n v="30.58"/>
    <n v="91.74"/>
    <n v="-24.215999999999902"/>
    <n v="-0.35862804336235898"/>
    <x v="1"/>
    <n v="0"/>
    <n v="0"/>
    <n v="3"/>
    <n v="3"/>
  </r>
  <r>
    <n v="10021"/>
    <d v="2025-01-21T00:00:00"/>
    <s v="21"/>
    <x v="0"/>
    <x v="0"/>
    <x v="20"/>
    <x v="3"/>
    <x v="1"/>
    <x v="1"/>
    <x v="1"/>
    <n v="7"/>
    <n v="16.45"/>
    <x v="2"/>
    <n v="115.149999999999"/>
    <n v="0"/>
    <n v="115.149999999999"/>
    <n v="110.15"/>
    <n v="771.05"/>
    <n v="-655.9"/>
    <n v="-5.6960486322188402"/>
    <x v="1"/>
    <n v="0"/>
    <n v="0"/>
    <n v="7"/>
    <n v="7"/>
  </r>
  <r>
    <n v="10022"/>
    <d v="2025-01-22T00:00:00"/>
    <s v="22"/>
    <x v="0"/>
    <x v="0"/>
    <x v="21"/>
    <x v="1"/>
    <x v="1"/>
    <x v="2"/>
    <x v="2"/>
    <n v="3"/>
    <n v="136.85"/>
    <x v="3"/>
    <n v="410.54999999999899"/>
    <n v="41.055"/>
    <n v="369.49499999999898"/>
    <n v="15.24"/>
    <n v="45.72"/>
    <n v="323.77499999999998"/>
    <n v="0.87626354889781988"/>
    <x v="0"/>
    <n v="1"/>
    <n v="3"/>
    <n v="0"/>
    <n v="3"/>
  </r>
  <r>
    <n v="10023"/>
    <d v="2025-01-23T00:00:00"/>
    <s v="23"/>
    <x v="0"/>
    <x v="0"/>
    <x v="22"/>
    <x v="1"/>
    <x v="0"/>
    <x v="2"/>
    <x v="2"/>
    <n v="7"/>
    <n v="43.39"/>
    <x v="3"/>
    <n v="303.73"/>
    <n v="30.373000000000001"/>
    <n v="273.35700000000003"/>
    <n v="35.049999999999997"/>
    <n v="245.349999999999"/>
    <n v="28.007000000000001"/>
    <n v="0.10245576297662"/>
    <x v="0"/>
    <n v="1"/>
    <n v="7"/>
    <n v="0"/>
    <n v="7"/>
  </r>
  <r>
    <n v="10024"/>
    <d v="2025-01-24T00:00:00"/>
    <s v="24"/>
    <x v="0"/>
    <x v="0"/>
    <x v="23"/>
    <x v="1"/>
    <x v="0"/>
    <x v="3"/>
    <x v="5"/>
    <n v="6"/>
    <n v="213.46"/>
    <x v="2"/>
    <n v="1280.76"/>
    <n v="0"/>
    <n v="1280.76"/>
    <n v="62.52"/>
    <n v="375.12"/>
    <n v="905.64"/>
    <n v="0.70711140260470307"/>
    <x v="0"/>
    <n v="1"/>
    <n v="6"/>
    <n v="0"/>
    <n v="6"/>
  </r>
  <r>
    <n v="10025"/>
    <d v="2025-01-25T00:00:00"/>
    <s v="25"/>
    <x v="0"/>
    <x v="0"/>
    <x v="24"/>
    <x v="2"/>
    <x v="0"/>
    <x v="0"/>
    <x v="0"/>
    <n v="3"/>
    <n v="133.80000000000001"/>
    <x v="0"/>
    <n v="401.4"/>
    <n v="60.21"/>
    <n v="341.19"/>
    <n v="124.88"/>
    <n v="374.64"/>
    <n v="-33.449999999999903"/>
    <n v="-9.80392156862743E-2"/>
    <x v="1"/>
    <n v="0"/>
    <n v="0"/>
    <n v="3"/>
    <n v="3"/>
  </r>
  <r>
    <n v="10026"/>
    <d v="2025-01-26T00:00:00"/>
    <s v="26"/>
    <x v="0"/>
    <x v="0"/>
    <x v="25"/>
    <x v="1"/>
    <x v="1"/>
    <x v="2"/>
    <x v="2"/>
    <n v="5"/>
    <n v="124.51"/>
    <x v="2"/>
    <n v="622.54999999999995"/>
    <n v="0"/>
    <n v="622.54999999999995"/>
    <n v="41.55"/>
    <n v="207.75"/>
    <n v="414.8"/>
    <n v="0.66629186410730001"/>
    <x v="0"/>
    <n v="1"/>
    <n v="5"/>
    <n v="0"/>
    <n v="5"/>
  </r>
  <r>
    <n v="10027"/>
    <d v="2025-01-27T00:00:00"/>
    <s v="27"/>
    <x v="0"/>
    <x v="0"/>
    <x v="26"/>
    <x v="2"/>
    <x v="1"/>
    <x v="3"/>
    <x v="5"/>
    <n v="8"/>
    <n v="19.399999999999999"/>
    <x v="2"/>
    <n v="155.19999999999999"/>
    <n v="0"/>
    <n v="155.19999999999999"/>
    <n v="124.98"/>
    <n v="999.84"/>
    <n v="-844.64"/>
    <n v="-5.4422680412371101"/>
    <x v="1"/>
    <n v="0"/>
    <n v="0"/>
    <n v="8"/>
    <n v="8"/>
  </r>
  <r>
    <n v="10028"/>
    <d v="2025-01-28T00:00:00"/>
    <s v="28"/>
    <x v="0"/>
    <x v="0"/>
    <x v="27"/>
    <x v="3"/>
    <x v="0"/>
    <x v="2"/>
    <x v="2"/>
    <n v="4"/>
    <n v="223.15"/>
    <x v="3"/>
    <n v="892.6"/>
    <n v="89.26"/>
    <n v="803.34"/>
    <n v="89.19"/>
    <n v="356.76"/>
    <n v="446.58"/>
    <n v="0.55590410038090898"/>
    <x v="0"/>
    <n v="1"/>
    <n v="4"/>
    <n v="0"/>
    <n v="4"/>
  </r>
  <r>
    <n v="10029"/>
    <d v="2025-01-29T00:00:00"/>
    <s v="29"/>
    <x v="0"/>
    <x v="0"/>
    <x v="28"/>
    <x v="0"/>
    <x v="1"/>
    <x v="1"/>
    <x v="6"/>
    <n v="4"/>
    <n v="96.56"/>
    <x v="4"/>
    <n v="386.24"/>
    <n v="19.312000000000001"/>
    <n v="366.928"/>
    <n v="106.37"/>
    <n v="425.48"/>
    <n v="-58.552"/>
    <n v="-0.15957354031308602"/>
    <x v="1"/>
    <n v="0"/>
    <n v="0"/>
    <n v="4"/>
    <n v="4"/>
  </r>
  <r>
    <n v="10030"/>
    <d v="2025-01-30T00:00:00"/>
    <s v="30"/>
    <x v="0"/>
    <x v="0"/>
    <x v="29"/>
    <x v="0"/>
    <x v="1"/>
    <x v="3"/>
    <x v="3"/>
    <n v="8"/>
    <n v="242.64"/>
    <x v="0"/>
    <n v="1941.12"/>
    <n v="291.16799999999898"/>
    <n v="1649.952"/>
    <n v="47.97"/>
    <n v="383.76"/>
    <n v="1266.192"/>
    <n v="0.76741141560481696"/>
    <x v="0"/>
    <n v="1"/>
    <n v="8"/>
    <n v="0"/>
    <n v="8"/>
  </r>
  <r>
    <n v="10031"/>
    <d v="2025-01-31T00:00:00"/>
    <s v="31"/>
    <x v="0"/>
    <x v="0"/>
    <x v="30"/>
    <x v="0"/>
    <x v="1"/>
    <x v="3"/>
    <x v="4"/>
    <n v="7"/>
    <n v="67.45"/>
    <x v="2"/>
    <n v="472.15"/>
    <n v="0"/>
    <n v="472.15"/>
    <n v="145.80000000000001"/>
    <n v="1020.6"/>
    <n v="-548.45000000000005"/>
    <n v="-1.1616011860637498"/>
    <x v="1"/>
    <n v="0"/>
    <n v="0"/>
    <n v="7"/>
    <n v="7"/>
  </r>
  <r>
    <n v="10032"/>
    <d v="2025-02-01T00:00:00"/>
    <s v="01"/>
    <x v="1"/>
    <x v="0"/>
    <x v="31"/>
    <x v="3"/>
    <x v="0"/>
    <x v="0"/>
    <x v="0"/>
    <n v="1"/>
    <n v="220.99"/>
    <x v="3"/>
    <n v="220.99"/>
    <n v="22.099"/>
    <n v="198.89099999999999"/>
    <n v="99.39"/>
    <n v="99.39"/>
    <n v="99.501000000000005"/>
    <n v="0.50027904731737405"/>
    <x v="0"/>
    <n v="1"/>
    <n v="1"/>
    <n v="0"/>
    <n v="1"/>
  </r>
  <r>
    <n v="10033"/>
    <d v="2025-02-02T00:00:00"/>
    <s v="02"/>
    <x v="1"/>
    <x v="0"/>
    <x v="32"/>
    <x v="2"/>
    <x v="1"/>
    <x v="2"/>
    <x v="2"/>
    <n v="1"/>
    <n v="16.010000000000002"/>
    <x v="3"/>
    <n v="16.010000000000002"/>
    <n v="1.601"/>
    <n v="14.409000000000001"/>
    <n v="16.670000000000002"/>
    <n v="16.670000000000002"/>
    <n v="-2.2610000000000001"/>
    <n v="-0.156915816503574"/>
    <x v="1"/>
    <n v="0"/>
    <n v="0"/>
    <n v="1"/>
    <n v="1"/>
  </r>
  <r>
    <n v="10034"/>
    <d v="2025-02-03T00:00:00"/>
    <s v="03"/>
    <x v="1"/>
    <x v="0"/>
    <x v="33"/>
    <x v="2"/>
    <x v="0"/>
    <x v="0"/>
    <x v="0"/>
    <n v="8"/>
    <n v="150.65"/>
    <x v="3"/>
    <n v="1205.2"/>
    <n v="120.52"/>
    <n v="1084.68"/>
    <n v="121.92"/>
    <n v="975.36"/>
    <n v="109.32"/>
    <n v="0.100785485120035"/>
    <x v="0"/>
    <n v="1"/>
    <n v="8"/>
    <n v="0"/>
    <n v="8"/>
  </r>
  <r>
    <n v="10035"/>
    <d v="2025-02-04T00:00:00"/>
    <s v="04"/>
    <x v="1"/>
    <x v="0"/>
    <x v="34"/>
    <x v="2"/>
    <x v="0"/>
    <x v="2"/>
    <x v="2"/>
    <n v="3"/>
    <n v="64.239999999999995"/>
    <x v="0"/>
    <n v="192.719999999999"/>
    <n v="28.907999999999902"/>
    <n v="163.81199999999899"/>
    <n v="72.760000000000005"/>
    <n v="218.28"/>
    <n v="-54.468000000000004"/>
    <n v="-0.33250311332503102"/>
    <x v="1"/>
    <n v="0"/>
    <n v="0"/>
    <n v="3"/>
    <n v="3"/>
  </r>
  <r>
    <n v="10036"/>
    <d v="2025-02-05T00:00:00"/>
    <s v="05"/>
    <x v="1"/>
    <x v="0"/>
    <x v="35"/>
    <x v="2"/>
    <x v="0"/>
    <x v="0"/>
    <x v="0"/>
    <n v="7"/>
    <n v="241.53"/>
    <x v="2"/>
    <n v="1690.71"/>
    <n v="0"/>
    <n v="1690.71"/>
    <n v="126.04"/>
    <n v="882.28"/>
    <n v="808.43"/>
    <n v="0.47816006293214003"/>
    <x v="0"/>
    <n v="1"/>
    <n v="7"/>
    <n v="0"/>
    <n v="7"/>
  </r>
  <r>
    <n v="10037"/>
    <d v="2025-02-06T00:00:00"/>
    <s v="06"/>
    <x v="1"/>
    <x v="0"/>
    <x v="36"/>
    <x v="1"/>
    <x v="1"/>
    <x v="3"/>
    <x v="4"/>
    <n v="1"/>
    <n v="172.55"/>
    <x v="2"/>
    <n v="172.55"/>
    <n v="0"/>
    <n v="172.55"/>
    <n v="106.58"/>
    <n v="106.58"/>
    <n v="65.97"/>
    <n v="0.38232396406838604"/>
    <x v="0"/>
    <n v="1"/>
    <n v="1"/>
    <n v="0"/>
    <n v="1"/>
  </r>
  <r>
    <n v="10038"/>
    <d v="2025-02-07T00:00:00"/>
    <s v="07"/>
    <x v="1"/>
    <x v="0"/>
    <x v="37"/>
    <x v="0"/>
    <x v="0"/>
    <x v="1"/>
    <x v="1"/>
    <n v="1"/>
    <n v="95.42"/>
    <x v="2"/>
    <n v="95.42"/>
    <n v="0"/>
    <n v="95.42"/>
    <n v="145.1"/>
    <n v="145.1"/>
    <n v="-49.6799999999999"/>
    <n v="-0.52064556696709197"/>
    <x v="1"/>
    <n v="0"/>
    <n v="0"/>
    <n v="1"/>
    <n v="1"/>
  </r>
  <r>
    <n v="10039"/>
    <d v="2025-02-08T00:00:00"/>
    <s v="08"/>
    <x v="1"/>
    <x v="0"/>
    <x v="38"/>
    <x v="2"/>
    <x v="1"/>
    <x v="2"/>
    <x v="2"/>
    <n v="5"/>
    <n v="49.03"/>
    <x v="4"/>
    <n v="245.15"/>
    <n v="12.2575"/>
    <n v="232.89250000000001"/>
    <n v="136.83000000000001"/>
    <n v="684.15"/>
    <n v="-451.25749999999999"/>
    <n v="-1.9376214347821401"/>
    <x v="1"/>
    <n v="0"/>
    <n v="0"/>
    <n v="5"/>
    <n v="5"/>
  </r>
  <r>
    <n v="10040"/>
    <d v="2025-02-09T00:00:00"/>
    <s v="09"/>
    <x v="1"/>
    <x v="0"/>
    <x v="39"/>
    <x v="1"/>
    <x v="1"/>
    <x v="1"/>
    <x v="1"/>
    <n v="8"/>
    <n v="237.55"/>
    <x v="2"/>
    <n v="1900.4"/>
    <n v="0"/>
    <n v="1900.4"/>
    <n v="101.64"/>
    <n v="813.12"/>
    <n v="1087.28"/>
    <n v="0.57213218269837907"/>
    <x v="0"/>
    <n v="1"/>
    <n v="8"/>
    <n v="0"/>
    <n v="8"/>
  </r>
  <r>
    <n v="10041"/>
    <d v="2025-02-10T00:00:00"/>
    <s v="10"/>
    <x v="1"/>
    <x v="0"/>
    <x v="40"/>
    <x v="3"/>
    <x v="1"/>
    <x v="3"/>
    <x v="4"/>
    <n v="9"/>
    <n v="124.49"/>
    <x v="0"/>
    <n v="1120.4099999999901"/>
    <n v="168.061499999999"/>
    <n v="952.34849999999904"/>
    <n v="115.99"/>
    <n v="1043.9099999999901"/>
    <n v="-91.561499999999995"/>
    <n v="-9.6142851067650095E-2"/>
    <x v="1"/>
    <n v="0"/>
    <n v="0"/>
    <n v="9"/>
    <n v="9"/>
  </r>
  <r>
    <n v="10042"/>
    <d v="2025-02-11T00:00:00"/>
    <s v="11"/>
    <x v="1"/>
    <x v="0"/>
    <x v="41"/>
    <x v="3"/>
    <x v="0"/>
    <x v="0"/>
    <x v="0"/>
    <n v="1"/>
    <n v="235.01"/>
    <x v="1"/>
    <n v="235.01"/>
    <n v="47.002000000000002"/>
    <n v="188.00799999999899"/>
    <n v="13.71"/>
    <n v="13.71"/>
    <n v="174.29799999999901"/>
    <n v="0.92707757116718392"/>
    <x v="0"/>
    <n v="1"/>
    <n v="1"/>
    <n v="0"/>
    <n v="1"/>
  </r>
  <r>
    <n v="10043"/>
    <d v="2025-02-12T00:00:00"/>
    <s v="12"/>
    <x v="1"/>
    <x v="0"/>
    <x v="42"/>
    <x v="2"/>
    <x v="1"/>
    <x v="1"/>
    <x v="6"/>
    <n v="3"/>
    <n v="17.63"/>
    <x v="2"/>
    <n v="52.89"/>
    <n v="0"/>
    <n v="52.89"/>
    <n v="120.26"/>
    <n v="360.78"/>
    <n v="-307.89"/>
    <n v="-5.8213272830402696"/>
    <x v="1"/>
    <n v="0"/>
    <n v="0"/>
    <n v="3"/>
    <n v="3"/>
  </r>
  <r>
    <n v="10044"/>
    <d v="2025-02-13T00:00:00"/>
    <s v="13"/>
    <x v="1"/>
    <x v="0"/>
    <x v="43"/>
    <x v="0"/>
    <x v="0"/>
    <x v="3"/>
    <x v="4"/>
    <n v="2"/>
    <n v="181.06"/>
    <x v="0"/>
    <n v="362.12"/>
    <n v="54.317999999999998"/>
    <n v="307.80200000000002"/>
    <n v="111.61"/>
    <n v="223.22"/>
    <n v="84.581999999999994"/>
    <n v="0.27479353610437801"/>
    <x v="0"/>
    <n v="1"/>
    <n v="2"/>
    <n v="0"/>
    <n v="2"/>
  </r>
  <r>
    <n v="10045"/>
    <d v="2025-02-14T00:00:00"/>
    <s v="14"/>
    <x v="1"/>
    <x v="0"/>
    <x v="44"/>
    <x v="3"/>
    <x v="1"/>
    <x v="3"/>
    <x v="3"/>
    <n v="5"/>
    <n v="158.69"/>
    <x v="2"/>
    <n v="793.45"/>
    <n v="0"/>
    <n v="793.45"/>
    <n v="141.78"/>
    <n v="708.9"/>
    <n v="84.55"/>
    <n v="0.10655995966979599"/>
    <x v="0"/>
    <n v="1"/>
    <n v="5"/>
    <n v="0"/>
    <n v="5"/>
  </r>
  <r>
    <n v="10046"/>
    <d v="2025-02-15T00:00:00"/>
    <s v="15"/>
    <x v="1"/>
    <x v="0"/>
    <x v="45"/>
    <x v="1"/>
    <x v="0"/>
    <x v="1"/>
    <x v="6"/>
    <n v="6"/>
    <n v="137.56"/>
    <x v="0"/>
    <n v="825.36"/>
    <n v="123.804"/>
    <n v="701.55600000000004"/>
    <n v="114.49"/>
    <n v="686.93999999999903"/>
    <n v="14.616000000000099"/>
    <n v="2.08336896840738E-2"/>
    <x v="0"/>
    <n v="1"/>
    <n v="6"/>
    <n v="0"/>
    <n v="6"/>
  </r>
  <r>
    <n v="10047"/>
    <d v="2025-02-16T00:00:00"/>
    <s v="16"/>
    <x v="1"/>
    <x v="0"/>
    <x v="46"/>
    <x v="0"/>
    <x v="0"/>
    <x v="3"/>
    <x v="3"/>
    <n v="2"/>
    <n v="118.3"/>
    <x v="3"/>
    <n v="236.6"/>
    <n v="23.66"/>
    <n v="212.94"/>
    <n v="94.46"/>
    <n v="188.92"/>
    <n v="24.02"/>
    <n v="0.112801728186343"/>
    <x v="0"/>
    <n v="1"/>
    <n v="2"/>
    <n v="0"/>
    <n v="2"/>
  </r>
  <r>
    <n v="10048"/>
    <d v="2025-02-17T00:00:00"/>
    <s v="17"/>
    <x v="1"/>
    <x v="0"/>
    <x v="47"/>
    <x v="2"/>
    <x v="1"/>
    <x v="0"/>
    <x v="0"/>
    <n v="1"/>
    <n v="245.1"/>
    <x v="3"/>
    <n v="245.1"/>
    <n v="24.51"/>
    <n v="220.59"/>
    <n v="117.87"/>
    <n v="117.87"/>
    <n v="102.72"/>
    <n v="0.46566027471780203"/>
    <x v="0"/>
    <n v="1"/>
    <n v="1"/>
    <n v="0"/>
    <n v="1"/>
  </r>
  <r>
    <n v="10049"/>
    <d v="2025-02-18T00:00:00"/>
    <s v="18"/>
    <x v="1"/>
    <x v="0"/>
    <x v="48"/>
    <x v="3"/>
    <x v="1"/>
    <x v="2"/>
    <x v="2"/>
    <n v="6"/>
    <n v="225.09"/>
    <x v="4"/>
    <n v="1350.54"/>
    <n v="67.527000000000001"/>
    <n v="1283.0129999999999"/>
    <n v="92.35"/>
    <n v="554.099999999999"/>
    <n v="728.91300000000001"/>
    <n v="0.56812596598787302"/>
    <x v="0"/>
    <n v="1"/>
    <n v="6"/>
    <n v="0"/>
    <n v="6"/>
  </r>
  <r>
    <n v="10050"/>
    <d v="2025-02-19T00:00:00"/>
    <s v="19"/>
    <x v="1"/>
    <x v="0"/>
    <x v="49"/>
    <x v="2"/>
    <x v="0"/>
    <x v="1"/>
    <x v="6"/>
    <n v="1"/>
    <n v="57.3"/>
    <x v="4"/>
    <n v="57.3"/>
    <n v="2.8650000000000002"/>
    <n v="54.434999999999903"/>
    <n v="74.989999999999995"/>
    <n v="74.989999999999995"/>
    <n v="-20.555"/>
    <n v="-0.37760631946357998"/>
    <x v="1"/>
    <n v="0"/>
    <n v="0"/>
    <n v="1"/>
    <n v="1"/>
  </r>
  <r>
    <n v="10051"/>
    <d v="2025-02-20T00:00:00"/>
    <s v="20"/>
    <x v="1"/>
    <x v="0"/>
    <x v="50"/>
    <x v="1"/>
    <x v="1"/>
    <x v="3"/>
    <x v="3"/>
    <n v="7"/>
    <n v="169.17"/>
    <x v="4"/>
    <n v="1184.1899999999901"/>
    <n v="59.209499999999899"/>
    <n v="1124.9804999999999"/>
    <n v="147.07"/>
    <n v="1029.49"/>
    <n v="95.490499999999798"/>
    <n v="8.4881915730983692E-2"/>
    <x v="0"/>
    <n v="1"/>
    <n v="7"/>
    <n v="0"/>
    <n v="7"/>
  </r>
  <r>
    <n v="10052"/>
    <d v="2025-02-21T00:00:00"/>
    <s v="21"/>
    <x v="1"/>
    <x v="0"/>
    <x v="51"/>
    <x v="3"/>
    <x v="1"/>
    <x v="3"/>
    <x v="4"/>
    <n v="7"/>
    <n v="235.75"/>
    <x v="3"/>
    <n v="1650.25"/>
    <n v="165.02500000000001"/>
    <n v="1485.2249999999999"/>
    <n v="76.66"/>
    <n v="536.62"/>
    <n v="948.604999999999"/>
    <n v="0.63869447390126"/>
    <x v="0"/>
    <n v="1"/>
    <n v="7"/>
    <n v="0"/>
    <n v="7"/>
  </r>
  <r>
    <n v="10053"/>
    <d v="2025-02-22T00:00:00"/>
    <s v="22"/>
    <x v="1"/>
    <x v="0"/>
    <x v="52"/>
    <x v="0"/>
    <x v="0"/>
    <x v="2"/>
    <x v="2"/>
    <n v="6"/>
    <n v="104.09"/>
    <x v="1"/>
    <n v="624.54"/>
    <n v="124.908"/>
    <n v="499.63199999999898"/>
    <n v="19.649999999999999"/>
    <n v="117.899999999999"/>
    <n v="381.731999999999"/>
    <n v="0.764026323374003"/>
    <x v="0"/>
    <n v="1"/>
    <n v="6"/>
    <n v="0"/>
    <n v="6"/>
  </r>
  <r>
    <n v="10054"/>
    <d v="2025-02-23T00:00:00"/>
    <s v="23"/>
    <x v="1"/>
    <x v="0"/>
    <x v="53"/>
    <x v="2"/>
    <x v="1"/>
    <x v="3"/>
    <x v="4"/>
    <n v="7"/>
    <n v="133.44"/>
    <x v="1"/>
    <n v="934.07999999999902"/>
    <n v="186.816"/>
    <n v="747.26399999999899"/>
    <n v="11.62"/>
    <n v="81.339999999999904"/>
    <n v="665.92399999999895"/>
    <n v="0.891149580335731"/>
    <x v="0"/>
    <n v="1"/>
    <n v="7"/>
    <n v="0"/>
    <n v="7"/>
  </r>
  <r>
    <n v="10055"/>
    <d v="2025-02-24T00:00:00"/>
    <s v="24"/>
    <x v="1"/>
    <x v="0"/>
    <x v="54"/>
    <x v="0"/>
    <x v="1"/>
    <x v="3"/>
    <x v="5"/>
    <n v="2"/>
    <n v="147.02000000000001"/>
    <x v="0"/>
    <n v="294.04000000000002"/>
    <n v="44.106000000000002"/>
    <n v="249.934"/>
    <n v="58.49"/>
    <n v="116.98"/>
    <n v="132.95400000000001"/>
    <n v="0.53195643649923496"/>
    <x v="0"/>
    <n v="1"/>
    <n v="2"/>
    <n v="0"/>
    <n v="2"/>
  </r>
  <r>
    <n v="10056"/>
    <d v="2025-02-25T00:00:00"/>
    <s v="25"/>
    <x v="1"/>
    <x v="0"/>
    <x v="55"/>
    <x v="2"/>
    <x v="1"/>
    <x v="3"/>
    <x v="3"/>
    <n v="9"/>
    <n v="230.04"/>
    <x v="3"/>
    <n v="2070.36"/>
    <n v="207.036"/>
    <n v="1863.3240000000001"/>
    <n v="71.16"/>
    <n v="640.43999999999903"/>
    <n v="1222.884"/>
    <n v="0.65629165942154899"/>
    <x v="0"/>
    <n v="1"/>
    <n v="9"/>
    <n v="0"/>
    <n v="9"/>
  </r>
  <r>
    <n v="10057"/>
    <d v="2025-02-26T00:00:00"/>
    <s v="26"/>
    <x v="1"/>
    <x v="0"/>
    <x v="56"/>
    <x v="2"/>
    <x v="0"/>
    <x v="3"/>
    <x v="3"/>
    <n v="6"/>
    <n v="69.81"/>
    <x v="4"/>
    <n v="418.86"/>
    <n v="20.943000000000001"/>
    <n v="397.91699999999997"/>
    <n v="85.66"/>
    <n v="513.96"/>
    <n v="-116.04300000000001"/>
    <n v="-0.29162614314040303"/>
    <x v="1"/>
    <n v="0"/>
    <n v="0"/>
    <n v="6"/>
    <n v="6"/>
  </r>
  <r>
    <n v="10058"/>
    <d v="2025-02-27T00:00:00"/>
    <s v="27"/>
    <x v="1"/>
    <x v="0"/>
    <x v="57"/>
    <x v="1"/>
    <x v="1"/>
    <x v="3"/>
    <x v="3"/>
    <n v="8"/>
    <n v="183.72"/>
    <x v="2"/>
    <n v="1469.76"/>
    <n v="0"/>
    <n v="1469.76"/>
    <n v="15.1"/>
    <n v="120.8"/>
    <n v="1348.96"/>
    <n v="0.91780971042891291"/>
    <x v="0"/>
    <n v="1"/>
    <n v="8"/>
    <n v="0"/>
    <n v="8"/>
  </r>
  <r>
    <n v="10059"/>
    <d v="2025-02-28T00:00:00"/>
    <s v="28"/>
    <x v="1"/>
    <x v="0"/>
    <x v="58"/>
    <x v="0"/>
    <x v="0"/>
    <x v="2"/>
    <x v="2"/>
    <n v="4"/>
    <n v="84.23"/>
    <x v="2"/>
    <n v="336.92"/>
    <n v="0"/>
    <n v="336.92"/>
    <n v="84.81"/>
    <n v="339.24"/>
    <n v="-2.3199999999999901"/>
    <n v="-6.8859076338596507E-3"/>
    <x v="1"/>
    <n v="0"/>
    <n v="0"/>
    <n v="4"/>
    <n v="4"/>
  </r>
  <r>
    <n v="10060"/>
    <d v="2025-03-01T00:00:00"/>
    <s v="01"/>
    <x v="2"/>
    <x v="0"/>
    <x v="59"/>
    <x v="1"/>
    <x v="0"/>
    <x v="0"/>
    <x v="0"/>
    <n v="6"/>
    <n v="135.97"/>
    <x v="0"/>
    <n v="815.81999999999903"/>
    <n v="122.372999999999"/>
    <n v="693.44699999999898"/>
    <n v="143.99"/>
    <n v="863.94"/>
    <n v="-170.49299999999999"/>
    <n v="-0.24586305802750602"/>
    <x v="1"/>
    <n v="0"/>
    <n v="0"/>
    <n v="6"/>
    <n v="6"/>
  </r>
  <r>
    <n v="10061"/>
    <d v="2025-03-02T00:00:00"/>
    <s v="02"/>
    <x v="2"/>
    <x v="0"/>
    <x v="60"/>
    <x v="1"/>
    <x v="1"/>
    <x v="1"/>
    <x v="6"/>
    <n v="9"/>
    <n v="171.9"/>
    <x v="3"/>
    <n v="1547.1"/>
    <n v="154.71"/>
    <n v="1392.39"/>
    <n v="114"/>
    <n v="1026"/>
    <n v="366.39"/>
    <n v="0.26313748303277101"/>
    <x v="0"/>
    <n v="1"/>
    <n v="9"/>
    <n v="0"/>
    <n v="9"/>
  </r>
  <r>
    <n v="10062"/>
    <d v="2025-03-03T00:00:00"/>
    <s v="03"/>
    <x v="2"/>
    <x v="0"/>
    <x v="61"/>
    <x v="0"/>
    <x v="0"/>
    <x v="3"/>
    <x v="3"/>
    <n v="8"/>
    <n v="106.78"/>
    <x v="2"/>
    <n v="854.24"/>
    <n v="0"/>
    <n v="854.24"/>
    <n v="106.99"/>
    <n v="855.92"/>
    <n v="-1.67999999999995"/>
    <n v="-1.9666604233001799E-3"/>
    <x v="1"/>
    <n v="0"/>
    <n v="0"/>
    <n v="8"/>
    <n v="8"/>
  </r>
  <r>
    <n v="10063"/>
    <d v="2025-03-04T00:00:00"/>
    <s v="04"/>
    <x v="2"/>
    <x v="0"/>
    <x v="62"/>
    <x v="2"/>
    <x v="0"/>
    <x v="3"/>
    <x v="5"/>
    <n v="1"/>
    <n v="55.42"/>
    <x v="0"/>
    <n v="55.42"/>
    <n v="8.3130000000000006"/>
    <n v="47.106999999999999"/>
    <n v="79.709999999999994"/>
    <n v="79.709999999999994"/>
    <n v="-32.602999999999902"/>
    <n v="-0.69210520729403202"/>
    <x v="1"/>
    <n v="0"/>
    <n v="0"/>
    <n v="1"/>
    <n v="1"/>
  </r>
  <r>
    <n v="10064"/>
    <d v="2025-03-05T00:00:00"/>
    <s v="05"/>
    <x v="2"/>
    <x v="0"/>
    <x v="24"/>
    <x v="2"/>
    <x v="1"/>
    <x v="3"/>
    <x v="4"/>
    <n v="6"/>
    <n v="69.5"/>
    <x v="2"/>
    <n v="417"/>
    <n v="0"/>
    <n v="417"/>
    <n v="133.22999999999999"/>
    <n v="799.37999999999897"/>
    <n v="-382.37999999999897"/>
    <n v="-0.91697841726618601"/>
    <x v="1"/>
    <n v="0"/>
    <n v="0"/>
    <n v="6"/>
    <n v="6"/>
  </r>
  <r>
    <n v="10065"/>
    <d v="2025-03-06T00:00:00"/>
    <s v="06"/>
    <x v="2"/>
    <x v="0"/>
    <x v="63"/>
    <x v="1"/>
    <x v="1"/>
    <x v="0"/>
    <x v="0"/>
    <n v="1"/>
    <n v="170.57"/>
    <x v="3"/>
    <n v="170.57"/>
    <n v="17.056999999999999"/>
    <n v="153.51300000000001"/>
    <n v="18.18"/>
    <n v="18.18"/>
    <n v="135.333"/>
    <n v="0.881573547517148"/>
    <x v="0"/>
    <n v="1"/>
    <n v="1"/>
    <n v="0"/>
    <n v="1"/>
  </r>
  <r>
    <n v="10066"/>
    <d v="2025-03-07T00:00:00"/>
    <s v="07"/>
    <x v="2"/>
    <x v="0"/>
    <x v="64"/>
    <x v="2"/>
    <x v="1"/>
    <x v="3"/>
    <x v="3"/>
    <n v="5"/>
    <n v="27.83"/>
    <x v="3"/>
    <n v="139.14999999999901"/>
    <n v="13.914999999999999"/>
    <n v="125.234999999999"/>
    <n v="117.73"/>
    <n v="588.65"/>
    <n v="-463.414999999999"/>
    <n v="-3.7003633169641001"/>
    <x v="1"/>
    <n v="0"/>
    <n v="0"/>
    <n v="5"/>
    <n v="5"/>
  </r>
  <r>
    <n v="10067"/>
    <d v="2025-03-08T00:00:00"/>
    <s v="08"/>
    <x v="2"/>
    <x v="0"/>
    <x v="65"/>
    <x v="0"/>
    <x v="0"/>
    <x v="1"/>
    <x v="6"/>
    <n v="7"/>
    <n v="39.97"/>
    <x v="4"/>
    <n v="279.789999999999"/>
    <n v="13.9895"/>
    <n v="265.80049999999898"/>
    <n v="108.42"/>
    <n v="758.94"/>
    <n v="-493.1395"/>
    <n v="-1.85529936926379"/>
    <x v="1"/>
    <n v="0"/>
    <n v="0"/>
    <n v="7"/>
    <n v="7"/>
  </r>
  <r>
    <n v="10068"/>
    <d v="2025-03-09T00:00:00"/>
    <s v="09"/>
    <x v="2"/>
    <x v="0"/>
    <x v="66"/>
    <x v="1"/>
    <x v="1"/>
    <x v="1"/>
    <x v="6"/>
    <n v="9"/>
    <n v="55.79"/>
    <x v="4"/>
    <n v="502.11"/>
    <n v="25.105499999999999"/>
    <n v="477.00450000000001"/>
    <n v="59.85"/>
    <n v="538.65"/>
    <n v="-61.645499999999899"/>
    <n v="-0.129234629861982"/>
    <x v="1"/>
    <n v="0"/>
    <n v="0"/>
    <n v="9"/>
    <n v="9"/>
  </r>
  <r>
    <n v="10069"/>
    <d v="2025-03-10T00:00:00"/>
    <s v="10"/>
    <x v="2"/>
    <x v="0"/>
    <x v="67"/>
    <x v="2"/>
    <x v="1"/>
    <x v="3"/>
    <x v="5"/>
    <n v="2"/>
    <n v="178.92"/>
    <x v="3"/>
    <n v="357.84"/>
    <n v="35.783999999999999"/>
    <n v="322.05599999999998"/>
    <n v="76.13"/>
    <n v="152.26"/>
    <n v="169.79599999999999"/>
    <n v="0.52722507886827108"/>
    <x v="0"/>
    <n v="1"/>
    <n v="2"/>
    <n v="0"/>
    <n v="2"/>
  </r>
  <r>
    <n v="10070"/>
    <d v="2025-03-11T00:00:00"/>
    <s v="11"/>
    <x v="2"/>
    <x v="0"/>
    <x v="68"/>
    <x v="1"/>
    <x v="0"/>
    <x v="2"/>
    <x v="2"/>
    <n v="9"/>
    <n v="165.76"/>
    <x v="2"/>
    <n v="1491.84"/>
    <n v="0"/>
    <n v="1491.84"/>
    <n v="27.04"/>
    <n v="243.35999999999899"/>
    <n v="1248.48"/>
    <n v="0.83687258687258603"/>
    <x v="0"/>
    <n v="1"/>
    <n v="9"/>
    <n v="0"/>
    <n v="9"/>
  </r>
  <r>
    <n v="10071"/>
    <d v="2025-03-12T00:00:00"/>
    <s v="12"/>
    <x v="2"/>
    <x v="0"/>
    <x v="69"/>
    <x v="3"/>
    <x v="1"/>
    <x v="3"/>
    <x v="3"/>
    <n v="6"/>
    <n v="203.3"/>
    <x v="0"/>
    <n v="1219.8"/>
    <n v="182.97"/>
    <n v="1036.83"/>
    <n v="5.9"/>
    <n v="35.4"/>
    <n v="1001.43"/>
    <n v="0.96585746940192707"/>
    <x v="0"/>
    <n v="1"/>
    <n v="6"/>
    <n v="0"/>
    <n v="6"/>
  </r>
  <r>
    <n v="10072"/>
    <d v="2025-03-13T00:00:00"/>
    <s v="13"/>
    <x v="2"/>
    <x v="0"/>
    <x v="70"/>
    <x v="1"/>
    <x v="0"/>
    <x v="1"/>
    <x v="1"/>
    <n v="9"/>
    <n v="236.67"/>
    <x v="2"/>
    <n v="2130.0299999999902"/>
    <n v="0"/>
    <n v="2130.0299999999902"/>
    <n v="53.68"/>
    <n v="483.12"/>
    <n v="1646.9099999999901"/>
    <n v="0.77318629315080001"/>
    <x v="0"/>
    <n v="1"/>
    <n v="9"/>
    <n v="0"/>
    <n v="9"/>
  </r>
  <r>
    <n v="10073"/>
    <d v="2025-03-14T00:00:00"/>
    <s v="14"/>
    <x v="2"/>
    <x v="0"/>
    <x v="71"/>
    <x v="1"/>
    <x v="1"/>
    <x v="2"/>
    <x v="2"/>
    <n v="2"/>
    <n v="158.13999999999999"/>
    <x v="3"/>
    <n v="316.27999999999997"/>
    <n v="31.628"/>
    <n v="284.65199999999999"/>
    <n v="54.02"/>
    <n v="108.04"/>
    <n v="176.611999999999"/>
    <n v="0.62044882874527407"/>
    <x v="0"/>
    <n v="1"/>
    <n v="2"/>
    <n v="0"/>
    <n v="2"/>
  </r>
  <r>
    <n v="10074"/>
    <d v="2025-03-15T00:00:00"/>
    <s v="15"/>
    <x v="2"/>
    <x v="0"/>
    <x v="23"/>
    <x v="1"/>
    <x v="0"/>
    <x v="1"/>
    <x v="6"/>
    <n v="3"/>
    <n v="201.41"/>
    <x v="3"/>
    <n v="604.23"/>
    <n v="60.423000000000002"/>
    <n v="543.80700000000002"/>
    <n v="80.48"/>
    <n v="241.44"/>
    <n v="302.36700000000002"/>
    <n v="0.55601895525434497"/>
    <x v="0"/>
    <n v="1"/>
    <n v="3"/>
    <n v="0"/>
    <n v="3"/>
  </r>
  <r>
    <n v="10075"/>
    <d v="2025-03-16T00:00:00"/>
    <s v="16"/>
    <x v="2"/>
    <x v="0"/>
    <x v="72"/>
    <x v="3"/>
    <x v="0"/>
    <x v="0"/>
    <x v="0"/>
    <n v="2"/>
    <n v="208.14"/>
    <x v="0"/>
    <n v="416.28"/>
    <n v="62.441999999999901"/>
    <n v="353.837999999999"/>
    <n v="55.15"/>
    <n v="110.3"/>
    <n v="243.53799999999899"/>
    <n v="0.688275425477195"/>
    <x v="0"/>
    <n v="1"/>
    <n v="2"/>
    <n v="0"/>
    <n v="2"/>
  </r>
  <r>
    <n v="10076"/>
    <d v="2025-03-17T00:00:00"/>
    <s v="17"/>
    <x v="2"/>
    <x v="0"/>
    <x v="73"/>
    <x v="0"/>
    <x v="0"/>
    <x v="3"/>
    <x v="4"/>
    <n v="4"/>
    <n v="145.72"/>
    <x v="1"/>
    <n v="582.88"/>
    <n v="116.57599999999999"/>
    <n v="466.30399999999997"/>
    <n v="133.94999999999999"/>
    <n v="535.79999999999995"/>
    <n v="-69.495999999999896"/>
    <n v="-0.14903582212462202"/>
    <x v="1"/>
    <n v="0"/>
    <n v="0"/>
    <n v="4"/>
    <n v="4"/>
  </r>
  <r>
    <n v="10077"/>
    <d v="2025-03-18T00:00:00"/>
    <s v="18"/>
    <x v="2"/>
    <x v="0"/>
    <x v="74"/>
    <x v="1"/>
    <x v="1"/>
    <x v="0"/>
    <x v="0"/>
    <n v="8"/>
    <n v="103.05"/>
    <x v="1"/>
    <n v="824.4"/>
    <n v="164.88"/>
    <n v="659.52"/>
    <n v="25.93"/>
    <n v="207.44"/>
    <n v="452.08"/>
    <n v="0.68546821931101409"/>
    <x v="0"/>
    <n v="1"/>
    <n v="8"/>
    <n v="0"/>
    <n v="8"/>
  </r>
  <r>
    <n v="10078"/>
    <d v="2025-03-19T00:00:00"/>
    <s v="19"/>
    <x v="2"/>
    <x v="0"/>
    <x v="75"/>
    <x v="1"/>
    <x v="1"/>
    <x v="3"/>
    <x v="5"/>
    <n v="4"/>
    <n v="205.71"/>
    <x v="4"/>
    <n v="822.84"/>
    <n v="41.142000000000003"/>
    <n v="781.69799999999998"/>
    <n v="124.47"/>
    <n v="497.88"/>
    <n v="283.81799999999998"/>
    <n v="0.36307883607224201"/>
    <x v="0"/>
    <n v="1"/>
    <n v="4"/>
    <n v="0"/>
    <n v="4"/>
  </r>
  <r>
    <n v="10079"/>
    <d v="2025-03-20T00:00:00"/>
    <s v="20"/>
    <x v="2"/>
    <x v="0"/>
    <x v="76"/>
    <x v="3"/>
    <x v="1"/>
    <x v="1"/>
    <x v="1"/>
    <n v="5"/>
    <n v="93.31"/>
    <x v="2"/>
    <n v="466.55"/>
    <n v="0"/>
    <n v="466.55"/>
    <n v="83.93"/>
    <n v="419.65"/>
    <n v="46.899999999999899"/>
    <n v="0.10052513128281999"/>
    <x v="0"/>
    <n v="1"/>
    <n v="5"/>
    <n v="0"/>
    <n v="5"/>
  </r>
  <r>
    <n v="10080"/>
    <d v="2025-03-21T00:00:00"/>
    <s v="21"/>
    <x v="2"/>
    <x v="0"/>
    <x v="77"/>
    <x v="3"/>
    <x v="0"/>
    <x v="2"/>
    <x v="2"/>
    <n v="9"/>
    <n v="159.57"/>
    <x v="4"/>
    <n v="1436.1299999999901"/>
    <n v="71.8065"/>
    <n v="1364.3235"/>
    <n v="37.08"/>
    <n v="333.719999999999"/>
    <n v="1030.6034999999999"/>
    <n v="0.75539525633033511"/>
    <x v="0"/>
    <n v="1"/>
    <n v="9"/>
    <n v="0"/>
    <n v="9"/>
  </r>
  <r>
    <n v="10081"/>
    <d v="2025-03-22T00:00:00"/>
    <s v="22"/>
    <x v="2"/>
    <x v="0"/>
    <x v="78"/>
    <x v="0"/>
    <x v="1"/>
    <x v="3"/>
    <x v="3"/>
    <n v="9"/>
    <n v="113.49"/>
    <x v="1"/>
    <n v="1021.41"/>
    <n v="204.28200000000001"/>
    <n v="817.12799999999902"/>
    <n v="132.03"/>
    <n v="1188.27"/>
    <n v="-371.142"/>
    <n v="-0.45420301348136399"/>
    <x v="1"/>
    <n v="0"/>
    <n v="0"/>
    <n v="9"/>
    <n v="9"/>
  </r>
  <r>
    <n v="10082"/>
    <d v="2025-03-23T00:00:00"/>
    <s v="23"/>
    <x v="2"/>
    <x v="0"/>
    <x v="79"/>
    <x v="1"/>
    <x v="0"/>
    <x v="3"/>
    <x v="4"/>
    <n v="6"/>
    <n v="39"/>
    <x v="2"/>
    <n v="234"/>
    <n v="0"/>
    <n v="234"/>
    <n v="85.2"/>
    <n v="511.2"/>
    <n v="-277.2"/>
    <n v="-1.18461538461538"/>
    <x v="1"/>
    <n v="0"/>
    <n v="0"/>
    <n v="6"/>
    <n v="6"/>
  </r>
  <r>
    <n v="10083"/>
    <d v="2025-03-24T00:00:00"/>
    <s v="24"/>
    <x v="2"/>
    <x v="0"/>
    <x v="4"/>
    <x v="3"/>
    <x v="1"/>
    <x v="3"/>
    <x v="5"/>
    <n v="3"/>
    <n v="34.11"/>
    <x v="3"/>
    <n v="102.33"/>
    <n v="10.233000000000001"/>
    <n v="92.096999999999994"/>
    <n v="19.010000000000002"/>
    <n v="57.03"/>
    <n v="35.066999999999901"/>
    <n v="0.38076158832535201"/>
    <x v="0"/>
    <n v="1"/>
    <n v="3"/>
    <n v="0"/>
    <n v="3"/>
  </r>
  <r>
    <n v="10084"/>
    <d v="2025-03-25T00:00:00"/>
    <s v="25"/>
    <x v="2"/>
    <x v="0"/>
    <x v="80"/>
    <x v="1"/>
    <x v="1"/>
    <x v="0"/>
    <x v="0"/>
    <n v="4"/>
    <n v="35.19"/>
    <x v="4"/>
    <n v="140.76"/>
    <n v="7.0380000000000003"/>
    <n v="133.72199999999901"/>
    <n v="130.66"/>
    <n v="522.64"/>
    <n v="-388.91800000000001"/>
    <n v="-2.9084069936136099"/>
    <x v="1"/>
    <n v="0"/>
    <n v="0"/>
    <n v="4"/>
    <n v="4"/>
  </r>
  <r>
    <n v="10085"/>
    <d v="2025-03-26T00:00:00"/>
    <s v="26"/>
    <x v="2"/>
    <x v="0"/>
    <x v="81"/>
    <x v="2"/>
    <x v="1"/>
    <x v="3"/>
    <x v="5"/>
    <n v="3"/>
    <n v="66.459999999999994"/>
    <x v="1"/>
    <n v="199.38"/>
    <n v="39.875999999999998"/>
    <n v="159.50399999999999"/>
    <n v="44.51"/>
    <n v="133.53"/>
    <n v="25.973999999999901"/>
    <n v="0.16284231116461001"/>
    <x v="0"/>
    <n v="1"/>
    <n v="3"/>
    <n v="0"/>
    <n v="3"/>
  </r>
  <r>
    <n v="10086"/>
    <d v="2025-03-27T00:00:00"/>
    <s v="27"/>
    <x v="2"/>
    <x v="0"/>
    <x v="79"/>
    <x v="2"/>
    <x v="0"/>
    <x v="3"/>
    <x v="4"/>
    <n v="1"/>
    <n v="26.83"/>
    <x v="2"/>
    <n v="26.83"/>
    <n v="0"/>
    <n v="26.83"/>
    <n v="87.88"/>
    <n v="87.88"/>
    <n v="-61.05"/>
    <n v="-2.2754379426015601"/>
    <x v="1"/>
    <n v="0"/>
    <n v="0"/>
    <n v="1"/>
    <n v="1"/>
  </r>
  <r>
    <n v="10087"/>
    <d v="2025-03-28T00:00:00"/>
    <s v="28"/>
    <x v="2"/>
    <x v="0"/>
    <x v="82"/>
    <x v="2"/>
    <x v="1"/>
    <x v="2"/>
    <x v="2"/>
    <n v="8"/>
    <n v="180.66"/>
    <x v="3"/>
    <n v="1445.28"/>
    <n v="144.52799999999999"/>
    <n v="1300.752"/>
    <n v="103.44"/>
    <n v="827.52"/>
    <n v="473.231999999999"/>
    <n v="0.36381416288423901"/>
    <x v="0"/>
    <n v="1"/>
    <n v="8"/>
    <n v="0"/>
    <n v="8"/>
  </r>
  <r>
    <n v="10088"/>
    <d v="2025-03-29T00:00:00"/>
    <s v="29"/>
    <x v="2"/>
    <x v="0"/>
    <x v="83"/>
    <x v="2"/>
    <x v="0"/>
    <x v="3"/>
    <x v="5"/>
    <n v="4"/>
    <n v="80.98"/>
    <x v="2"/>
    <n v="323.92"/>
    <n v="0"/>
    <n v="323.92"/>
    <n v="112.88"/>
    <n v="451.52"/>
    <n v="-127.599999999999"/>
    <n v="-0.39392442578414405"/>
    <x v="1"/>
    <n v="0"/>
    <n v="0"/>
    <n v="4"/>
    <n v="4"/>
  </r>
  <r>
    <n v="10089"/>
    <d v="2025-03-30T00:00:00"/>
    <s v="30"/>
    <x v="2"/>
    <x v="0"/>
    <x v="84"/>
    <x v="1"/>
    <x v="0"/>
    <x v="1"/>
    <x v="1"/>
    <n v="5"/>
    <n v="173.7"/>
    <x v="2"/>
    <n v="868.5"/>
    <n v="0"/>
    <n v="868.5"/>
    <n v="108.9"/>
    <n v="544.5"/>
    <n v="324"/>
    <n v="0.37305699481865195"/>
    <x v="0"/>
    <n v="1"/>
    <n v="5"/>
    <n v="0"/>
    <n v="5"/>
  </r>
  <r>
    <n v="10090"/>
    <d v="2025-03-31T00:00:00"/>
    <s v="31"/>
    <x v="2"/>
    <x v="0"/>
    <x v="30"/>
    <x v="2"/>
    <x v="1"/>
    <x v="0"/>
    <x v="0"/>
    <n v="4"/>
    <n v="180.1"/>
    <x v="0"/>
    <n v="720.4"/>
    <n v="108.05999999999899"/>
    <n v="612.34"/>
    <n v="125.58"/>
    <n v="502.32"/>
    <n v="110.02"/>
    <n v="0.17967142437208"/>
    <x v="0"/>
    <n v="1"/>
    <n v="4"/>
    <n v="0"/>
    <n v="4"/>
  </r>
  <r>
    <n v="10091"/>
    <d v="2025-04-01T00:00:00"/>
    <s v="01"/>
    <x v="3"/>
    <x v="0"/>
    <x v="85"/>
    <x v="1"/>
    <x v="1"/>
    <x v="3"/>
    <x v="3"/>
    <n v="7"/>
    <n v="174.32"/>
    <x v="4"/>
    <n v="1220.24"/>
    <n v="61.012"/>
    <n v="1159.2280000000001"/>
    <n v="116.72"/>
    <n v="817.04"/>
    <n v="342.18799999999999"/>
    <n v="0.29518610661578198"/>
    <x v="0"/>
    <n v="1"/>
    <n v="7"/>
    <n v="0"/>
    <n v="7"/>
  </r>
  <r>
    <n v="10092"/>
    <d v="2025-04-02T00:00:00"/>
    <s v="02"/>
    <x v="3"/>
    <x v="0"/>
    <x v="86"/>
    <x v="0"/>
    <x v="0"/>
    <x v="1"/>
    <x v="6"/>
    <n v="8"/>
    <n v="195.37"/>
    <x v="2"/>
    <n v="1562.96"/>
    <n v="0"/>
    <n v="1562.96"/>
    <n v="32.36"/>
    <n v="258.88"/>
    <n v="1304.08"/>
    <n v="0.83436556277831797"/>
    <x v="0"/>
    <n v="1"/>
    <n v="8"/>
    <n v="0"/>
    <n v="8"/>
  </r>
  <r>
    <n v="10093"/>
    <d v="2025-04-03T00:00:00"/>
    <s v="03"/>
    <x v="3"/>
    <x v="0"/>
    <x v="87"/>
    <x v="1"/>
    <x v="1"/>
    <x v="3"/>
    <x v="3"/>
    <n v="1"/>
    <n v="134.16"/>
    <x v="2"/>
    <n v="134.16"/>
    <n v="0"/>
    <n v="134.16"/>
    <n v="85.78"/>
    <n v="85.78"/>
    <n v="48.379999999999903"/>
    <n v="0.36061419200953998"/>
    <x v="0"/>
    <n v="1"/>
    <n v="1"/>
    <n v="0"/>
    <n v="1"/>
  </r>
  <r>
    <n v="10094"/>
    <d v="2025-04-04T00:00:00"/>
    <s v="04"/>
    <x v="3"/>
    <x v="0"/>
    <x v="88"/>
    <x v="3"/>
    <x v="1"/>
    <x v="1"/>
    <x v="6"/>
    <n v="1"/>
    <n v="178.48"/>
    <x v="0"/>
    <n v="178.48"/>
    <n v="26.771999999999998"/>
    <n v="151.708"/>
    <n v="76.59"/>
    <n v="76.59"/>
    <n v="75.117999999999995"/>
    <n v="0.49514857489387504"/>
    <x v="0"/>
    <n v="1"/>
    <n v="1"/>
    <n v="0"/>
    <n v="1"/>
  </r>
  <r>
    <n v="10095"/>
    <d v="2025-04-05T00:00:00"/>
    <s v="05"/>
    <x v="3"/>
    <x v="0"/>
    <x v="89"/>
    <x v="2"/>
    <x v="1"/>
    <x v="1"/>
    <x v="6"/>
    <n v="7"/>
    <n v="220.63"/>
    <x v="1"/>
    <n v="1544.4099999999901"/>
    <n v="308.88200000000001"/>
    <n v="1235.52799999999"/>
    <n v="24.32"/>
    <n v="170.24"/>
    <n v="1065.28799999999"/>
    <n v="0.86221275438516898"/>
    <x v="0"/>
    <n v="1"/>
    <n v="7"/>
    <n v="0"/>
    <n v="7"/>
  </r>
  <r>
    <n v="10096"/>
    <d v="2025-04-06T00:00:00"/>
    <s v="06"/>
    <x v="3"/>
    <x v="0"/>
    <x v="90"/>
    <x v="1"/>
    <x v="1"/>
    <x v="0"/>
    <x v="0"/>
    <n v="3"/>
    <n v="36.07"/>
    <x v="0"/>
    <n v="108.21"/>
    <n v="16.2315"/>
    <n v="91.978499999999997"/>
    <n v="67.83"/>
    <n v="203.49"/>
    <n v="-111.5115"/>
    <n v="-1.2123648461325098"/>
    <x v="1"/>
    <n v="0"/>
    <n v="0"/>
    <n v="3"/>
    <n v="3"/>
  </r>
  <r>
    <n v="10097"/>
    <d v="2025-04-07T00:00:00"/>
    <s v="07"/>
    <x v="3"/>
    <x v="0"/>
    <x v="91"/>
    <x v="1"/>
    <x v="0"/>
    <x v="2"/>
    <x v="2"/>
    <n v="3"/>
    <n v="76.55"/>
    <x v="1"/>
    <n v="229.64999999999901"/>
    <n v="45.93"/>
    <n v="183.719999999999"/>
    <n v="117.62"/>
    <n v="352.86"/>
    <n v="-169.14"/>
    <n v="-0.92064010450685796"/>
    <x v="1"/>
    <n v="0"/>
    <n v="0"/>
    <n v="3"/>
    <n v="3"/>
  </r>
  <r>
    <n v="10098"/>
    <d v="2025-04-08T00:00:00"/>
    <s v="08"/>
    <x v="3"/>
    <x v="0"/>
    <x v="92"/>
    <x v="2"/>
    <x v="1"/>
    <x v="0"/>
    <x v="0"/>
    <n v="2"/>
    <n v="153.44"/>
    <x v="3"/>
    <n v="306.88"/>
    <n v="30.687999999999999"/>
    <n v="276.19200000000001"/>
    <n v="69.459999999999994"/>
    <n v="138.91999999999999"/>
    <n v="137.27199999999999"/>
    <n v="0.497016568184451"/>
    <x v="0"/>
    <n v="1"/>
    <n v="2"/>
    <n v="0"/>
    <n v="2"/>
  </r>
  <r>
    <n v="10099"/>
    <d v="2025-04-09T00:00:00"/>
    <s v="09"/>
    <x v="3"/>
    <x v="0"/>
    <x v="22"/>
    <x v="0"/>
    <x v="0"/>
    <x v="2"/>
    <x v="2"/>
    <n v="4"/>
    <n v="233.97"/>
    <x v="3"/>
    <n v="935.88"/>
    <n v="93.587999999999994"/>
    <n v="842.29200000000003"/>
    <n v="61.86"/>
    <n v="247.44"/>
    <n v="594.85199999999998"/>
    <n v="0.70623014346568591"/>
    <x v="0"/>
    <n v="1"/>
    <n v="4"/>
    <n v="0"/>
    <n v="4"/>
  </r>
  <r>
    <n v="10100"/>
    <d v="2025-04-10T00:00:00"/>
    <s v="10"/>
    <x v="3"/>
    <x v="0"/>
    <x v="93"/>
    <x v="0"/>
    <x v="0"/>
    <x v="0"/>
    <x v="0"/>
    <n v="4"/>
    <n v="45.06"/>
    <x v="4"/>
    <n v="180.24"/>
    <n v="9.0120000000000005"/>
    <n v="171.22800000000001"/>
    <n v="74.069999999999993"/>
    <n v="296.27999999999997"/>
    <n v="-125.051999999999"/>
    <n v="-0.73032447964117908"/>
    <x v="1"/>
    <n v="0"/>
    <n v="0"/>
    <n v="4"/>
    <n v="4"/>
  </r>
  <r>
    <n v="10101"/>
    <d v="2025-04-11T00:00:00"/>
    <s v="11"/>
    <x v="3"/>
    <x v="0"/>
    <x v="94"/>
    <x v="2"/>
    <x v="0"/>
    <x v="3"/>
    <x v="5"/>
    <n v="2"/>
    <n v="102.24"/>
    <x v="0"/>
    <n v="204.48"/>
    <n v="30.671999999999901"/>
    <n v="173.80799999999999"/>
    <n v="86.92"/>
    <n v="173.84"/>
    <n v="-3.2000000000010603E-2"/>
    <n v="-1.84111203166774E-4"/>
    <x v="1"/>
    <n v="0"/>
    <n v="0"/>
    <n v="2"/>
    <n v="2"/>
  </r>
  <r>
    <n v="10102"/>
    <d v="2025-04-12T00:00:00"/>
    <s v="12"/>
    <x v="3"/>
    <x v="0"/>
    <x v="95"/>
    <x v="1"/>
    <x v="1"/>
    <x v="0"/>
    <x v="0"/>
    <n v="2"/>
    <n v="26.6"/>
    <x v="1"/>
    <n v="53.2"/>
    <n v="10.64"/>
    <n v="42.56"/>
    <n v="115.91"/>
    <n v="231.82"/>
    <n v="-189.26"/>
    <n v="-4.4468984962405997"/>
    <x v="1"/>
    <n v="0"/>
    <n v="0"/>
    <n v="2"/>
    <n v="2"/>
  </r>
  <r>
    <n v="10103"/>
    <d v="2025-04-13T00:00:00"/>
    <s v="13"/>
    <x v="3"/>
    <x v="0"/>
    <x v="96"/>
    <x v="3"/>
    <x v="1"/>
    <x v="0"/>
    <x v="0"/>
    <n v="3"/>
    <n v="234.16"/>
    <x v="2"/>
    <n v="702.48"/>
    <n v="0"/>
    <n v="702.48"/>
    <n v="128.72"/>
    <n v="386.159999999999"/>
    <n v="316.32"/>
    <n v="0.450290399726682"/>
    <x v="0"/>
    <n v="1"/>
    <n v="3"/>
    <n v="0"/>
    <n v="3"/>
  </r>
  <r>
    <n v="10104"/>
    <d v="2025-04-14T00:00:00"/>
    <s v="14"/>
    <x v="3"/>
    <x v="0"/>
    <x v="97"/>
    <x v="0"/>
    <x v="0"/>
    <x v="3"/>
    <x v="4"/>
    <n v="3"/>
    <n v="84.25"/>
    <x v="4"/>
    <n v="252.75"/>
    <n v="12.637499999999999"/>
    <n v="240.11250000000001"/>
    <n v="46.91"/>
    <n v="140.72999999999999"/>
    <n v="99.382499999999993"/>
    <n v="0.413899734499453"/>
    <x v="0"/>
    <n v="1"/>
    <n v="3"/>
    <n v="0"/>
    <n v="3"/>
  </r>
  <r>
    <n v="10105"/>
    <d v="2025-04-15T00:00:00"/>
    <s v="15"/>
    <x v="3"/>
    <x v="0"/>
    <x v="98"/>
    <x v="3"/>
    <x v="1"/>
    <x v="1"/>
    <x v="1"/>
    <n v="2"/>
    <n v="143.4"/>
    <x v="0"/>
    <n v="286.8"/>
    <n v="43.02"/>
    <n v="243.78"/>
    <n v="43.23"/>
    <n v="86.46"/>
    <n v="157.32"/>
    <n v="0.64533595865124294"/>
    <x v="0"/>
    <n v="1"/>
    <n v="2"/>
    <n v="0"/>
    <n v="2"/>
  </r>
  <r>
    <n v="10106"/>
    <d v="2025-04-16T00:00:00"/>
    <s v="16"/>
    <x v="3"/>
    <x v="0"/>
    <x v="99"/>
    <x v="2"/>
    <x v="0"/>
    <x v="3"/>
    <x v="5"/>
    <n v="7"/>
    <n v="32.520000000000003"/>
    <x v="1"/>
    <n v="227.64"/>
    <n v="45.527999999999999"/>
    <n v="182.11199999999999"/>
    <n v="50.82"/>
    <n v="355.74"/>
    <n v="-173.62799999999999"/>
    <n v="-0.95341328413284099"/>
    <x v="1"/>
    <n v="0"/>
    <n v="0"/>
    <n v="7"/>
    <n v="7"/>
  </r>
  <r>
    <n v="10107"/>
    <d v="2025-04-17T00:00:00"/>
    <s v="17"/>
    <x v="3"/>
    <x v="0"/>
    <x v="4"/>
    <x v="3"/>
    <x v="0"/>
    <x v="0"/>
    <x v="0"/>
    <n v="3"/>
    <n v="202.18"/>
    <x v="2"/>
    <n v="606.54"/>
    <n v="0"/>
    <n v="606.54"/>
    <n v="130.44"/>
    <n v="391.32"/>
    <n v="215.219999999999"/>
    <n v="0.35483232762884498"/>
    <x v="0"/>
    <n v="1"/>
    <n v="3"/>
    <n v="0"/>
    <n v="3"/>
  </r>
  <r>
    <n v="10108"/>
    <d v="2025-04-18T00:00:00"/>
    <s v="18"/>
    <x v="3"/>
    <x v="0"/>
    <x v="100"/>
    <x v="1"/>
    <x v="0"/>
    <x v="1"/>
    <x v="6"/>
    <n v="6"/>
    <n v="22.22"/>
    <x v="0"/>
    <n v="133.32"/>
    <n v="19.997999999999902"/>
    <n v="113.322"/>
    <n v="135.58000000000001"/>
    <n v="813.48"/>
    <n v="-700.15800000000002"/>
    <n v="-6.1784825541377595"/>
    <x v="1"/>
    <n v="0"/>
    <n v="0"/>
    <n v="6"/>
    <n v="6"/>
  </r>
  <r>
    <n v="10109"/>
    <d v="2025-04-19T00:00:00"/>
    <s v="19"/>
    <x v="3"/>
    <x v="0"/>
    <x v="101"/>
    <x v="1"/>
    <x v="0"/>
    <x v="1"/>
    <x v="1"/>
    <n v="9"/>
    <n v="62.15"/>
    <x v="4"/>
    <n v="559.35"/>
    <n v="27.967500000000001"/>
    <n v="531.38250000000005"/>
    <n v="54.57"/>
    <n v="491.13"/>
    <n v="40.252499999999998"/>
    <n v="7.5750518694160995E-2"/>
    <x v="0"/>
    <n v="1"/>
    <n v="9"/>
    <n v="0"/>
    <n v="9"/>
  </r>
  <r>
    <n v="10110"/>
    <d v="2025-04-20T00:00:00"/>
    <s v="20"/>
    <x v="3"/>
    <x v="0"/>
    <x v="102"/>
    <x v="2"/>
    <x v="0"/>
    <x v="3"/>
    <x v="5"/>
    <n v="3"/>
    <n v="18.04"/>
    <x v="4"/>
    <n v="54.12"/>
    <n v="2.706"/>
    <n v="51.413999999999902"/>
    <n v="125.85"/>
    <n v="377.54999999999899"/>
    <n v="-326.135999999999"/>
    <n v="-6.3433306103395894"/>
    <x v="1"/>
    <n v="0"/>
    <n v="0"/>
    <n v="3"/>
    <n v="3"/>
  </r>
  <r>
    <n v="10111"/>
    <d v="2025-04-21T00:00:00"/>
    <s v="21"/>
    <x v="3"/>
    <x v="0"/>
    <x v="103"/>
    <x v="0"/>
    <x v="0"/>
    <x v="1"/>
    <x v="6"/>
    <n v="2"/>
    <n v="34.81"/>
    <x v="0"/>
    <n v="69.62"/>
    <n v="10.443"/>
    <n v="59.177"/>
    <n v="83.93"/>
    <n v="167.86"/>
    <n v="-108.68300000000001"/>
    <n v="-1.8365750207006"/>
    <x v="1"/>
    <n v="0"/>
    <n v="0"/>
    <n v="2"/>
    <n v="2"/>
  </r>
  <r>
    <n v="10112"/>
    <d v="2025-04-22T00:00:00"/>
    <s v="22"/>
    <x v="3"/>
    <x v="0"/>
    <x v="104"/>
    <x v="1"/>
    <x v="0"/>
    <x v="3"/>
    <x v="5"/>
    <n v="1"/>
    <n v="171.18"/>
    <x v="4"/>
    <n v="171.18"/>
    <n v="8.5589999999999993"/>
    <n v="162.62100000000001"/>
    <n v="143.9"/>
    <n v="143.9"/>
    <n v="18.721"/>
    <n v="0.11512043340035999"/>
    <x v="0"/>
    <n v="1"/>
    <n v="1"/>
    <n v="0"/>
    <n v="1"/>
  </r>
  <r>
    <n v="10113"/>
    <d v="2025-04-23T00:00:00"/>
    <s v="23"/>
    <x v="3"/>
    <x v="0"/>
    <x v="62"/>
    <x v="0"/>
    <x v="1"/>
    <x v="3"/>
    <x v="4"/>
    <n v="9"/>
    <n v="76.13"/>
    <x v="0"/>
    <n v="685.17"/>
    <n v="102.77549999999999"/>
    <n v="582.39449999999999"/>
    <n v="87.65"/>
    <n v="788.85"/>
    <n v="-206.4555"/>
    <n v="-0.35449424745597702"/>
    <x v="1"/>
    <n v="0"/>
    <n v="0"/>
    <n v="9"/>
    <n v="9"/>
  </r>
  <r>
    <n v="10114"/>
    <d v="2025-04-24T00:00:00"/>
    <s v="24"/>
    <x v="3"/>
    <x v="0"/>
    <x v="105"/>
    <x v="0"/>
    <x v="1"/>
    <x v="2"/>
    <x v="2"/>
    <n v="2"/>
    <n v="127.73"/>
    <x v="0"/>
    <n v="255.46"/>
    <n v="38.319000000000003"/>
    <n v="217.14099999999999"/>
    <n v="136.1"/>
    <n v="272.2"/>
    <n v="-55.058999999999898"/>
    <n v="-0.25356335284446396"/>
    <x v="1"/>
    <n v="0"/>
    <n v="0"/>
    <n v="2"/>
    <n v="2"/>
  </r>
  <r>
    <n v="10115"/>
    <d v="2025-04-25T00:00:00"/>
    <s v="25"/>
    <x v="3"/>
    <x v="0"/>
    <x v="68"/>
    <x v="1"/>
    <x v="1"/>
    <x v="3"/>
    <x v="5"/>
    <n v="7"/>
    <n v="161.69999999999999"/>
    <x v="3"/>
    <n v="1131.8999999999901"/>
    <n v="113.19"/>
    <n v="1018.70999999999"/>
    <n v="85.4"/>
    <n v="597.79999999999995"/>
    <n v="420.909999999999"/>
    <n v="0.41317941317941298"/>
    <x v="0"/>
    <n v="1"/>
    <n v="7"/>
    <n v="0"/>
    <n v="7"/>
  </r>
  <r>
    <n v="10116"/>
    <d v="2025-04-26T00:00:00"/>
    <s v="26"/>
    <x v="3"/>
    <x v="0"/>
    <x v="106"/>
    <x v="0"/>
    <x v="1"/>
    <x v="1"/>
    <x v="1"/>
    <n v="2"/>
    <n v="125.96"/>
    <x v="1"/>
    <n v="251.92"/>
    <n v="50.384"/>
    <n v="201.536"/>
    <n v="55.63"/>
    <n v="111.26"/>
    <n v="90.275999999999996"/>
    <n v="0.447939822165766"/>
    <x v="0"/>
    <n v="1"/>
    <n v="2"/>
    <n v="0"/>
    <n v="2"/>
  </r>
  <r>
    <n v="10117"/>
    <d v="2025-04-27T00:00:00"/>
    <s v="27"/>
    <x v="3"/>
    <x v="0"/>
    <x v="107"/>
    <x v="3"/>
    <x v="1"/>
    <x v="3"/>
    <x v="4"/>
    <n v="1"/>
    <n v="95.44"/>
    <x v="3"/>
    <n v="95.44"/>
    <n v="9.5440000000000005"/>
    <n v="85.896000000000001"/>
    <n v="128.13"/>
    <n v="128.13"/>
    <n v="-42.233999999999902"/>
    <n v="-0.491687622240849"/>
    <x v="1"/>
    <n v="0"/>
    <n v="0"/>
    <n v="1"/>
    <n v="1"/>
  </r>
  <r>
    <n v="10118"/>
    <d v="2025-04-28T00:00:00"/>
    <s v="28"/>
    <x v="3"/>
    <x v="0"/>
    <x v="108"/>
    <x v="2"/>
    <x v="1"/>
    <x v="3"/>
    <x v="4"/>
    <n v="6"/>
    <n v="239.43"/>
    <x v="0"/>
    <n v="1436.58"/>
    <n v="215.48699999999999"/>
    <n v="1221.0929999999901"/>
    <n v="53.92"/>
    <n v="323.52"/>
    <n v="897.57299999999896"/>
    <n v="0.73505703496785202"/>
    <x v="0"/>
    <n v="1"/>
    <n v="6"/>
    <n v="0"/>
    <n v="6"/>
  </r>
  <r>
    <n v="10119"/>
    <d v="2025-04-29T00:00:00"/>
    <s v="29"/>
    <x v="3"/>
    <x v="0"/>
    <x v="109"/>
    <x v="1"/>
    <x v="0"/>
    <x v="3"/>
    <x v="5"/>
    <n v="7"/>
    <n v="202.86"/>
    <x v="3"/>
    <n v="1420.02"/>
    <n v="142.00200000000001"/>
    <n v="1278.018"/>
    <n v="119.35"/>
    <n v="835.44999999999902"/>
    <n v="442.56799999999998"/>
    <n v="0.34629246223449101"/>
    <x v="0"/>
    <n v="1"/>
    <n v="7"/>
    <n v="0"/>
    <n v="7"/>
  </r>
  <r>
    <n v="10120"/>
    <d v="2025-04-30T00:00:00"/>
    <s v="30"/>
    <x v="3"/>
    <x v="0"/>
    <x v="110"/>
    <x v="1"/>
    <x v="0"/>
    <x v="1"/>
    <x v="1"/>
    <n v="3"/>
    <n v="55.81"/>
    <x v="0"/>
    <n v="167.43"/>
    <n v="25.1145"/>
    <n v="142.31549999999999"/>
    <n v="81.95"/>
    <n v="245.85"/>
    <n v="-103.53449999999999"/>
    <n v="-0.72749981555066001"/>
    <x v="1"/>
    <n v="0"/>
    <n v="0"/>
    <n v="3"/>
    <n v="3"/>
  </r>
  <r>
    <n v="10121"/>
    <d v="2025-05-01T00:00:00"/>
    <s v="01"/>
    <x v="4"/>
    <x v="0"/>
    <x v="111"/>
    <x v="2"/>
    <x v="1"/>
    <x v="1"/>
    <x v="1"/>
    <n v="3"/>
    <n v="198.38"/>
    <x v="2"/>
    <n v="595.14"/>
    <n v="0"/>
    <n v="595.14"/>
    <n v="51.92"/>
    <n v="155.76"/>
    <n v="439.38"/>
    <n v="0.73828006855529793"/>
    <x v="0"/>
    <n v="1"/>
    <n v="3"/>
    <n v="0"/>
    <n v="3"/>
  </r>
  <r>
    <n v="10122"/>
    <d v="2025-05-02T00:00:00"/>
    <s v="02"/>
    <x v="4"/>
    <x v="0"/>
    <x v="112"/>
    <x v="3"/>
    <x v="1"/>
    <x v="3"/>
    <x v="3"/>
    <n v="7"/>
    <n v="102.6"/>
    <x v="3"/>
    <n v="718.19999999999902"/>
    <n v="71.819999999999993"/>
    <n v="646.37999999999897"/>
    <n v="74.05"/>
    <n v="518.35"/>
    <n v="128.02999999999901"/>
    <n v="0.19807234134719401"/>
    <x v="0"/>
    <n v="1"/>
    <n v="7"/>
    <n v="0"/>
    <n v="7"/>
  </r>
  <r>
    <n v="10123"/>
    <d v="2025-05-03T00:00:00"/>
    <s v="03"/>
    <x v="4"/>
    <x v="0"/>
    <x v="113"/>
    <x v="0"/>
    <x v="1"/>
    <x v="3"/>
    <x v="3"/>
    <n v="8"/>
    <n v="22.64"/>
    <x v="2"/>
    <n v="181.12"/>
    <n v="0"/>
    <n v="181.12"/>
    <n v="136.38"/>
    <n v="1091.04"/>
    <n v="-909.92"/>
    <n v="-5.0238515901060001"/>
    <x v="1"/>
    <n v="0"/>
    <n v="0"/>
    <n v="8"/>
    <n v="8"/>
  </r>
  <r>
    <n v="10124"/>
    <d v="2025-05-04T00:00:00"/>
    <s v="04"/>
    <x v="4"/>
    <x v="0"/>
    <x v="114"/>
    <x v="3"/>
    <x v="0"/>
    <x v="3"/>
    <x v="3"/>
    <n v="8"/>
    <n v="102.57"/>
    <x v="3"/>
    <n v="820.56"/>
    <n v="82.055999999999997"/>
    <n v="738.503999999999"/>
    <n v="48.12"/>
    <n v="384.96"/>
    <n v="353.54399999999902"/>
    <n v="0.47872997302655002"/>
    <x v="0"/>
    <n v="1"/>
    <n v="8"/>
    <n v="0"/>
    <n v="8"/>
  </r>
  <r>
    <n v="10125"/>
    <d v="2025-05-05T00:00:00"/>
    <s v="05"/>
    <x v="4"/>
    <x v="0"/>
    <x v="115"/>
    <x v="2"/>
    <x v="1"/>
    <x v="3"/>
    <x v="5"/>
    <n v="6"/>
    <n v="50.12"/>
    <x v="0"/>
    <n v="300.719999999999"/>
    <n v="45.107999999999997"/>
    <n v="255.611999999999"/>
    <n v="17.52"/>
    <n v="105.12"/>
    <n v="150.491999999999"/>
    <n v="0.58875170179803704"/>
    <x v="0"/>
    <n v="1"/>
    <n v="6"/>
    <n v="0"/>
    <n v="6"/>
  </r>
  <r>
    <n v="10126"/>
    <d v="2025-05-06T00:00:00"/>
    <s v="06"/>
    <x v="4"/>
    <x v="0"/>
    <x v="116"/>
    <x v="2"/>
    <x v="1"/>
    <x v="1"/>
    <x v="6"/>
    <n v="8"/>
    <n v="185.61"/>
    <x v="1"/>
    <n v="1484.88"/>
    <n v="296.976"/>
    <n v="1187.904"/>
    <n v="136.06"/>
    <n v="1088.48"/>
    <n v="99.423999999999893"/>
    <n v="8.3696999084100998E-2"/>
    <x v="0"/>
    <n v="1"/>
    <n v="8"/>
    <n v="0"/>
    <n v="8"/>
  </r>
  <r>
    <n v="10127"/>
    <d v="2025-05-07T00:00:00"/>
    <s v="07"/>
    <x v="4"/>
    <x v="0"/>
    <x v="117"/>
    <x v="2"/>
    <x v="0"/>
    <x v="1"/>
    <x v="6"/>
    <n v="3"/>
    <n v="108.15"/>
    <x v="4"/>
    <n v="324.45"/>
    <n v="16.2225"/>
    <n v="308.22750000000002"/>
    <n v="22.11"/>
    <n v="66.33"/>
    <n v="241.89750000000001"/>
    <n v="0.78480181035111996"/>
    <x v="0"/>
    <n v="1"/>
    <n v="3"/>
    <n v="0"/>
    <n v="3"/>
  </r>
  <r>
    <n v="10128"/>
    <d v="2025-05-08T00:00:00"/>
    <s v="08"/>
    <x v="4"/>
    <x v="0"/>
    <x v="118"/>
    <x v="1"/>
    <x v="1"/>
    <x v="0"/>
    <x v="0"/>
    <n v="9"/>
    <n v="201.38"/>
    <x v="4"/>
    <n v="1812.42"/>
    <n v="90.620999999999995"/>
    <n v="1721.799"/>
    <n v="38.479999999999997"/>
    <n v="346.32"/>
    <n v="1375.479"/>
    <n v="0.79886153958737294"/>
    <x v="0"/>
    <n v="1"/>
    <n v="9"/>
    <n v="0"/>
    <n v="9"/>
  </r>
  <r>
    <n v="10129"/>
    <d v="2025-05-09T00:00:00"/>
    <s v="09"/>
    <x v="4"/>
    <x v="0"/>
    <x v="119"/>
    <x v="2"/>
    <x v="1"/>
    <x v="3"/>
    <x v="3"/>
    <n v="9"/>
    <n v="241.44"/>
    <x v="2"/>
    <n v="2172.96"/>
    <n v="0"/>
    <n v="2172.96"/>
    <n v="74.56"/>
    <n v="671.04"/>
    <n v="1501.92"/>
    <n v="0.69118621603711006"/>
    <x v="0"/>
    <n v="1"/>
    <n v="9"/>
    <n v="0"/>
    <n v="9"/>
  </r>
  <r>
    <n v="10130"/>
    <d v="2025-05-10T00:00:00"/>
    <s v="10"/>
    <x v="4"/>
    <x v="0"/>
    <x v="120"/>
    <x v="2"/>
    <x v="1"/>
    <x v="3"/>
    <x v="3"/>
    <n v="3"/>
    <n v="121.2"/>
    <x v="3"/>
    <n v="363.6"/>
    <n v="36.36"/>
    <n v="327.24"/>
    <n v="118.08"/>
    <n v="354.24"/>
    <n v="-27"/>
    <n v="-8.2508250825082494E-2"/>
    <x v="1"/>
    <n v="0"/>
    <n v="0"/>
    <n v="3"/>
    <n v="3"/>
  </r>
  <r>
    <n v="10131"/>
    <d v="2025-05-11T00:00:00"/>
    <s v="11"/>
    <x v="4"/>
    <x v="0"/>
    <x v="121"/>
    <x v="3"/>
    <x v="1"/>
    <x v="1"/>
    <x v="1"/>
    <n v="4"/>
    <n v="77.569999999999993"/>
    <x v="2"/>
    <n v="310.27999999999997"/>
    <n v="0"/>
    <n v="310.27999999999997"/>
    <n v="146.74"/>
    <n v="586.96"/>
    <n v="-276.68"/>
    <n v="-0.89171071290447301"/>
    <x v="1"/>
    <n v="0"/>
    <n v="0"/>
    <n v="4"/>
    <n v="4"/>
  </r>
  <r>
    <n v="10132"/>
    <d v="2025-05-12T00:00:00"/>
    <s v="12"/>
    <x v="4"/>
    <x v="0"/>
    <x v="122"/>
    <x v="1"/>
    <x v="0"/>
    <x v="3"/>
    <x v="3"/>
    <n v="5"/>
    <n v="155.15"/>
    <x v="1"/>
    <n v="775.75"/>
    <n v="155.15"/>
    <n v="620.6"/>
    <n v="32.090000000000003"/>
    <n v="160.44999999999999"/>
    <n v="460.15"/>
    <n v="0.74145987753786602"/>
    <x v="0"/>
    <n v="1"/>
    <n v="5"/>
    <n v="0"/>
    <n v="5"/>
  </r>
  <r>
    <n v="10133"/>
    <d v="2025-05-13T00:00:00"/>
    <s v="13"/>
    <x v="4"/>
    <x v="0"/>
    <x v="123"/>
    <x v="0"/>
    <x v="0"/>
    <x v="3"/>
    <x v="4"/>
    <n v="2"/>
    <n v="135.62"/>
    <x v="3"/>
    <n v="271.24"/>
    <n v="27.123999999999999"/>
    <n v="244.11600000000001"/>
    <n v="38.71"/>
    <n v="77.42"/>
    <n v="166.696"/>
    <n v="0.68285569155647297"/>
    <x v="0"/>
    <n v="1"/>
    <n v="2"/>
    <n v="0"/>
    <n v="2"/>
  </r>
  <r>
    <n v="10134"/>
    <d v="2025-05-14T00:00:00"/>
    <s v="14"/>
    <x v="4"/>
    <x v="0"/>
    <x v="124"/>
    <x v="2"/>
    <x v="0"/>
    <x v="2"/>
    <x v="2"/>
    <n v="8"/>
    <n v="141.35"/>
    <x v="4"/>
    <n v="1130.8"/>
    <n v="56.54"/>
    <n v="1074.26"/>
    <n v="149.44"/>
    <n v="1195.52"/>
    <n v="-121.259999999999"/>
    <n v="-0.11287770185988399"/>
    <x v="1"/>
    <n v="0"/>
    <n v="0"/>
    <n v="8"/>
    <n v="8"/>
  </r>
  <r>
    <n v="10135"/>
    <d v="2025-05-15T00:00:00"/>
    <s v="15"/>
    <x v="4"/>
    <x v="0"/>
    <x v="125"/>
    <x v="1"/>
    <x v="0"/>
    <x v="3"/>
    <x v="5"/>
    <n v="5"/>
    <n v="111.97"/>
    <x v="1"/>
    <n v="559.85"/>
    <n v="111.97"/>
    <n v="447.88"/>
    <n v="86.6"/>
    <n v="433"/>
    <n v="14.8799999999999"/>
    <n v="3.3223184781637903E-2"/>
    <x v="0"/>
    <n v="1"/>
    <n v="5"/>
    <n v="0"/>
    <n v="5"/>
  </r>
  <r>
    <n v="10136"/>
    <d v="2025-05-16T00:00:00"/>
    <s v="16"/>
    <x v="4"/>
    <x v="0"/>
    <x v="126"/>
    <x v="3"/>
    <x v="0"/>
    <x v="3"/>
    <x v="5"/>
    <n v="6"/>
    <n v="105.69"/>
    <x v="0"/>
    <n v="634.14"/>
    <n v="95.120999999999995"/>
    <n v="539.01900000000001"/>
    <n v="129.94999999999999"/>
    <n v="779.69999999999902"/>
    <n v="-240.68099999999899"/>
    <n v="-0.44651672761071404"/>
    <x v="1"/>
    <n v="0"/>
    <n v="0"/>
    <n v="6"/>
    <n v="6"/>
  </r>
  <r>
    <n v="10137"/>
    <d v="2025-05-17T00:00:00"/>
    <s v="17"/>
    <x v="4"/>
    <x v="0"/>
    <x v="127"/>
    <x v="1"/>
    <x v="0"/>
    <x v="3"/>
    <x v="3"/>
    <n v="9"/>
    <n v="84.23"/>
    <x v="1"/>
    <n v="758.07"/>
    <n v="151.614"/>
    <n v="606.45600000000002"/>
    <n v="58"/>
    <n v="522"/>
    <n v="84.456000000000003"/>
    <n v="0.13926154576754102"/>
    <x v="0"/>
    <n v="1"/>
    <n v="9"/>
    <n v="0"/>
    <n v="9"/>
  </r>
  <r>
    <n v="10138"/>
    <d v="2025-05-18T00:00:00"/>
    <s v="18"/>
    <x v="4"/>
    <x v="0"/>
    <x v="128"/>
    <x v="2"/>
    <x v="0"/>
    <x v="3"/>
    <x v="4"/>
    <n v="8"/>
    <n v="229.29"/>
    <x v="3"/>
    <n v="1834.32"/>
    <n v="183.43199999999999"/>
    <n v="1650.8879999999999"/>
    <n v="47.05"/>
    <n v="376.4"/>
    <n v="1274.4879999999901"/>
    <n v="0.77200149253007988"/>
    <x v="0"/>
    <n v="1"/>
    <n v="8"/>
    <n v="0"/>
    <n v="8"/>
  </r>
  <r>
    <n v="10139"/>
    <d v="2025-05-19T00:00:00"/>
    <s v="19"/>
    <x v="4"/>
    <x v="0"/>
    <x v="129"/>
    <x v="2"/>
    <x v="1"/>
    <x v="3"/>
    <x v="5"/>
    <n v="9"/>
    <n v="151.88"/>
    <x v="3"/>
    <n v="1366.92"/>
    <n v="136.69200000000001"/>
    <n v="1230.2280000000001"/>
    <n v="131.88"/>
    <n v="1186.92"/>
    <n v="43.3079999999999"/>
    <n v="3.5203230620665403E-2"/>
    <x v="0"/>
    <n v="1"/>
    <n v="9"/>
    <n v="0"/>
    <n v="9"/>
  </r>
  <r>
    <n v="10140"/>
    <d v="2025-05-20T00:00:00"/>
    <s v="20"/>
    <x v="4"/>
    <x v="0"/>
    <x v="130"/>
    <x v="0"/>
    <x v="0"/>
    <x v="0"/>
    <x v="0"/>
    <n v="1"/>
    <n v="199.11"/>
    <x v="4"/>
    <n v="199.11"/>
    <n v="9.9555000000000007"/>
    <n v="189.15450000000001"/>
    <n v="34.97"/>
    <n v="34.97"/>
    <n v="154.18450000000001"/>
    <n v="0.81512467321686699"/>
    <x v="0"/>
    <n v="1"/>
    <n v="1"/>
    <n v="0"/>
    <n v="1"/>
  </r>
  <r>
    <n v="10141"/>
    <d v="2025-05-21T00:00:00"/>
    <s v="21"/>
    <x v="4"/>
    <x v="0"/>
    <x v="131"/>
    <x v="1"/>
    <x v="1"/>
    <x v="2"/>
    <x v="2"/>
    <n v="7"/>
    <n v="114.4"/>
    <x v="2"/>
    <n v="800.8"/>
    <n v="0"/>
    <n v="800.8"/>
    <n v="43.48"/>
    <n v="304.35999999999899"/>
    <n v="496.44"/>
    <n v="0.61993006993007005"/>
    <x v="0"/>
    <n v="1"/>
    <n v="7"/>
    <n v="0"/>
    <n v="7"/>
  </r>
  <r>
    <n v="10142"/>
    <d v="2025-05-22T00:00:00"/>
    <s v="22"/>
    <x v="4"/>
    <x v="0"/>
    <x v="132"/>
    <x v="0"/>
    <x v="1"/>
    <x v="3"/>
    <x v="5"/>
    <n v="1"/>
    <n v="99.96"/>
    <x v="1"/>
    <n v="99.96"/>
    <n v="19.992000000000001"/>
    <n v="79.967999999999904"/>
    <n v="58.42"/>
    <n v="58.42"/>
    <n v="21.547999999999899"/>
    <n v="0.26945778311324498"/>
    <x v="0"/>
    <n v="1"/>
    <n v="1"/>
    <n v="0"/>
    <n v="1"/>
  </r>
  <r>
    <n v="10143"/>
    <d v="2025-05-23T00:00:00"/>
    <s v="23"/>
    <x v="4"/>
    <x v="0"/>
    <x v="133"/>
    <x v="2"/>
    <x v="1"/>
    <x v="0"/>
    <x v="0"/>
    <n v="9"/>
    <n v="45.57"/>
    <x v="0"/>
    <n v="410.13"/>
    <n v="61.519499999999901"/>
    <n v="348.6105"/>
    <n v="53.58"/>
    <n v="482.219999999999"/>
    <n v="-133.609499999999"/>
    <n v="-0.38326298261239899"/>
    <x v="1"/>
    <n v="0"/>
    <n v="0"/>
    <n v="9"/>
    <n v="9"/>
  </r>
  <r>
    <n v="10144"/>
    <d v="2025-05-24T00:00:00"/>
    <s v="24"/>
    <x v="4"/>
    <x v="0"/>
    <x v="134"/>
    <x v="1"/>
    <x v="0"/>
    <x v="3"/>
    <x v="4"/>
    <n v="5"/>
    <n v="126.95"/>
    <x v="1"/>
    <n v="634.75"/>
    <n v="126.95"/>
    <n v="507.8"/>
    <n v="29.14"/>
    <n v="145.69999999999999"/>
    <n v="362.1"/>
    <n v="0.71307601417881006"/>
    <x v="0"/>
    <n v="1"/>
    <n v="5"/>
    <n v="0"/>
    <n v="5"/>
  </r>
  <r>
    <n v="10145"/>
    <d v="2025-05-25T00:00:00"/>
    <s v="25"/>
    <x v="4"/>
    <x v="0"/>
    <x v="135"/>
    <x v="1"/>
    <x v="0"/>
    <x v="3"/>
    <x v="4"/>
    <n v="7"/>
    <n v="138.72"/>
    <x v="4"/>
    <n v="971.04"/>
    <n v="48.552"/>
    <n v="922.48799999999903"/>
    <n v="47.01"/>
    <n v="329.07"/>
    <n v="593.41799999999898"/>
    <n v="0.64327991258422801"/>
    <x v="0"/>
    <n v="1"/>
    <n v="7"/>
    <n v="0"/>
    <n v="7"/>
  </r>
  <r>
    <n v="10146"/>
    <d v="2025-05-26T00:00:00"/>
    <s v="26"/>
    <x v="4"/>
    <x v="0"/>
    <x v="123"/>
    <x v="1"/>
    <x v="0"/>
    <x v="3"/>
    <x v="3"/>
    <n v="5"/>
    <n v="63.43"/>
    <x v="2"/>
    <n v="317.14999999999998"/>
    <n v="0"/>
    <n v="317.14999999999998"/>
    <n v="30.13"/>
    <n v="150.65"/>
    <n v="166.49999999999901"/>
    <n v="0.52498817594198299"/>
    <x v="0"/>
    <n v="1"/>
    <n v="5"/>
    <n v="0"/>
    <n v="5"/>
  </r>
  <r>
    <n v="10147"/>
    <d v="2025-05-27T00:00:00"/>
    <s v="27"/>
    <x v="4"/>
    <x v="0"/>
    <x v="136"/>
    <x v="0"/>
    <x v="1"/>
    <x v="0"/>
    <x v="0"/>
    <n v="2"/>
    <n v="68.16"/>
    <x v="2"/>
    <n v="136.32"/>
    <n v="0"/>
    <n v="136.32"/>
    <n v="82.23"/>
    <n v="164.46"/>
    <n v="-28.14"/>
    <n v="-0.20642605633802799"/>
    <x v="1"/>
    <n v="0"/>
    <n v="0"/>
    <n v="2"/>
    <n v="2"/>
  </r>
  <r>
    <n v="10148"/>
    <d v="2025-05-28T00:00:00"/>
    <s v="28"/>
    <x v="4"/>
    <x v="0"/>
    <x v="137"/>
    <x v="1"/>
    <x v="0"/>
    <x v="1"/>
    <x v="1"/>
    <n v="9"/>
    <n v="102.27"/>
    <x v="1"/>
    <n v="920.43"/>
    <n v="184.08600000000001"/>
    <n v="736.34399999999903"/>
    <n v="105.71"/>
    <n v="951.39"/>
    <n v="-215.04599999999999"/>
    <n v="-0.29204556565952799"/>
    <x v="1"/>
    <n v="0"/>
    <n v="0"/>
    <n v="9"/>
    <n v="9"/>
  </r>
  <r>
    <n v="10149"/>
    <d v="2025-05-29T00:00:00"/>
    <s v="29"/>
    <x v="4"/>
    <x v="0"/>
    <x v="138"/>
    <x v="1"/>
    <x v="0"/>
    <x v="3"/>
    <x v="4"/>
    <n v="4"/>
    <n v="214.41"/>
    <x v="1"/>
    <n v="857.64"/>
    <n v="171.52799999999999"/>
    <n v="686.11199999999997"/>
    <n v="79.78"/>
    <n v="319.12"/>
    <n v="366.991999999999"/>
    <n v="0.53488643253579493"/>
    <x v="0"/>
    <n v="1"/>
    <n v="4"/>
    <n v="0"/>
    <n v="4"/>
  </r>
  <r>
    <n v="10150"/>
    <d v="2025-05-30T00:00:00"/>
    <s v="30"/>
    <x v="4"/>
    <x v="0"/>
    <x v="76"/>
    <x v="2"/>
    <x v="0"/>
    <x v="0"/>
    <x v="0"/>
    <n v="2"/>
    <n v="203.09"/>
    <x v="2"/>
    <n v="406.18"/>
    <n v="0"/>
    <n v="406.18"/>
    <n v="15.25"/>
    <n v="30.5"/>
    <n v="375.68"/>
    <n v="0.92491013836230196"/>
    <x v="0"/>
    <n v="1"/>
    <n v="2"/>
    <n v="0"/>
    <n v="2"/>
  </r>
  <r>
    <n v="10151"/>
    <d v="2025-05-31T00:00:00"/>
    <s v="31"/>
    <x v="4"/>
    <x v="0"/>
    <x v="32"/>
    <x v="3"/>
    <x v="0"/>
    <x v="0"/>
    <x v="0"/>
    <n v="9"/>
    <n v="197.52"/>
    <x v="4"/>
    <n v="1777.68"/>
    <n v="88.884"/>
    <n v="1688.796"/>
    <n v="90.6"/>
    <n v="815.4"/>
    <n v="873.39599999999996"/>
    <n v="0.51717081281575705"/>
    <x v="0"/>
    <n v="1"/>
    <n v="9"/>
    <n v="0"/>
    <n v="9"/>
  </r>
  <r>
    <n v="10152"/>
    <d v="2025-06-01T00:00:00"/>
    <s v="01"/>
    <x v="5"/>
    <x v="0"/>
    <x v="139"/>
    <x v="0"/>
    <x v="0"/>
    <x v="3"/>
    <x v="4"/>
    <n v="8"/>
    <n v="137.16"/>
    <x v="1"/>
    <n v="1097.28"/>
    <n v="219.45599999999999"/>
    <n v="877.82399999999996"/>
    <n v="108.37"/>
    <n v="866.96"/>
    <n v="10.8639999999999"/>
    <n v="1.23760571595216E-2"/>
    <x v="0"/>
    <n v="1"/>
    <n v="8"/>
    <n v="0"/>
    <n v="8"/>
  </r>
  <r>
    <n v="10153"/>
    <d v="2025-06-02T00:00:00"/>
    <s v="02"/>
    <x v="5"/>
    <x v="0"/>
    <x v="140"/>
    <x v="0"/>
    <x v="1"/>
    <x v="3"/>
    <x v="5"/>
    <n v="3"/>
    <n v="222.38"/>
    <x v="4"/>
    <n v="667.14"/>
    <n v="33.356999999999999"/>
    <n v="633.78300000000002"/>
    <n v="30.64"/>
    <n v="91.92"/>
    <n v="541.86300000000006"/>
    <n v="0.85496613194105808"/>
    <x v="0"/>
    <n v="1"/>
    <n v="3"/>
    <n v="0"/>
    <n v="3"/>
  </r>
  <r>
    <n v="10154"/>
    <d v="2025-06-03T00:00:00"/>
    <s v="03"/>
    <x v="5"/>
    <x v="0"/>
    <x v="141"/>
    <x v="1"/>
    <x v="1"/>
    <x v="2"/>
    <x v="2"/>
    <n v="9"/>
    <n v="20.7"/>
    <x v="3"/>
    <n v="186.29999999999899"/>
    <n v="18.63"/>
    <n v="167.67"/>
    <n v="75.25"/>
    <n v="677.25"/>
    <n v="-509.58"/>
    <n v="-3.0391841116478799"/>
    <x v="1"/>
    <n v="0"/>
    <n v="0"/>
    <n v="9"/>
    <n v="9"/>
  </r>
  <r>
    <n v="10155"/>
    <d v="2025-06-04T00:00:00"/>
    <s v="04"/>
    <x v="5"/>
    <x v="0"/>
    <x v="142"/>
    <x v="1"/>
    <x v="1"/>
    <x v="3"/>
    <x v="5"/>
    <n v="9"/>
    <n v="50.19"/>
    <x v="3"/>
    <n v="451.71"/>
    <n v="45.170999999999999"/>
    <n v="406.53899999999999"/>
    <n v="145.76"/>
    <n v="1311.84"/>
    <n v="-905.30099999999902"/>
    <n v="-2.22684908458967"/>
    <x v="1"/>
    <n v="0"/>
    <n v="0"/>
    <n v="9"/>
    <n v="9"/>
  </r>
  <r>
    <n v="10156"/>
    <d v="2025-06-05T00:00:00"/>
    <s v="05"/>
    <x v="5"/>
    <x v="0"/>
    <x v="143"/>
    <x v="0"/>
    <x v="0"/>
    <x v="1"/>
    <x v="6"/>
    <n v="7"/>
    <n v="119.68"/>
    <x v="0"/>
    <n v="837.76"/>
    <n v="125.66399999999901"/>
    <n v="712.096"/>
    <n v="124.93"/>
    <n v="874.51"/>
    <n v="-162.41399999999999"/>
    <n v="-0.22807879836426501"/>
    <x v="1"/>
    <n v="0"/>
    <n v="0"/>
    <n v="7"/>
    <n v="7"/>
  </r>
  <r>
    <n v="10157"/>
    <d v="2025-06-06T00:00:00"/>
    <s v="06"/>
    <x v="5"/>
    <x v="0"/>
    <x v="144"/>
    <x v="0"/>
    <x v="1"/>
    <x v="3"/>
    <x v="4"/>
    <n v="7"/>
    <n v="196.24"/>
    <x v="0"/>
    <n v="1373.68"/>
    <n v="206.05199999999999"/>
    <n v="1167.6279999999999"/>
    <n v="71.11"/>
    <n v="497.77"/>
    <n v="669.85799999999995"/>
    <n v="0.57369127838660905"/>
    <x v="0"/>
    <n v="1"/>
    <n v="7"/>
    <n v="0"/>
    <n v="7"/>
  </r>
  <r>
    <n v="10158"/>
    <d v="2025-06-07T00:00:00"/>
    <s v="07"/>
    <x v="5"/>
    <x v="0"/>
    <x v="145"/>
    <x v="2"/>
    <x v="1"/>
    <x v="3"/>
    <x v="4"/>
    <n v="6"/>
    <n v="122.93"/>
    <x v="0"/>
    <n v="737.58"/>
    <n v="110.637"/>
    <n v="626.94299999999998"/>
    <n v="42.57"/>
    <n v="255.42"/>
    <n v="371.522999999999"/>
    <n v="0.59259454208755802"/>
    <x v="0"/>
    <n v="1"/>
    <n v="6"/>
    <n v="0"/>
    <n v="6"/>
  </r>
  <r>
    <n v="10159"/>
    <d v="2025-06-08T00:00:00"/>
    <s v="08"/>
    <x v="5"/>
    <x v="0"/>
    <x v="146"/>
    <x v="3"/>
    <x v="0"/>
    <x v="3"/>
    <x v="3"/>
    <n v="3"/>
    <n v="248.77"/>
    <x v="2"/>
    <n v="746.31"/>
    <n v="0"/>
    <n v="746.31"/>
    <n v="28.24"/>
    <n v="84.72"/>
    <n v="661.59"/>
    <n v="0.88648148892551304"/>
    <x v="0"/>
    <n v="1"/>
    <n v="3"/>
    <n v="0"/>
    <n v="3"/>
  </r>
  <r>
    <n v="10160"/>
    <d v="2025-06-09T00:00:00"/>
    <s v="09"/>
    <x v="5"/>
    <x v="0"/>
    <x v="147"/>
    <x v="1"/>
    <x v="0"/>
    <x v="3"/>
    <x v="5"/>
    <n v="3"/>
    <n v="238.86"/>
    <x v="0"/>
    <n v="716.58"/>
    <n v="107.48699999999999"/>
    <n v="609.09299999999996"/>
    <n v="11.65"/>
    <n v="34.950000000000003"/>
    <n v="574.14300000000003"/>
    <n v="0.94261959996256706"/>
    <x v="0"/>
    <n v="1"/>
    <n v="3"/>
    <n v="0"/>
    <n v="3"/>
  </r>
  <r>
    <n v="10161"/>
    <d v="2025-06-10T00:00:00"/>
    <s v="10"/>
    <x v="5"/>
    <x v="0"/>
    <x v="148"/>
    <x v="3"/>
    <x v="1"/>
    <x v="3"/>
    <x v="5"/>
    <n v="5"/>
    <n v="226.48"/>
    <x v="2"/>
    <n v="1132.3999999999901"/>
    <n v="0"/>
    <n v="1132.3999999999901"/>
    <n v="38.99"/>
    <n v="194.95"/>
    <n v="937.44999999999902"/>
    <n v="0.82784351819145097"/>
    <x v="0"/>
    <n v="1"/>
    <n v="5"/>
    <n v="0"/>
    <n v="5"/>
  </r>
  <r>
    <n v="10162"/>
    <d v="2025-06-11T00:00:00"/>
    <s v="11"/>
    <x v="5"/>
    <x v="0"/>
    <x v="149"/>
    <x v="3"/>
    <x v="0"/>
    <x v="3"/>
    <x v="4"/>
    <n v="8"/>
    <n v="206.58"/>
    <x v="0"/>
    <n v="1652.64"/>
    <n v="247.89599999999999"/>
    <n v="1404.7439999999999"/>
    <n v="75.81"/>
    <n v="606.48"/>
    <n v="798.26400000000001"/>
    <n v="0.568262971758555"/>
    <x v="0"/>
    <n v="1"/>
    <n v="8"/>
    <n v="0"/>
    <n v="8"/>
  </r>
  <r>
    <n v="10163"/>
    <d v="2025-06-12T00:00:00"/>
    <s v="12"/>
    <x v="5"/>
    <x v="0"/>
    <x v="64"/>
    <x v="3"/>
    <x v="1"/>
    <x v="3"/>
    <x v="3"/>
    <n v="9"/>
    <n v="77.650000000000006"/>
    <x v="4"/>
    <n v="698.85"/>
    <n v="34.942500000000003"/>
    <n v="663.90750000000003"/>
    <n v="77.290000000000006"/>
    <n v="695.61"/>
    <n v="-31.702499999999901"/>
    <n v="-4.7751381028230497E-2"/>
    <x v="1"/>
    <n v="0"/>
    <n v="0"/>
    <n v="9"/>
    <n v="9"/>
  </r>
  <r>
    <n v="10164"/>
    <d v="2025-06-13T00:00:00"/>
    <s v="13"/>
    <x v="5"/>
    <x v="0"/>
    <x v="150"/>
    <x v="1"/>
    <x v="0"/>
    <x v="0"/>
    <x v="0"/>
    <n v="6"/>
    <n v="167"/>
    <x v="0"/>
    <n v="1002"/>
    <n v="150.29999999999899"/>
    <n v="851.7"/>
    <n v="30.03"/>
    <n v="180.18"/>
    <n v="671.52"/>
    <n v="0.78844663613948496"/>
    <x v="0"/>
    <n v="1"/>
    <n v="6"/>
    <n v="0"/>
    <n v="6"/>
  </r>
  <r>
    <n v="10165"/>
    <d v="2025-06-14T00:00:00"/>
    <s v="14"/>
    <x v="5"/>
    <x v="0"/>
    <x v="151"/>
    <x v="3"/>
    <x v="1"/>
    <x v="1"/>
    <x v="1"/>
    <n v="7"/>
    <n v="22.05"/>
    <x v="0"/>
    <n v="154.35"/>
    <n v="23.1525"/>
    <n v="131.19749999999999"/>
    <n v="70.89"/>
    <n v="496.23"/>
    <n v="-365.03250000000003"/>
    <n v="-2.7823129251700602"/>
    <x v="1"/>
    <n v="0"/>
    <n v="0"/>
    <n v="7"/>
    <n v="7"/>
  </r>
  <r>
    <n v="10166"/>
    <d v="2025-06-15T00:00:00"/>
    <s v="15"/>
    <x v="5"/>
    <x v="0"/>
    <x v="152"/>
    <x v="3"/>
    <x v="0"/>
    <x v="1"/>
    <x v="6"/>
    <n v="3"/>
    <n v="206.63"/>
    <x v="0"/>
    <n v="619.89"/>
    <n v="92.983499999999907"/>
    <n v="526.90650000000005"/>
    <n v="68.959999999999994"/>
    <n v="206.88"/>
    <n v="320.0265"/>
    <n v="0.60736866977347903"/>
    <x v="0"/>
    <n v="1"/>
    <n v="3"/>
    <n v="0"/>
    <n v="3"/>
  </r>
  <r>
    <n v="10167"/>
    <d v="2025-06-16T00:00:00"/>
    <s v="16"/>
    <x v="5"/>
    <x v="0"/>
    <x v="153"/>
    <x v="2"/>
    <x v="0"/>
    <x v="2"/>
    <x v="2"/>
    <n v="4"/>
    <n v="87.63"/>
    <x v="2"/>
    <n v="350.52"/>
    <n v="0"/>
    <n v="350.52"/>
    <n v="122.38"/>
    <n v="489.52"/>
    <n v="-139"/>
    <n v="-0.39655369165810794"/>
    <x v="1"/>
    <n v="0"/>
    <n v="0"/>
    <n v="4"/>
    <n v="4"/>
  </r>
  <r>
    <n v="10168"/>
    <d v="2025-06-17T00:00:00"/>
    <s v="17"/>
    <x v="5"/>
    <x v="0"/>
    <x v="154"/>
    <x v="2"/>
    <x v="1"/>
    <x v="3"/>
    <x v="3"/>
    <n v="9"/>
    <n v="56.96"/>
    <x v="1"/>
    <n v="512.64"/>
    <n v="102.52800000000001"/>
    <n v="410.111999999999"/>
    <n v="138.59"/>
    <n v="1247.31"/>
    <n v="-837.19799999999998"/>
    <n v="-2.0413886938202199"/>
    <x v="1"/>
    <n v="0"/>
    <n v="0"/>
    <n v="9"/>
    <n v="9"/>
  </r>
  <r>
    <n v="10169"/>
    <d v="2025-06-18T00:00:00"/>
    <s v="18"/>
    <x v="5"/>
    <x v="0"/>
    <x v="155"/>
    <x v="3"/>
    <x v="1"/>
    <x v="3"/>
    <x v="3"/>
    <n v="3"/>
    <n v="141.75"/>
    <x v="0"/>
    <n v="425.25"/>
    <n v="63.787499999999902"/>
    <n v="361.46249999999998"/>
    <n v="143.81"/>
    <n v="431.43"/>
    <n v="-69.967500000000001"/>
    <n v="-0.19356779748936601"/>
    <x v="1"/>
    <n v="0"/>
    <n v="0"/>
    <n v="3"/>
    <n v="3"/>
  </r>
  <r>
    <n v="10170"/>
    <d v="2025-06-19T00:00:00"/>
    <s v="19"/>
    <x v="5"/>
    <x v="0"/>
    <x v="156"/>
    <x v="2"/>
    <x v="1"/>
    <x v="0"/>
    <x v="0"/>
    <n v="4"/>
    <n v="156.47"/>
    <x v="3"/>
    <n v="625.88"/>
    <n v="62.588000000000001"/>
    <n v="563.29200000000003"/>
    <n v="75.62"/>
    <n v="302.48"/>
    <n v="260.81200000000001"/>
    <n v="0.46301385427096398"/>
    <x v="0"/>
    <n v="1"/>
    <n v="4"/>
    <n v="0"/>
    <n v="4"/>
  </r>
  <r>
    <n v="10171"/>
    <d v="2025-06-20T00:00:00"/>
    <s v="20"/>
    <x v="5"/>
    <x v="0"/>
    <x v="157"/>
    <x v="0"/>
    <x v="1"/>
    <x v="3"/>
    <x v="5"/>
    <n v="4"/>
    <n v="108.09"/>
    <x v="0"/>
    <n v="432.36"/>
    <n v="64.853999999999999"/>
    <n v="367.50599999999997"/>
    <n v="128.38999999999999"/>
    <n v="513.55999999999995"/>
    <n v="-146.05399999999901"/>
    <n v="-0.39741936186075799"/>
    <x v="1"/>
    <n v="0"/>
    <n v="0"/>
    <n v="4"/>
    <n v="4"/>
  </r>
  <r>
    <n v="10172"/>
    <d v="2025-06-21T00:00:00"/>
    <s v="21"/>
    <x v="5"/>
    <x v="0"/>
    <x v="158"/>
    <x v="1"/>
    <x v="0"/>
    <x v="2"/>
    <x v="2"/>
    <n v="7"/>
    <n v="148"/>
    <x v="3"/>
    <n v="1036"/>
    <n v="103.6"/>
    <n v="932.4"/>
    <n v="94.93"/>
    <n v="664.51"/>
    <n v="267.89"/>
    <n v="0.28731231231231197"/>
    <x v="0"/>
    <n v="1"/>
    <n v="7"/>
    <n v="0"/>
    <n v="7"/>
  </r>
  <r>
    <n v="10173"/>
    <d v="2025-06-22T00:00:00"/>
    <s v="22"/>
    <x v="5"/>
    <x v="0"/>
    <x v="109"/>
    <x v="3"/>
    <x v="1"/>
    <x v="1"/>
    <x v="1"/>
    <n v="5"/>
    <n v="210.58"/>
    <x v="1"/>
    <n v="1052.9000000000001"/>
    <n v="210.58"/>
    <n v="842.32"/>
    <n v="19.75"/>
    <n v="98.75"/>
    <n v="743.57"/>
    <n v="0.88276427011112102"/>
    <x v="0"/>
    <n v="1"/>
    <n v="5"/>
    <n v="0"/>
    <n v="5"/>
  </r>
  <r>
    <n v="10174"/>
    <d v="2025-06-23T00:00:00"/>
    <s v="23"/>
    <x v="5"/>
    <x v="0"/>
    <x v="159"/>
    <x v="3"/>
    <x v="1"/>
    <x v="3"/>
    <x v="3"/>
    <n v="2"/>
    <n v="84.9"/>
    <x v="3"/>
    <n v="169.8"/>
    <n v="16.98"/>
    <n v="152.82"/>
    <n v="15.57"/>
    <n v="31.14"/>
    <n v="121.68"/>
    <n v="0.7962308598351"/>
    <x v="0"/>
    <n v="1"/>
    <n v="2"/>
    <n v="0"/>
    <n v="2"/>
  </r>
  <r>
    <n v="10175"/>
    <d v="2025-06-24T00:00:00"/>
    <s v="24"/>
    <x v="5"/>
    <x v="0"/>
    <x v="160"/>
    <x v="2"/>
    <x v="1"/>
    <x v="3"/>
    <x v="4"/>
    <n v="1"/>
    <n v="142.79"/>
    <x v="0"/>
    <n v="142.79"/>
    <n v="21.418499999999899"/>
    <n v="121.3715"/>
    <n v="92.74"/>
    <n v="92.74"/>
    <n v="28.631499999999999"/>
    <n v="0.23589969638671299"/>
    <x v="0"/>
    <n v="1"/>
    <n v="1"/>
    <n v="0"/>
    <n v="1"/>
  </r>
  <r>
    <n v="10176"/>
    <d v="2025-06-25T00:00:00"/>
    <s v="25"/>
    <x v="5"/>
    <x v="0"/>
    <x v="62"/>
    <x v="1"/>
    <x v="1"/>
    <x v="2"/>
    <x v="2"/>
    <n v="8"/>
    <n v="143.27000000000001"/>
    <x v="1"/>
    <n v="1146.1600000000001"/>
    <n v="229.232"/>
    <n v="916.928"/>
    <n v="103.84"/>
    <n v="830.72"/>
    <n v="86.207999999999998"/>
    <n v="9.401828715013609E-2"/>
    <x v="0"/>
    <n v="1"/>
    <n v="8"/>
    <n v="0"/>
    <n v="8"/>
  </r>
  <r>
    <n v="10177"/>
    <d v="2025-06-26T00:00:00"/>
    <s v="26"/>
    <x v="5"/>
    <x v="0"/>
    <x v="161"/>
    <x v="3"/>
    <x v="1"/>
    <x v="3"/>
    <x v="3"/>
    <n v="8"/>
    <n v="85.06"/>
    <x v="4"/>
    <n v="680.48"/>
    <n v="34.024000000000001"/>
    <n v="646.45600000000002"/>
    <n v="99.49"/>
    <n v="795.92"/>
    <n v="-149.463999999999"/>
    <n v="-0.231205217369782"/>
    <x v="1"/>
    <n v="0"/>
    <n v="0"/>
    <n v="8"/>
    <n v="8"/>
  </r>
  <r>
    <n v="10178"/>
    <d v="2025-06-27T00:00:00"/>
    <s v="27"/>
    <x v="5"/>
    <x v="0"/>
    <x v="162"/>
    <x v="2"/>
    <x v="1"/>
    <x v="1"/>
    <x v="6"/>
    <n v="7"/>
    <n v="127.31"/>
    <x v="0"/>
    <n v="891.17"/>
    <n v="133.6755"/>
    <n v="757.49450000000002"/>
    <n v="75.17"/>
    <n v="526.19000000000005"/>
    <n v="231.304499999999"/>
    <n v="0.30535469234430002"/>
    <x v="0"/>
    <n v="1"/>
    <n v="7"/>
    <n v="0"/>
    <n v="7"/>
  </r>
  <r>
    <n v="10179"/>
    <d v="2025-06-28T00:00:00"/>
    <s v="28"/>
    <x v="5"/>
    <x v="0"/>
    <x v="163"/>
    <x v="1"/>
    <x v="0"/>
    <x v="2"/>
    <x v="2"/>
    <n v="7"/>
    <n v="75.78"/>
    <x v="0"/>
    <n v="530.46"/>
    <n v="79.569000000000003"/>
    <n v="450.89100000000002"/>
    <n v="90.94"/>
    <n v="636.57999999999902"/>
    <n v="-185.688999999999"/>
    <n v="-0.411826805148028"/>
    <x v="1"/>
    <n v="0"/>
    <n v="0"/>
    <n v="7"/>
    <n v="7"/>
  </r>
  <r>
    <n v="10180"/>
    <d v="2025-06-29T00:00:00"/>
    <s v="29"/>
    <x v="5"/>
    <x v="0"/>
    <x v="164"/>
    <x v="0"/>
    <x v="0"/>
    <x v="3"/>
    <x v="3"/>
    <n v="4"/>
    <n v="108.87"/>
    <x v="3"/>
    <n v="435.48"/>
    <n v="43.548000000000002"/>
    <n v="391.93200000000002"/>
    <n v="101.15"/>
    <n v="404.6"/>
    <n v="-12.667999999999999"/>
    <n v="-3.2321933396609596E-2"/>
    <x v="1"/>
    <n v="0"/>
    <n v="0"/>
    <n v="4"/>
    <n v="4"/>
  </r>
  <r>
    <n v="10181"/>
    <d v="2025-06-30T00:00:00"/>
    <s v="30"/>
    <x v="5"/>
    <x v="0"/>
    <x v="133"/>
    <x v="2"/>
    <x v="0"/>
    <x v="2"/>
    <x v="2"/>
    <n v="9"/>
    <n v="77.73"/>
    <x v="2"/>
    <n v="699.57"/>
    <n v="0"/>
    <n v="699.57"/>
    <n v="107.01"/>
    <n v="963.09"/>
    <n v="-263.52"/>
    <n v="-0.37668853724430695"/>
    <x v="1"/>
    <n v="0"/>
    <n v="0"/>
    <n v="9"/>
    <n v="9"/>
  </r>
  <r>
    <n v="10182"/>
    <d v="2025-07-01T00:00:00"/>
    <s v="01"/>
    <x v="6"/>
    <x v="0"/>
    <x v="165"/>
    <x v="2"/>
    <x v="1"/>
    <x v="1"/>
    <x v="6"/>
    <n v="4"/>
    <n v="84.75"/>
    <x v="4"/>
    <n v="339"/>
    <n v="16.95"/>
    <n v="322.05"/>
    <n v="25.87"/>
    <n v="103.48"/>
    <n v="218.57"/>
    <n v="0.67868343424933997"/>
    <x v="0"/>
    <n v="1"/>
    <n v="4"/>
    <n v="0"/>
    <n v="4"/>
  </r>
  <r>
    <n v="10183"/>
    <d v="2025-07-02T00:00:00"/>
    <s v="02"/>
    <x v="6"/>
    <x v="0"/>
    <x v="166"/>
    <x v="2"/>
    <x v="1"/>
    <x v="3"/>
    <x v="3"/>
    <n v="3"/>
    <n v="193.29"/>
    <x v="4"/>
    <n v="579.87"/>
    <n v="28.993500000000001"/>
    <n v="550.87649999999996"/>
    <n v="74.03"/>
    <n v="222.09"/>
    <n v="328.78649999999902"/>
    <n v="0.59684248647382798"/>
    <x v="0"/>
    <n v="1"/>
    <n v="3"/>
    <n v="0"/>
    <n v="3"/>
  </r>
  <r>
    <n v="10184"/>
    <d v="2025-07-03T00:00:00"/>
    <s v="03"/>
    <x v="6"/>
    <x v="0"/>
    <x v="167"/>
    <x v="3"/>
    <x v="1"/>
    <x v="3"/>
    <x v="3"/>
    <n v="3"/>
    <n v="246.74"/>
    <x v="3"/>
    <n v="740.22"/>
    <n v="74.022000000000006"/>
    <n v="666.19799999999998"/>
    <n v="53.01"/>
    <n v="159.03"/>
    <n v="507.16800000000001"/>
    <n v="0.76128718489097802"/>
    <x v="0"/>
    <n v="1"/>
    <n v="3"/>
    <n v="0"/>
    <n v="3"/>
  </r>
  <r>
    <n v="10185"/>
    <d v="2025-07-04T00:00:00"/>
    <s v="04"/>
    <x v="6"/>
    <x v="0"/>
    <x v="168"/>
    <x v="0"/>
    <x v="0"/>
    <x v="2"/>
    <x v="2"/>
    <n v="8"/>
    <n v="209.82"/>
    <x v="4"/>
    <n v="1678.56"/>
    <n v="83.927999999999997"/>
    <n v="1594.6320000000001"/>
    <n v="75.11"/>
    <n v="600.88"/>
    <n v="993.75199999999995"/>
    <n v="0.62318578831981297"/>
    <x v="0"/>
    <n v="1"/>
    <n v="8"/>
    <n v="0"/>
    <n v="8"/>
  </r>
  <r>
    <n v="10186"/>
    <d v="2025-07-05T00:00:00"/>
    <s v="05"/>
    <x v="6"/>
    <x v="0"/>
    <x v="169"/>
    <x v="3"/>
    <x v="1"/>
    <x v="2"/>
    <x v="2"/>
    <n v="3"/>
    <n v="200.65"/>
    <x v="4"/>
    <n v="601.95000000000005"/>
    <n v="30.0975"/>
    <n v="571.85249999999996"/>
    <n v="62.04"/>
    <n v="186.12"/>
    <n v="385.73250000000002"/>
    <n v="0.67453145697535599"/>
    <x v="0"/>
    <n v="1"/>
    <n v="3"/>
    <n v="0"/>
    <n v="3"/>
  </r>
  <r>
    <n v="10187"/>
    <d v="2025-07-06T00:00:00"/>
    <s v="06"/>
    <x v="6"/>
    <x v="0"/>
    <x v="170"/>
    <x v="2"/>
    <x v="0"/>
    <x v="1"/>
    <x v="1"/>
    <n v="7"/>
    <n v="137.76"/>
    <x v="4"/>
    <n v="964.31999999999903"/>
    <n v="48.216000000000001"/>
    <n v="916.10399999999902"/>
    <n v="15.57"/>
    <n v="108.99"/>
    <n v="807.11399999999901"/>
    <n v="0.88102879149092206"/>
    <x v="0"/>
    <n v="1"/>
    <n v="7"/>
    <n v="0"/>
    <n v="7"/>
  </r>
  <r>
    <n v="10188"/>
    <d v="2025-07-07T00:00:00"/>
    <s v="07"/>
    <x v="6"/>
    <x v="0"/>
    <x v="171"/>
    <x v="0"/>
    <x v="1"/>
    <x v="3"/>
    <x v="5"/>
    <n v="5"/>
    <n v="194.53"/>
    <x v="2"/>
    <n v="972.65"/>
    <n v="0"/>
    <n v="972.65"/>
    <n v="119.54"/>
    <n v="597.70000000000005"/>
    <n v="374.94999999999902"/>
    <n v="0.38549324011720498"/>
    <x v="0"/>
    <n v="1"/>
    <n v="5"/>
    <n v="0"/>
    <n v="5"/>
  </r>
  <r>
    <n v="10189"/>
    <d v="2025-07-08T00:00:00"/>
    <s v="08"/>
    <x v="6"/>
    <x v="0"/>
    <x v="172"/>
    <x v="1"/>
    <x v="0"/>
    <x v="0"/>
    <x v="0"/>
    <n v="2"/>
    <n v="248.8"/>
    <x v="1"/>
    <n v="497.6"/>
    <n v="99.52"/>
    <n v="398.08"/>
    <n v="80.69"/>
    <n v="161.38"/>
    <n v="236.7"/>
    <n v="0.59460409967845596"/>
    <x v="0"/>
    <n v="1"/>
    <n v="2"/>
    <n v="0"/>
    <n v="2"/>
  </r>
  <r>
    <n v="10190"/>
    <d v="2025-07-09T00:00:00"/>
    <s v="09"/>
    <x v="6"/>
    <x v="0"/>
    <x v="173"/>
    <x v="1"/>
    <x v="0"/>
    <x v="2"/>
    <x v="2"/>
    <n v="1"/>
    <n v="77.180000000000007"/>
    <x v="2"/>
    <n v="77.180000000000007"/>
    <n v="0"/>
    <n v="77.180000000000007"/>
    <n v="131.83000000000001"/>
    <n v="131.83000000000001"/>
    <n v="-54.65"/>
    <n v="-0.70808499611298203"/>
    <x v="1"/>
    <n v="0"/>
    <n v="0"/>
    <n v="1"/>
    <n v="1"/>
  </r>
  <r>
    <n v="10191"/>
    <d v="2025-07-10T00:00:00"/>
    <s v="10"/>
    <x v="6"/>
    <x v="0"/>
    <x v="174"/>
    <x v="1"/>
    <x v="1"/>
    <x v="1"/>
    <x v="6"/>
    <n v="4"/>
    <n v="217.78"/>
    <x v="3"/>
    <n v="871.12"/>
    <n v="87.111999999999995"/>
    <n v="784.00800000000004"/>
    <n v="11.26"/>
    <n v="45.04"/>
    <n v="738.96799999999996"/>
    <n v="0.94255160661625892"/>
    <x v="0"/>
    <n v="1"/>
    <n v="4"/>
    <n v="0"/>
    <n v="4"/>
  </r>
  <r>
    <n v="10192"/>
    <d v="2025-07-11T00:00:00"/>
    <s v="11"/>
    <x v="6"/>
    <x v="0"/>
    <x v="76"/>
    <x v="0"/>
    <x v="1"/>
    <x v="3"/>
    <x v="5"/>
    <n v="5"/>
    <n v="62.44"/>
    <x v="0"/>
    <n v="312.2"/>
    <n v="46.83"/>
    <n v="265.37"/>
    <n v="18.98"/>
    <n v="94.9"/>
    <n v="170.47"/>
    <n v="0.64238610242303196"/>
    <x v="0"/>
    <n v="1"/>
    <n v="5"/>
    <n v="0"/>
    <n v="5"/>
  </r>
  <r>
    <n v="10193"/>
    <d v="2025-07-12T00:00:00"/>
    <s v="12"/>
    <x v="6"/>
    <x v="0"/>
    <x v="118"/>
    <x v="1"/>
    <x v="0"/>
    <x v="1"/>
    <x v="1"/>
    <n v="8"/>
    <n v="82.37"/>
    <x v="4"/>
    <n v="658.96"/>
    <n v="32.948"/>
    <n v="626.01199999999994"/>
    <n v="23.28"/>
    <n v="186.24"/>
    <n v="439.77199999999999"/>
    <n v="0.70249771569873998"/>
    <x v="0"/>
    <n v="1"/>
    <n v="8"/>
    <n v="0"/>
    <n v="8"/>
  </r>
  <r>
    <n v="10194"/>
    <d v="2025-07-13T00:00:00"/>
    <s v="13"/>
    <x v="6"/>
    <x v="0"/>
    <x v="175"/>
    <x v="2"/>
    <x v="0"/>
    <x v="1"/>
    <x v="1"/>
    <n v="5"/>
    <n v="142.05000000000001"/>
    <x v="4"/>
    <n v="710.25"/>
    <n v="35.512500000000003"/>
    <n v="674.73749999999995"/>
    <n v="131.16999999999999"/>
    <n v="655.849999999999"/>
    <n v="18.887499999999999"/>
    <n v="2.79923674021379E-2"/>
    <x v="0"/>
    <n v="1"/>
    <n v="5"/>
    <n v="0"/>
    <n v="5"/>
  </r>
  <r>
    <n v="10195"/>
    <d v="2025-07-14T00:00:00"/>
    <s v="14"/>
    <x v="6"/>
    <x v="0"/>
    <x v="176"/>
    <x v="3"/>
    <x v="1"/>
    <x v="1"/>
    <x v="1"/>
    <n v="4"/>
    <n v="107.22"/>
    <x v="4"/>
    <n v="428.88"/>
    <n v="21.443999999999999"/>
    <n v="407.43599999999998"/>
    <n v="78.489999999999995"/>
    <n v="313.95999999999998"/>
    <n v="93.475999999999999"/>
    <n v="0.22942498944619502"/>
    <x v="0"/>
    <n v="1"/>
    <n v="4"/>
    <n v="0"/>
    <n v="4"/>
  </r>
  <r>
    <n v="10196"/>
    <d v="2025-07-15T00:00:00"/>
    <s v="15"/>
    <x v="6"/>
    <x v="0"/>
    <x v="177"/>
    <x v="2"/>
    <x v="1"/>
    <x v="0"/>
    <x v="0"/>
    <n v="4"/>
    <n v="144.21"/>
    <x v="0"/>
    <n v="576.84"/>
    <n v="86.525999999999996"/>
    <n v="490.31400000000002"/>
    <n v="113.83"/>
    <n v="455.32"/>
    <n v="34.994"/>
    <n v="7.1370591090607297E-2"/>
    <x v="0"/>
    <n v="1"/>
    <n v="4"/>
    <n v="0"/>
    <n v="4"/>
  </r>
  <r>
    <n v="10197"/>
    <d v="2025-07-16T00:00:00"/>
    <s v="16"/>
    <x v="6"/>
    <x v="0"/>
    <x v="178"/>
    <x v="3"/>
    <x v="0"/>
    <x v="1"/>
    <x v="1"/>
    <n v="8"/>
    <n v="248.83"/>
    <x v="2"/>
    <n v="1990.64"/>
    <n v="0"/>
    <n v="1990.64"/>
    <n v="16.190000000000001"/>
    <n v="129.52000000000001"/>
    <n v="1861.12"/>
    <n v="0.93493549813125398"/>
    <x v="0"/>
    <n v="1"/>
    <n v="8"/>
    <n v="0"/>
    <n v="8"/>
  </r>
  <r>
    <n v="10198"/>
    <d v="2025-07-17T00:00:00"/>
    <s v="17"/>
    <x v="6"/>
    <x v="0"/>
    <x v="179"/>
    <x v="2"/>
    <x v="0"/>
    <x v="3"/>
    <x v="4"/>
    <n v="1"/>
    <n v="121.39"/>
    <x v="1"/>
    <n v="121.39"/>
    <n v="24.277999999999999"/>
    <n v="97.111999999999995"/>
    <n v="113.19"/>
    <n v="113.19"/>
    <n v="-16.077999999999999"/>
    <n v="-0.165561413625504"/>
    <x v="1"/>
    <n v="0"/>
    <n v="0"/>
    <n v="1"/>
    <n v="1"/>
  </r>
  <r>
    <n v="10199"/>
    <d v="2025-07-18T00:00:00"/>
    <s v="18"/>
    <x v="6"/>
    <x v="0"/>
    <x v="180"/>
    <x v="2"/>
    <x v="0"/>
    <x v="2"/>
    <x v="2"/>
    <n v="1"/>
    <n v="121.62"/>
    <x v="3"/>
    <n v="121.62"/>
    <n v="12.162000000000001"/>
    <n v="109.458"/>
    <n v="16.239999999999998"/>
    <n v="16.239999999999998"/>
    <n v="93.218000000000004"/>
    <n v="0.85163258966909594"/>
    <x v="0"/>
    <n v="1"/>
    <n v="1"/>
    <n v="0"/>
    <n v="1"/>
  </r>
  <r>
    <n v="10200"/>
    <d v="2025-07-19T00:00:00"/>
    <s v="19"/>
    <x v="6"/>
    <x v="0"/>
    <x v="181"/>
    <x v="2"/>
    <x v="0"/>
    <x v="1"/>
    <x v="1"/>
    <n v="7"/>
    <n v="228.09"/>
    <x v="0"/>
    <n v="1596.63"/>
    <n v="239.49449999999999"/>
    <n v="1357.1355000000001"/>
    <n v="137"/>
    <n v="959"/>
    <n v="398.13549999999998"/>
    <n v="0.29336459034488399"/>
    <x v="0"/>
    <n v="1"/>
    <n v="7"/>
    <n v="0"/>
    <n v="7"/>
  </r>
  <r>
    <n v="10201"/>
    <d v="2025-07-20T00:00:00"/>
    <s v="20"/>
    <x v="6"/>
    <x v="0"/>
    <x v="182"/>
    <x v="2"/>
    <x v="1"/>
    <x v="3"/>
    <x v="4"/>
    <n v="5"/>
    <n v="158.68"/>
    <x v="0"/>
    <n v="793.4"/>
    <n v="119.01"/>
    <n v="674.39"/>
    <n v="79.260000000000005"/>
    <n v="396.3"/>
    <n v="278.08999999999997"/>
    <n v="0.41235783448746199"/>
    <x v="0"/>
    <n v="1"/>
    <n v="5"/>
    <n v="0"/>
    <n v="5"/>
  </r>
  <r>
    <n v="10202"/>
    <d v="2025-07-21T00:00:00"/>
    <s v="21"/>
    <x v="6"/>
    <x v="0"/>
    <x v="183"/>
    <x v="0"/>
    <x v="0"/>
    <x v="1"/>
    <x v="6"/>
    <n v="4"/>
    <n v="91.19"/>
    <x v="1"/>
    <n v="364.76"/>
    <n v="72.951999999999998"/>
    <n v="291.80799999999999"/>
    <n v="144.11000000000001"/>
    <n v="576.44000000000005"/>
    <n v="-284.63200000000001"/>
    <n v="-0.975408487772782"/>
    <x v="1"/>
    <n v="0"/>
    <n v="0"/>
    <n v="4"/>
    <n v="4"/>
  </r>
  <r>
    <n v="10203"/>
    <d v="2025-07-22T00:00:00"/>
    <s v="22"/>
    <x v="6"/>
    <x v="0"/>
    <x v="184"/>
    <x v="1"/>
    <x v="1"/>
    <x v="0"/>
    <x v="0"/>
    <n v="5"/>
    <n v="209.99"/>
    <x v="0"/>
    <n v="1049.95"/>
    <n v="157.49250000000001"/>
    <n v="892.45749999999998"/>
    <n v="97.09"/>
    <n v="485.45"/>
    <n v="407.00749999999903"/>
    <n v="0.45605252911203004"/>
    <x v="0"/>
    <n v="1"/>
    <n v="5"/>
    <n v="0"/>
    <n v="5"/>
  </r>
  <r>
    <n v="10204"/>
    <d v="2025-07-23T00:00:00"/>
    <s v="23"/>
    <x v="6"/>
    <x v="0"/>
    <x v="185"/>
    <x v="3"/>
    <x v="1"/>
    <x v="0"/>
    <x v="0"/>
    <n v="9"/>
    <n v="202.26"/>
    <x v="2"/>
    <n v="1820.34"/>
    <n v="0"/>
    <n v="1820.34"/>
    <n v="92.24"/>
    <n v="830.16"/>
    <n v="990.18"/>
    <n v="0.54395332740037505"/>
    <x v="0"/>
    <n v="1"/>
    <n v="9"/>
    <n v="0"/>
    <n v="9"/>
  </r>
  <r>
    <n v="10205"/>
    <d v="2025-07-24T00:00:00"/>
    <s v="24"/>
    <x v="6"/>
    <x v="0"/>
    <x v="186"/>
    <x v="1"/>
    <x v="0"/>
    <x v="3"/>
    <x v="4"/>
    <n v="4"/>
    <n v="189.58"/>
    <x v="1"/>
    <n v="758.32"/>
    <n v="151.66399999999999"/>
    <n v="606.65599999999995"/>
    <n v="29.18"/>
    <n v="116.72"/>
    <n v="489.93599999999998"/>
    <n v="0.80760101276505902"/>
    <x v="0"/>
    <n v="1"/>
    <n v="4"/>
    <n v="0"/>
    <n v="4"/>
  </r>
  <r>
    <n v="10206"/>
    <d v="2025-07-25T00:00:00"/>
    <s v="25"/>
    <x v="6"/>
    <x v="0"/>
    <x v="35"/>
    <x v="3"/>
    <x v="0"/>
    <x v="0"/>
    <x v="0"/>
    <n v="9"/>
    <n v="79.34"/>
    <x v="3"/>
    <n v="714.06"/>
    <n v="71.406000000000006"/>
    <n v="642.654"/>
    <n v="96.65"/>
    <n v="869.85"/>
    <n v="-227.196"/>
    <n v="-0.35352771475786299"/>
    <x v="1"/>
    <n v="0"/>
    <n v="0"/>
    <n v="9"/>
    <n v="9"/>
  </r>
  <r>
    <n v="10207"/>
    <d v="2025-07-26T00:00:00"/>
    <s v="26"/>
    <x v="6"/>
    <x v="0"/>
    <x v="187"/>
    <x v="2"/>
    <x v="1"/>
    <x v="0"/>
    <x v="0"/>
    <n v="4"/>
    <n v="52.03"/>
    <x v="1"/>
    <n v="208.12"/>
    <n v="41.624000000000002"/>
    <n v="166.49600000000001"/>
    <n v="114.32"/>
    <n v="457.28"/>
    <n v="-290.78399999999999"/>
    <n v="-1.74649240822602"/>
    <x v="1"/>
    <n v="0"/>
    <n v="0"/>
    <n v="4"/>
    <n v="4"/>
  </r>
  <r>
    <n v="10208"/>
    <d v="2025-07-27T00:00:00"/>
    <s v="27"/>
    <x v="6"/>
    <x v="0"/>
    <x v="188"/>
    <x v="0"/>
    <x v="0"/>
    <x v="3"/>
    <x v="4"/>
    <n v="3"/>
    <n v="142.15"/>
    <x v="1"/>
    <n v="426.45"/>
    <n v="85.29"/>
    <n v="341.16"/>
    <n v="93.5"/>
    <n v="280.5"/>
    <n v="60.66"/>
    <n v="0.17780513542033"/>
    <x v="0"/>
    <n v="1"/>
    <n v="3"/>
    <n v="0"/>
    <n v="3"/>
  </r>
  <r>
    <n v="10209"/>
    <d v="2025-07-28T00:00:00"/>
    <s v="28"/>
    <x v="6"/>
    <x v="0"/>
    <x v="37"/>
    <x v="2"/>
    <x v="0"/>
    <x v="2"/>
    <x v="2"/>
    <n v="2"/>
    <n v="23.36"/>
    <x v="0"/>
    <n v="46.72"/>
    <n v="7.008"/>
    <n v="39.711999999999897"/>
    <n v="104.95"/>
    <n v="209.9"/>
    <n v="-170.18799999999999"/>
    <n v="-4.2855560032232001"/>
    <x v="1"/>
    <n v="0"/>
    <n v="0"/>
    <n v="2"/>
    <n v="2"/>
  </r>
  <r>
    <n v="10210"/>
    <d v="2025-07-29T00:00:00"/>
    <s v="29"/>
    <x v="6"/>
    <x v="0"/>
    <x v="189"/>
    <x v="1"/>
    <x v="0"/>
    <x v="3"/>
    <x v="3"/>
    <n v="7"/>
    <n v="164.31"/>
    <x v="0"/>
    <n v="1150.17"/>
    <n v="172.52549999999999"/>
    <n v="977.64449999999999"/>
    <n v="133.19999999999999"/>
    <n v="932.39999999999895"/>
    <n v="45.244500000000201"/>
    <n v="4.6279092246721804E-2"/>
    <x v="0"/>
    <n v="1"/>
    <n v="7"/>
    <n v="0"/>
    <n v="7"/>
  </r>
  <r>
    <n v="10211"/>
    <d v="2025-07-30T00:00:00"/>
    <s v="30"/>
    <x v="6"/>
    <x v="0"/>
    <x v="131"/>
    <x v="0"/>
    <x v="1"/>
    <x v="0"/>
    <x v="0"/>
    <n v="8"/>
    <n v="114.72"/>
    <x v="0"/>
    <n v="917.76"/>
    <n v="137.66399999999999"/>
    <n v="780.096"/>
    <n v="106.02"/>
    <n v="848.16"/>
    <n v="-68.063999999999893"/>
    <n v="-8.7250799901550505E-2"/>
    <x v="1"/>
    <n v="0"/>
    <n v="0"/>
    <n v="8"/>
    <n v="8"/>
  </r>
  <r>
    <n v="10212"/>
    <d v="2025-07-31T00:00:00"/>
    <s v="31"/>
    <x v="6"/>
    <x v="0"/>
    <x v="190"/>
    <x v="0"/>
    <x v="1"/>
    <x v="3"/>
    <x v="5"/>
    <n v="7"/>
    <n v="180.49"/>
    <x v="2"/>
    <n v="1263.43"/>
    <n v="0"/>
    <n v="1263.43"/>
    <n v="98.18"/>
    <n v="687.26"/>
    <n v="576.16999999999996"/>
    <n v="0.45603634550390604"/>
    <x v="0"/>
    <n v="1"/>
    <n v="7"/>
    <n v="0"/>
    <n v="7"/>
  </r>
  <r>
    <n v="10213"/>
    <d v="2025-08-01T00:00:00"/>
    <s v="01"/>
    <x v="7"/>
    <x v="0"/>
    <x v="191"/>
    <x v="1"/>
    <x v="0"/>
    <x v="1"/>
    <x v="1"/>
    <n v="3"/>
    <n v="172.73"/>
    <x v="1"/>
    <n v="518.18999999999903"/>
    <n v="103.637999999999"/>
    <n v="414.551999999999"/>
    <n v="81.489999999999995"/>
    <n v="244.469999999999"/>
    <n v="170.08199999999999"/>
    <n v="0.410279048225554"/>
    <x v="0"/>
    <n v="1"/>
    <n v="3"/>
    <n v="0"/>
    <n v="3"/>
  </r>
  <r>
    <n v="10214"/>
    <d v="2025-08-02T00:00:00"/>
    <s v="02"/>
    <x v="7"/>
    <x v="0"/>
    <x v="192"/>
    <x v="1"/>
    <x v="0"/>
    <x v="0"/>
    <x v="0"/>
    <n v="5"/>
    <n v="82.92"/>
    <x v="0"/>
    <n v="414.6"/>
    <n v="62.19"/>
    <n v="352.41"/>
    <n v="71.03"/>
    <n v="355.15"/>
    <n v="-2.73999999999995"/>
    <n v="-7.7750347606479701E-3"/>
    <x v="1"/>
    <n v="0"/>
    <n v="0"/>
    <n v="5"/>
    <n v="5"/>
  </r>
  <r>
    <n v="10215"/>
    <d v="2025-08-03T00:00:00"/>
    <s v="03"/>
    <x v="7"/>
    <x v="0"/>
    <x v="193"/>
    <x v="0"/>
    <x v="1"/>
    <x v="3"/>
    <x v="5"/>
    <n v="2"/>
    <n v="39.01"/>
    <x v="1"/>
    <n v="78.02"/>
    <n v="15.603999999999999"/>
    <n v="62.415999999999997"/>
    <n v="108.35"/>
    <n v="216.7"/>
    <n v="-154.28399999999999"/>
    <n v="-2.4718661881568802"/>
    <x v="1"/>
    <n v="0"/>
    <n v="0"/>
    <n v="2"/>
    <n v="2"/>
  </r>
  <r>
    <n v="10216"/>
    <d v="2025-08-04T00:00:00"/>
    <s v="04"/>
    <x v="7"/>
    <x v="0"/>
    <x v="183"/>
    <x v="3"/>
    <x v="1"/>
    <x v="3"/>
    <x v="5"/>
    <n v="6"/>
    <n v="242.98"/>
    <x v="2"/>
    <n v="1457.8799999999901"/>
    <n v="0"/>
    <n v="1457.8799999999901"/>
    <n v="125.07"/>
    <n v="750.42"/>
    <n v="707.45999999999901"/>
    <n v="0.48526627705983999"/>
    <x v="0"/>
    <n v="1"/>
    <n v="6"/>
    <n v="0"/>
    <n v="6"/>
  </r>
  <r>
    <n v="10217"/>
    <d v="2025-08-05T00:00:00"/>
    <s v="05"/>
    <x v="7"/>
    <x v="0"/>
    <x v="194"/>
    <x v="0"/>
    <x v="0"/>
    <x v="1"/>
    <x v="1"/>
    <n v="9"/>
    <n v="13.57"/>
    <x v="4"/>
    <n v="122.13"/>
    <n v="6.1064999999999996"/>
    <n v="116.0235"/>
    <n v="110.63"/>
    <n v="995.67"/>
    <n v="-879.64649999999995"/>
    <n v="-7.58162355040142"/>
    <x v="1"/>
    <n v="0"/>
    <n v="0"/>
    <n v="9"/>
    <n v="9"/>
  </r>
  <r>
    <n v="10218"/>
    <d v="2025-08-06T00:00:00"/>
    <s v="06"/>
    <x v="7"/>
    <x v="0"/>
    <x v="195"/>
    <x v="3"/>
    <x v="1"/>
    <x v="3"/>
    <x v="3"/>
    <n v="9"/>
    <n v="103.4"/>
    <x v="3"/>
    <n v="930.6"/>
    <n v="93.06"/>
    <n v="837.54"/>
    <n v="19.52"/>
    <n v="175.68"/>
    <n v="661.85999999999899"/>
    <n v="0.79024285407264105"/>
    <x v="0"/>
    <n v="1"/>
    <n v="9"/>
    <n v="0"/>
    <n v="9"/>
  </r>
  <r>
    <n v="10219"/>
    <d v="2025-08-07T00:00:00"/>
    <s v="07"/>
    <x v="7"/>
    <x v="0"/>
    <x v="196"/>
    <x v="3"/>
    <x v="1"/>
    <x v="3"/>
    <x v="5"/>
    <n v="6"/>
    <n v="137.47"/>
    <x v="1"/>
    <n v="824.81999999999903"/>
    <n v="164.964"/>
    <n v="659.85599999999999"/>
    <n v="42.16"/>
    <n v="252.95999999999901"/>
    <n v="406.89600000000002"/>
    <n v="0.61664363133774602"/>
    <x v="0"/>
    <n v="1"/>
    <n v="6"/>
    <n v="0"/>
    <n v="6"/>
  </r>
  <r>
    <n v="10220"/>
    <d v="2025-08-08T00:00:00"/>
    <s v="08"/>
    <x v="7"/>
    <x v="0"/>
    <x v="114"/>
    <x v="1"/>
    <x v="1"/>
    <x v="3"/>
    <x v="5"/>
    <n v="9"/>
    <n v="126.72"/>
    <x v="0"/>
    <n v="1140.48"/>
    <n v="171.072"/>
    <n v="969.40800000000002"/>
    <n v="94"/>
    <n v="846"/>
    <n v="123.408"/>
    <n v="0.12730243612596501"/>
    <x v="0"/>
    <n v="1"/>
    <n v="9"/>
    <n v="0"/>
    <n v="9"/>
  </r>
  <r>
    <n v="10221"/>
    <d v="2025-08-09T00:00:00"/>
    <s v="09"/>
    <x v="7"/>
    <x v="0"/>
    <x v="119"/>
    <x v="3"/>
    <x v="0"/>
    <x v="3"/>
    <x v="3"/>
    <n v="3"/>
    <n v="193.23"/>
    <x v="4"/>
    <n v="579.68999999999903"/>
    <n v="28.984499999999901"/>
    <n v="550.70549999999901"/>
    <n v="87.26"/>
    <n v="261.77999999999997"/>
    <n v="288.92549999999898"/>
    <n v="0.52464611303137498"/>
    <x v="0"/>
    <n v="1"/>
    <n v="3"/>
    <n v="0"/>
    <n v="3"/>
  </r>
  <r>
    <n v="10222"/>
    <d v="2025-08-10T00:00:00"/>
    <s v="10"/>
    <x v="7"/>
    <x v="0"/>
    <x v="197"/>
    <x v="1"/>
    <x v="0"/>
    <x v="3"/>
    <x v="3"/>
    <n v="4"/>
    <n v="233.69"/>
    <x v="1"/>
    <n v="934.76"/>
    <n v="186.952"/>
    <n v="747.80799999999999"/>
    <n v="138.05000000000001"/>
    <n v="552.20000000000005"/>
    <n v="195.60799999999901"/>
    <n v="0.26157516367837702"/>
    <x v="0"/>
    <n v="1"/>
    <n v="4"/>
    <n v="0"/>
    <n v="4"/>
  </r>
  <r>
    <n v="10223"/>
    <d v="2025-08-11T00:00:00"/>
    <s v="11"/>
    <x v="7"/>
    <x v="0"/>
    <x v="198"/>
    <x v="0"/>
    <x v="1"/>
    <x v="2"/>
    <x v="2"/>
    <n v="5"/>
    <n v="199.67"/>
    <x v="3"/>
    <n v="998.349999999999"/>
    <n v="99.834999999999994"/>
    <n v="898.51499999999896"/>
    <n v="147.58000000000001"/>
    <n v="737.9"/>
    <n v="160.61499999999899"/>
    <n v="0.17875605860781299"/>
    <x v="0"/>
    <n v="1"/>
    <n v="5"/>
    <n v="0"/>
    <n v="5"/>
  </r>
  <r>
    <n v="10224"/>
    <d v="2025-08-12T00:00:00"/>
    <s v="12"/>
    <x v="7"/>
    <x v="0"/>
    <x v="199"/>
    <x v="2"/>
    <x v="0"/>
    <x v="2"/>
    <x v="2"/>
    <n v="8"/>
    <n v="196.38"/>
    <x v="2"/>
    <n v="1571.04"/>
    <n v="0"/>
    <n v="1571.04"/>
    <n v="134.88999999999999"/>
    <n v="1079.1199999999999"/>
    <n v="491.92"/>
    <n v="0.31311742539973503"/>
    <x v="0"/>
    <n v="1"/>
    <n v="8"/>
    <n v="0"/>
    <n v="8"/>
  </r>
  <r>
    <n v="10225"/>
    <d v="2025-08-13T00:00:00"/>
    <s v="13"/>
    <x v="7"/>
    <x v="0"/>
    <x v="200"/>
    <x v="1"/>
    <x v="0"/>
    <x v="3"/>
    <x v="4"/>
    <n v="5"/>
    <n v="101.4"/>
    <x v="3"/>
    <n v="507"/>
    <n v="50.7"/>
    <n v="456.3"/>
    <n v="92.84"/>
    <n v="464.2"/>
    <n v="-7.9000000000000297"/>
    <n v="-1.7313171159325E-2"/>
    <x v="1"/>
    <n v="0"/>
    <n v="0"/>
    <n v="5"/>
    <n v="5"/>
  </r>
  <r>
    <n v="10226"/>
    <d v="2025-08-14T00:00:00"/>
    <s v="14"/>
    <x v="7"/>
    <x v="0"/>
    <x v="59"/>
    <x v="2"/>
    <x v="0"/>
    <x v="0"/>
    <x v="0"/>
    <n v="7"/>
    <n v="217"/>
    <x v="0"/>
    <n v="1519"/>
    <n v="227.85"/>
    <n v="1291.1500000000001"/>
    <n v="109.32"/>
    <n v="765.24"/>
    <n v="525.91"/>
    <n v="0.40731905665492002"/>
    <x v="0"/>
    <n v="1"/>
    <n v="7"/>
    <n v="0"/>
    <n v="7"/>
  </r>
  <r>
    <n v="10227"/>
    <d v="2025-08-15T00:00:00"/>
    <s v="15"/>
    <x v="7"/>
    <x v="0"/>
    <x v="201"/>
    <x v="0"/>
    <x v="1"/>
    <x v="0"/>
    <x v="0"/>
    <n v="6"/>
    <n v="187.55"/>
    <x v="3"/>
    <n v="1125.3"/>
    <n v="112.53"/>
    <n v="1012.77"/>
    <n v="128.06"/>
    <n v="768.36"/>
    <n v="244.41"/>
    <n v="0.24132823839568701"/>
    <x v="0"/>
    <n v="1"/>
    <n v="6"/>
    <n v="0"/>
    <n v="6"/>
  </r>
  <r>
    <n v="10228"/>
    <d v="2025-08-16T00:00:00"/>
    <s v="16"/>
    <x v="7"/>
    <x v="0"/>
    <x v="116"/>
    <x v="2"/>
    <x v="1"/>
    <x v="0"/>
    <x v="0"/>
    <n v="5"/>
    <n v="86.37"/>
    <x v="2"/>
    <n v="431.85"/>
    <n v="0"/>
    <n v="431.85"/>
    <n v="26.21"/>
    <n v="131.05000000000001"/>
    <n v="300.8"/>
    <n v="0.69653814982053897"/>
    <x v="0"/>
    <n v="1"/>
    <n v="5"/>
    <n v="0"/>
    <n v="5"/>
  </r>
  <r>
    <n v="10229"/>
    <d v="2025-08-17T00:00:00"/>
    <s v="17"/>
    <x v="7"/>
    <x v="0"/>
    <x v="202"/>
    <x v="0"/>
    <x v="1"/>
    <x v="3"/>
    <x v="3"/>
    <n v="5"/>
    <n v="31.14"/>
    <x v="1"/>
    <n v="155.69999999999999"/>
    <n v="31.14"/>
    <n v="124.55999999999899"/>
    <n v="50.35"/>
    <n v="251.75"/>
    <n v="-127.19"/>
    <n v="-1.0211143224149"/>
    <x v="1"/>
    <n v="0"/>
    <n v="0"/>
    <n v="5"/>
    <n v="5"/>
  </r>
  <r>
    <n v="10230"/>
    <d v="2025-08-18T00:00:00"/>
    <s v="18"/>
    <x v="7"/>
    <x v="0"/>
    <x v="203"/>
    <x v="3"/>
    <x v="1"/>
    <x v="2"/>
    <x v="2"/>
    <n v="5"/>
    <n v="101.81"/>
    <x v="1"/>
    <n v="509.05"/>
    <n v="101.81"/>
    <n v="407.24"/>
    <n v="8.6300000000000008"/>
    <n v="43.15"/>
    <n v="364.09"/>
    <n v="0.89404282486985498"/>
    <x v="0"/>
    <n v="1"/>
    <n v="5"/>
    <n v="0"/>
    <n v="5"/>
  </r>
  <r>
    <n v="10231"/>
    <d v="2025-08-19T00:00:00"/>
    <s v="19"/>
    <x v="7"/>
    <x v="0"/>
    <x v="204"/>
    <x v="1"/>
    <x v="0"/>
    <x v="1"/>
    <x v="1"/>
    <n v="5"/>
    <n v="155.32"/>
    <x v="4"/>
    <n v="776.599999999999"/>
    <n v="38.83"/>
    <n v="737.76999999999896"/>
    <n v="95.48"/>
    <n v="477.4"/>
    <n v="260.36999999999898"/>
    <n v="0.35291486506634795"/>
    <x v="0"/>
    <n v="1"/>
    <n v="5"/>
    <n v="0"/>
    <n v="5"/>
  </r>
  <r>
    <n v="10232"/>
    <d v="2025-08-20T00:00:00"/>
    <s v="20"/>
    <x v="7"/>
    <x v="0"/>
    <x v="205"/>
    <x v="1"/>
    <x v="0"/>
    <x v="1"/>
    <x v="6"/>
    <n v="4"/>
    <n v="52.23"/>
    <x v="2"/>
    <n v="208.92"/>
    <n v="0"/>
    <n v="208.92"/>
    <n v="138.30000000000001"/>
    <n v="553.20000000000005"/>
    <n v="-344.28"/>
    <n v="-1.6479035037334799"/>
    <x v="1"/>
    <n v="0"/>
    <n v="0"/>
    <n v="4"/>
    <n v="4"/>
  </r>
  <r>
    <n v="10233"/>
    <d v="2025-08-21T00:00:00"/>
    <s v="21"/>
    <x v="7"/>
    <x v="0"/>
    <x v="206"/>
    <x v="0"/>
    <x v="1"/>
    <x v="0"/>
    <x v="0"/>
    <n v="6"/>
    <n v="197.45"/>
    <x v="3"/>
    <n v="1184.69999999999"/>
    <n v="118.469999999999"/>
    <n v="1066.22999999999"/>
    <n v="5.69"/>
    <n v="34.14"/>
    <n v="1032.0899999999899"/>
    <n v="0.96798064207534906"/>
    <x v="0"/>
    <n v="1"/>
    <n v="6"/>
    <n v="0"/>
    <n v="6"/>
  </r>
  <r>
    <n v="10234"/>
    <d v="2025-08-22T00:00:00"/>
    <s v="22"/>
    <x v="7"/>
    <x v="0"/>
    <x v="207"/>
    <x v="2"/>
    <x v="0"/>
    <x v="1"/>
    <x v="1"/>
    <n v="7"/>
    <n v="192.7"/>
    <x v="3"/>
    <n v="1348.8999999999901"/>
    <n v="134.88999999999999"/>
    <n v="1214.00999999999"/>
    <n v="23.31"/>
    <n v="163.16999999999999"/>
    <n v="1050.8399999999899"/>
    <n v="0.865594187856772"/>
    <x v="0"/>
    <n v="1"/>
    <n v="7"/>
    <n v="0"/>
    <n v="7"/>
  </r>
  <r>
    <n v="10235"/>
    <d v="2025-08-23T00:00:00"/>
    <s v="23"/>
    <x v="7"/>
    <x v="0"/>
    <x v="208"/>
    <x v="0"/>
    <x v="1"/>
    <x v="3"/>
    <x v="5"/>
    <n v="7"/>
    <n v="160.15"/>
    <x v="2"/>
    <n v="1121.05"/>
    <n v="0"/>
    <n v="1121.05"/>
    <n v="34.01"/>
    <n v="238.07"/>
    <n v="882.98"/>
    <n v="0.78763659069622194"/>
    <x v="0"/>
    <n v="1"/>
    <n v="7"/>
    <n v="0"/>
    <n v="7"/>
  </r>
  <r>
    <n v="10236"/>
    <d v="2025-08-24T00:00:00"/>
    <s v="24"/>
    <x v="7"/>
    <x v="0"/>
    <x v="209"/>
    <x v="3"/>
    <x v="0"/>
    <x v="3"/>
    <x v="4"/>
    <n v="9"/>
    <n v="222.86"/>
    <x v="4"/>
    <n v="2005.74"/>
    <n v="100.28700000000001"/>
    <n v="1905.453"/>
    <n v="117.99"/>
    <n v="1061.9099999999901"/>
    <n v="843.54300000000001"/>
    <n v="0.44269945257112098"/>
    <x v="0"/>
    <n v="1"/>
    <n v="9"/>
    <n v="0"/>
    <n v="9"/>
  </r>
  <r>
    <n v="10237"/>
    <d v="2025-08-25T00:00:00"/>
    <s v="25"/>
    <x v="7"/>
    <x v="0"/>
    <x v="210"/>
    <x v="0"/>
    <x v="0"/>
    <x v="3"/>
    <x v="3"/>
    <n v="4"/>
    <n v="61.05"/>
    <x v="1"/>
    <n v="244.2"/>
    <n v="48.84"/>
    <n v="195.35999999999899"/>
    <n v="58.64"/>
    <n v="234.56"/>
    <n v="-39.200000000000003"/>
    <n v="-0.20065520065520001"/>
    <x v="1"/>
    <n v="0"/>
    <n v="0"/>
    <n v="4"/>
    <n v="4"/>
  </r>
  <r>
    <n v="10238"/>
    <d v="2025-08-26T00:00:00"/>
    <s v="26"/>
    <x v="7"/>
    <x v="0"/>
    <x v="175"/>
    <x v="0"/>
    <x v="0"/>
    <x v="3"/>
    <x v="4"/>
    <n v="7"/>
    <n v="72.91"/>
    <x v="2"/>
    <n v="510.37"/>
    <n v="0"/>
    <n v="510.37"/>
    <n v="33.72"/>
    <n v="236.04"/>
    <n v="274.33"/>
    <n v="0.53751200109724306"/>
    <x v="0"/>
    <n v="1"/>
    <n v="7"/>
    <n v="0"/>
    <n v="7"/>
  </r>
  <r>
    <n v="10239"/>
    <d v="2025-08-27T00:00:00"/>
    <s v="27"/>
    <x v="7"/>
    <x v="0"/>
    <x v="10"/>
    <x v="2"/>
    <x v="0"/>
    <x v="3"/>
    <x v="5"/>
    <n v="8"/>
    <n v="40.47"/>
    <x v="2"/>
    <n v="323.76"/>
    <n v="0"/>
    <n v="323.76"/>
    <n v="58.99"/>
    <n v="471.92"/>
    <n v="-148.16"/>
    <n v="-0.45762293056585102"/>
    <x v="1"/>
    <n v="0"/>
    <n v="0"/>
    <n v="8"/>
    <n v="8"/>
  </r>
  <r>
    <n v="10240"/>
    <d v="2025-08-28T00:00:00"/>
    <s v="28"/>
    <x v="7"/>
    <x v="0"/>
    <x v="208"/>
    <x v="2"/>
    <x v="1"/>
    <x v="0"/>
    <x v="0"/>
    <n v="8"/>
    <n v="136.13999999999999"/>
    <x v="3"/>
    <n v="1089.1199999999999"/>
    <n v="108.911999999999"/>
    <n v="980.20799999999895"/>
    <n v="42.16"/>
    <n v="337.28"/>
    <n v="642.92799999999897"/>
    <n v="0.65590976609046192"/>
    <x v="0"/>
    <n v="1"/>
    <n v="8"/>
    <n v="0"/>
    <n v="8"/>
  </r>
  <r>
    <n v="10241"/>
    <d v="2025-08-29T00:00:00"/>
    <s v="29"/>
    <x v="7"/>
    <x v="0"/>
    <x v="211"/>
    <x v="1"/>
    <x v="1"/>
    <x v="3"/>
    <x v="5"/>
    <n v="2"/>
    <n v="85.72"/>
    <x v="3"/>
    <n v="171.44"/>
    <n v="17.143999999999998"/>
    <n v="154.29599999999999"/>
    <n v="41.32"/>
    <n v="82.64"/>
    <n v="71.655999999999906"/>
    <n v="0.46440607663192801"/>
    <x v="0"/>
    <n v="1"/>
    <n v="2"/>
    <n v="0"/>
    <n v="2"/>
  </r>
  <r>
    <n v="10242"/>
    <d v="2025-08-30T00:00:00"/>
    <s v="30"/>
    <x v="7"/>
    <x v="0"/>
    <x v="212"/>
    <x v="3"/>
    <x v="0"/>
    <x v="1"/>
    <x v="1"/>
    <n v="5"/>
    <n v="67.180000000000007"/>
    <x v="3"/>
    <n v="335.9"/>
    <n v="33.590000000000003"/>
    <n v="302.31"/>
    <n v="87.05"/>
    <n v="435.25"/>
    <n v="-132.939999999999"/>
    <n v="-0.43974727928285501"/>
    <x v="1"/>
    <n v="0"/>
    <n v="0"/>
    <n v="5"/>
    <n v="5"/>
  </r>
  <r>
    <n v="10243"/>
    <d v="2025-08-31T00:00:00"/>
    <s v="31"/>
    <x v="7"/>
    <x v="0"/>
    <x v="213"/>
    <x v="3"/>
    <x v="0"/>
    <x v="1"/>
    <x v="1"/>
    <n v="3"/>
    <n v="26.95"/>
    <x v="0"/>
    <n v="80.849999999999994"/>
    <n v="12.1275"/>
    <n v="68.722499999999997"/>
    <n v="102.21"/>
    <n v="306.63"/>
    <n v="-237.9075"/>
    <n v="-3.46185747026083"/>
    <x v="1"/>
    <n v="0"/>
    <n v="0"/>
    <n v="3"/>
    <n v="3"/>
  </r>
  <r>
    <n v="10244"/>
    <d v="2025-09-01T00:00:00"/>
    <s v="01"/>
    <x v="8"/>
    <x v="0"/>
    <x v="43"/>
    <x v="3"/>
    <x v="1"/>
    <x v="3"/>
    <x v="5"/>
    <n v="3"/>
    <n v="248.27"/>
    <x v="0"/>
    <n v="744.81"/>
    <n v="111.72150000000001"/>
    <n v="633.08849999999995"/>
    <n v="41.16"/>
    <n v="123.479999999999"/>
    <n v="509.60849999999999"/>
    <n v="0.80495617911239803"/>
    <x v="0"/>
    <n v="1"/>
    <n v="3"/>
    <n v="0"/>
    <n v="3"/>
  </r>
  <r>
    <n v="10245"/>
    <d v="2025-09-02T00:00:00"/>
    <s v="02"/>
    <x v="8"/>
    <x v="0"/>
    <x v="214"/>
    <x v="0"/>
    <x v="1"/>
    <x v="0"/>
    <x v="0"/>
    <n v="1"/>
    <n v="205.98"/>
    <x v="2"/>
    <n v="205.98"/>
    <n v="0"/>
    <n v="205.98"/>
    <n v="84.74"/>
    <n v="84.74"/>
    <n v="121.24"/>
    <n v="0.58860083503252703"/>
    <x v="0"/>
    <n v="1"/>
    <n v="1"/>
    <n v="0"/>
    <n v="1"/>
  </r>
  <r>
    <n v="10246"/>
    <d v="2025-09-03T00:00:00"/>
    <s v="03"/>
    <x v="8"/>
    <x v="0"/>
    <x v="215"/>
    <x v="3"/>
    <x v="1"/>
    <x v="3"/>
    <x v="5"/>
    <n v="2"/>
    <n v="88.34"/>
    <x v="3"/>
    <n v="176.68"/>
    <n v="17.667999999999999"/>
    <n v="159.012"/>
    <n v="9.32"/>
    <n v="18.64"/>
    <n v="140.37200000000001"/>
    <n v="0.88277614268105498"/>
    <x v="0"/>
    <n v="1"/>
    <n v="2"/>
    <n v="0"/>
    <n v="2"/>
  </r>
  <r>
    <n v="10247"/>
    <d v="2025-09-04T00:00:00"/>
    <s v="04"/>
    <x v="8"/>
    <x v="0"/>
    <x v="37"/>
    <x v="2"/>
    <x v="0"/>
    <x v="0"/>
    <x v="0"/>
    <n v="5"/>
    <n v="108.1"/>
    <x v="0"/>
    <n v="540.5"/>
    <n v="81.075000000000003"/>
    <n v="459.42500000000001"/>
    <n v="146"/>
    <n v="730"/>
    <n v="-270.57499999999999"/>
    <n v="-0.58894270011427308"/>
    <x v="1"/>
    <n v="0"/>
    <n v="0"/>
    <n v="5"/>
    <n v="5"/>
  </r>
  <r>
    <n v="10248"/>
    <d v="2025-09-05T00:00:00"/>
    <s v="05"/>
    <x v="8"/>
    <x v="0"/>
    <x v="196"/>
    <x v="2"/>
    <x v="1"/>
    <x v="0"/>
    <x v="0"/>
    <n v="6"/>
    <n v="144.57"/>
    <x v="2"/>
    <n v="867.42"/>
    <n v="0"/>
    <n v="867.42"/>
    <n v="19.86"/>
    <n v="119.16"/>
    <n v="748.26"/>
    <n v="0.86262710105831009"/>
    <x v="0"/>
    <n v="1"/>
    <n v="6"/>
    <n v="0"/>
    <n v="6"/>
  </r>
  <r>
    <n v="10249"/>
    <d v="2025-09-06T00:00:00"/>
    <s v="06"/>
    <x v="8"/>
    <x v="0"/>
    <x v="216"/>
    <x v="2"/>
    <x v="1"/>
    <x v="0"/>
    <x v="0"/>
    <n v="1"/>
    <n v="22.48"/>
    <x v="0"/>
    <n v="22.48"/>
    <n v="3.3719999999999999"/>
    <n v="19.108000000000001"/>
    <n v="86.04"/>
    <n v="86.04"/>
    <n v="-66.932000000000002"/>
    <n v="-3.5028260414485999"/>
    <x v="1"/>
    <n v="0"/>
    <n v="0"/>
    <n v="1"/>
    <n v="1"/>
  </r>
  <r>
    <n v="10250"/>
    <d v="2025-09-07T00:00:00"/>
    <s v="07"/>
    <x v="8"/>
    <x v="0"/>
    <x v="217"/>
    <x v="1"/>
    <x v="1"/>
    <x v="2"/>
    <x v="2"/>
    <n v="6"/>
    <n v="100.16"/>
    <x v="4"/>
    <n v="600.96"/>
    <n v="30.047999999999998"/>
    <n v="570.91200000000003"/>
    <n v="149.57"/>
    <n v="897.42"/>
    <n v="-326.50799999999902"/>
    <n v="-0.571906003026736"/>
    <x v="1"/>
    <n v="0"/>
    <n v="0"/>
    <n v="6"/>
    <n v="6"/>
  </r>
  <r>
    <n v="10251"/>
    <d v="2025-09-08T00:00:00"/>
    <s v="08"/>
    <x v="8"/>
    <x v="0"/>
    <x v="173"/>
    <x v="3"/>
    <x v="0"/>
    <x v="3"/>
    <x v="4"/>
    <n v="5"/>
    <n v="147.94"/>
    <x v="1"/>
    <n v="739.7"/>
    <n v="147.94"/>
    <n v="591.76"/>
    <n v="51.67"/>
    <n v="258.35000000000002"/>
    <n v="333.409999999999"/>
    <n v="0.56342098147897701"/>
    <x v="0"/>
    <n v="1"/>
    <n v="5"/>
    <n v="0"/>
    <n v="5"/>
  </r>
  <r>
    <n v="10252"/>
    <d v="2025-09-09T00:00:00"/>
    <s v="09"/>
    <x v="8"/>
    <x v="0"/>
    <x v="218"/>
    <x v="2"/>
    <x v="1"/>
    <x v="1"/>
    <x v="6"/>
    <n v="2"/>
    <n v="240.7"/>
    <x v="2"/>
    <n v="481.4"/>
    <n v="0"/>
    <n v="481.4"/>
    <n v="46.63"/>
    <n v="93.26"/>
    <n v="388.14"/>
    <n v="0.80627336933942606"/>
    <x v="0"/>
    <n v="1"/>
    <n v="2"/>
    <n v="0"/>
    <n v="2"/>
  </r>
  <r>
    <n v="10253"/>
    <d v="2025-09-10T00:00:00"/>
    <s v="10"/>
    <x v="8"/>
    <x v="0"/>
    <x v="219"/>
    <x v="3"/>
    <x v="0"/>
    <x v="0"/>
    <x v="0"/>
    <n v="2"/>
    <n v="241.37"/>
    <x v="3"/>
    <n v="482.74"/>
    <n v="48.274000000000001"/>
    <n v="434.46600000000001"/>
    <n v="112.06"/>
    <n v="224.12"/>
    <n v="210.346"/>
    <n v="0.48414835683344598"/>
    <x v="0"/>
    <n v="1"/>
    <n v="2"/>
    <n v="0"/>
    <n v="2"/>
  </r>
  <r>
    <n v="10254"/>
    <d v="2025-09-11T00:00:00"/>
    <s v="11"/>
    <x v="8"/>
    <x v="0"/>
    <x v="220"/>
    <x v="0"/>
    <x v="1"/>
    <x v="0"/>
    <x v="0"/>
    <n v="3"/>
    <n v="191.89"/>
    <x v="4"/>
    <n v="575.66999999999996"/>
    <n v="28.7835"/>
    <n v="546.88649999999996"/>
    <n v="72.53"/>
    <n v="217.59"/>
    <n v="329.29649999999901"/>
    <n v="0.60212950950517097"/>
    <x v="0"/>
    <n v="1"/>
    <n v="3"/>
    <n v="0"/>
    <n v="3"/>
  </r>
  <r>
    <n v="10255"/>
    <d v="2025-09-12T00:00:00"/>
    <s v="12"/>
    <x v="8"/>
    <x v="0"/>
    <x v="221"/>
    <x v="2"/>
    <x v="1"/>
    <x v="1"/>
    <x v="1"/>
    <n v="4"/>
    <n v="22.21"/>
    <x v="3"/>
    <n v="88.84"/>
    <n v="8.8840000000000003"/>
    <n v="79.956000000000003"/>
    <n v="43.65"/>
    <n v="174.6"/>
    <n v="-94.643999999999906"/>
    <n v="-1.1837010355695599"/>
    <x v="1"/>
    <n v="0"/>
    <n v="0"/>
    <n v="4"/>
    <n v="4"/>
  </r>
  <r>
    <n v="10256"/>
    <d v="2025-09-13T00:00:00"/>
    <s v="13"/>
    <x v="8"/>
    <x v="0"/>
    <x v="222"/>
    <x v="3"/>
    <x v="0"/>
    <x v="3"/>
    <x v="4"/>
    <n v="6"/>
    <n v="154.86000000000001"/>
    <x v="3"/>
    <n v="929.16"/>
    <n v="92.915999999999997"/>
    <n v="836.24400000000003"/>
    <n v="88.07"/>
    <n v="528.41999999999996"/>
    <n v="307.82400000000001"/>
    <n v="0.36810308952889303"/>
    <x v="0"/>
    <n v="1"/>
    <n v="6"/>
    <n v="0"/>
    <n v="6"/>
  </r>
  <r>
    <n v="10257"/>
    <d v="2025-09-14T00:00:00"/>
    <s v="14"/>
    <x v="8"/>
    <x v="0"/>
    <x v="223"/>
    <x v="1"/>
    <x v="0"/>
    <x v="2"/>
    <x v="2"/>
    <n v="1"/>
    <n v="120.62"/>
    <x v="4"/>
    <n v="120.62"/>
    <n v="6.0309999999999997"/>
    <n v="114.589"/>
    <n v="124.93"/>
    <n v="124.93"/>
    <n v="-10.340999999999999"/>
    <n v="-9.0244264283657311E-2"/>
    <x v="1"/>
    <n v="0"/>
    <n v="0"/>
    <n v="1"/>
    <n v="1"/>
  </r>
  <r>
    <n v="10258"/>
    <d v="2025-09-15T00:00:00"/>
    <s v="15"/>
    <x v="8"/>
    <x v="0"/>
    <x v="224"/>
    <x v="0"/>
    <x v="0"/>
    <x v="3"/>
    <x v="3"/>
    <n v="6"/>
    <n v="165.62"/>
    <x v="2"/>
    <n v="993.72"/>
    <n v="0"/>
    <n v="993.72"/>
    <n v="102.03"/>
    <n v="612.17999999999995"/>
    <n v="381.539999999999"/>
    <n v="0.383951213621543"/>
    <x v="0"/>
    <n v="1"/>
    <n v="6"/>
    <n v="0"/>
    <n v="6"/>
  </r>
  <r>
    <n v="10259"/>
    <d v="2025-09-16T00:00:00"/>
    <s v="16"/>
    <x v="8"/>
    <x v="0"/>
    <x v="225"/>
    <x v="1"/>
    <x v="1"/>
    <x v="1"/>
    <x v="6"/>
    <n v="4"/>
    <n v="104.85"/>
    <x v="1"/>
    <n v="419.4"/>
    <n v="83.88"/>
    <n v="335.52"/>
    <n v="39.81"/>
    <n v="159.24"/>
    <n v="176.27999999999901"/>
    <n v="0.52539341917024307"/>
    <x v="0"/>
    <n v="1"/>
    <n v="4"/>
    <n v="0"/>
    <n v="4"/>
  </r>
  <r>
    <n v="10260"/>
    <d v="2025-09-17T00:00:00"/>
    <s v="17"/>
    <x v="8"/>
    <x v="0"/>
    <x v="226"/>
    <x v="2"/>
    <x v="1"/>
    <x v="3"/>
    <x v="4"/>
    <n v="9"/>
    <n v="129.30000000000001"/>
    <x v="1"/>
    <n v="1163.7"/>
    <n v="232.74"/>
    <n v="930.96"/>
    <n v="101.83"/>
    <n v="916.47"/>
    <n v="14.49"/>
    <n v="1.5564578499613299E-2"/>
    <x v="0"/>
    <n v="1"/>
    <n v="9"/>
    <n v="0"/>
    <n v="9"/>
  </r>
  <r>
    <n v="10261"/>
    <d v="2025-09-18T00:00:00"/>
    <s v="18"/>
    <x v="8"/>
    <x v="0"/>
    <x v="160"/>
    <x v="0"/>
    <x v="0"/>
    <x v="3"/>
    <x v="4"/>
    <n v="6"/>
    <n v="117.23"/>
    <x v="0"/>
    <n v="703.38"/>
    <n v="105.506999999999"/>
    <n v="597.87300000000005"/>
    <n v="139.83000000000001"/>
    <n v="838.98"/>
    <n v="-241.106999999999"/>
    <n v="-0.40327460848708596"/>
    <x v="1"/>
    <n v="0"/>
    <n v="0"/>
    <n v="6"/>
    <n v="6"/>
  </r>
  <r>
    <n v="10262"/>
    <d v="2025-09-19T00:00:00"/>
    <s v="19"/>
    <x v="8"/>
    <x v="0"/>
    <x v="207"/>
    <x v="2"/>
    <x v="1"/>
    <x v="0"/>
    <x v="0"/>
    <n v="7"/>
    <n v="42.29"/>
    <x v="1"/>
    <n v="296.02999999999997"/>
    <n v="59.205999999999896"/>
    <n v="236.82399999999899"/>
    <n v="33.58"/>
    <n v="235.06"/>
    <n v="1.76399999999998"/>
    <n v="7.4485694017497397E-3"/>
    <x v="0"/>
    <n v="1"/>
    <n v="7"/>
    <n v="0"/>
    <n v="7"/>
  </r>
  <r>
    <n v="10263"/>
    <d v="2025-09-20T00:00:00"/>
    <s v="20"/>
    <x v="8"/>
    <x v="0"/>
    <x v="227"/>
    <x v="2"/>
    <x v="1"/>
    <x v="3"/>
    <x v="4"/>
    <n v="4"/>
    <n v="183.68"/>
    <x v="4"/>
    <n v="734.72"/>
    <n v="36.735999999999997"/>
    <n v="697.98400000000004"/>
    <n v="99.51"/>
    <n v="398.04"/>
    <n v="299.94400000000002"/>
    <n v="0.42972904823033098"/>
    <x v="0"/>
    <n v="1"/>
    <n v="4"/>
    <n v="0"/>
    <n v="4"/>
  </r>
  <r>
    <n v="10264"/>
    <d v="2025-09-21T00:00:00"/>
    <s v="21"/>
    <x v="8"/>
    <x v="0"/>
    <x v="228"/>
    <x v="2"/>
    <x v="1"/>
    <x v="1"/>
    <x v="1"/>
    <n v="3"/>
    <n v="11.75"/>
    <x v="3"/>
    <n v="35.25"/>
    <n v="3.5249999999999999"/>
    <n v="31.725000000000001"/>
    <n v="77.44"/>
    <n v="232.32"/>
    <n v="-200.595"/>
    <n v="-6.3229314420803702"/>
    <x v="1"/>
    <n v="0"/>
    <n v="0"/>
    <n v="3"/>
    <n v="3"/>
  </r>
  <r>
    <n v="10265"/>
    <d v="2025-09-22T00:00:00"/>
    <s v="22"/>
    <x v="8"/>
    <x v="0"/>
    <x v="229"/>
    <x v="0"/>
    <x v="1"/>
    <x v="3"/>
    <x v="4"/>
    <n v="1"/>
    <n v="125.42"/>
    <x v="1"/>
    <n v="125.42"/>
    <n v="25.084"/>
    <n v="100.336"/>
    <n v="101.19"/>
    <n v="101.19"/>
    <n v="-0.85399999999999898"/>
    <n v="-8.5114016903205109E-3"/>
    <x v="1"/>
    <n v="0"/>
    <n v="0"/>
    <n v="1"/>
    <n v="1"/>
  </r>
  <r>
    <n v="10266"/>
    <d v="2025-09-23T00:00:00"/>
    <s v="23"/>
    <x v="8"/>
    <x v="0"/>
    <x v="230"/>
    <x v="3"/>
    <x v="1"/>
    <x v="1"/>
    <x v="6"/>
    <n v="1"/>
    <n v="209.4"/>
    <x v="3"/>
    <n v="209.4"/>
    <n v="20.94"/>
    <n v="188.46"/>
    <n v="24.97"/>
    <n v="24.97"/>
    <n v="163.49"/>
    <n v="0.86750504085747593"/>
    <x v="0"/>
    <n v="1"/>
    <n v="1"/>
    <n v="0"/>
    <n v="1"/>
  </r>
  <r>
    <n v="10267"/>
    <d v="2025-09-24T00:00:00"/>
    <s v="24"/>
    <x v="8"/>
    <x v="0"/>
    <x v="231"/>
    <x v="3"/>
    <x v="0"/>
    <x v="1"/>
    <x v="6"/>
    <n v="1"/>
    <n v="198.66"/>
    <x v="3"/>
    <n v="198.66"/>
    <n v="19.866"/>
    <n v="178.79399999999899"/>
    <n v="38.76"/>
    <n v="38.76"/>
    <n v="140.03399999999999"/>
    <n v="0.78321420181885304"/>
    <x v="0"/>
    <n v="1"/>
    <n v="1"/>
    <n v="0"/>
    <n v="1"/>
  </r>
  <r>
    <n v="10268"/>
    <d v="2025-09-25T00:00:00"/>
    <s v="25"/>
    <x v="8"/>
    <x v="0"/>
    <x v="232"/>
    <x v="1"/>
    <x v="0"/>
    <x v="3"/>
    <x v="5"/>
    <n v="5"/>
    <n v="88.62"/>
    <x v="4"/>
    <n v="443.1"/>
    <n v="22.155000000000001"/>
    <n v="420.94499999999999"/>
    <n v="55.4"/>
    <n v="277"/>
    <n v="143.94499999999999"/>
    <n v="0.34195678770385596"/>
    <x v="0"/>
    <n v="1"/>
    <n v="5"/>
    <n v="0"/>
    <n v="5"/>
  </r>
  <r>
    <n v="10269"/>
    <d v="2025-09-26T00:00:00"/>
    <s v="26"/>
    <x v="8"/>
    <x v="0"/>
    <x v="233"/>
    <x v="3"/>
    <x v="0"/>
    <x v="3"/>
    <x v="4"/>
    <n v="2"/>
    <n v="136.66"/>
    <x v="3"/>
    <n v="273.32"/>
    <n v="27.332000000000001"/>
    <n v="245.988"/>
    <n v="126.74"/>
    <n v="253.48"/>
    <n v="-7.4919999999999902"/>
    <n v="-3.0456770248955101E-2"/>
    <x v="1"/>
    <n v="0"/>
    <n v="0"/>
    <n v="2"/>
    <n v="2"/>
  </r>
  <r>
    <n v="10270"/>
    <d v="2025-09-27T00:00:00"/>
    <s v="27"/>
    <x v="8"/>
    <x v="0"/>
    <x v="234"/>
    <x v="1"/>
    <x v="1"/>
    <x v="1"/>
    <x v="6"/>
    <n v="4"/>
    <n v="228.33"/>
    <x v="3"/>
    <n v="913.32"/>
    <n v="91.331999999999994"/>
    <n v="821.98800000000006"/>
    <n v="60.73"/>
    <n v="242.92"/>
    <n v="579.06799999999998"/>
    <n v="0.70447257137573804"/>
    <x v="0"/>
    <n v="1"/>
    <n v="4"/>
    <n v="0"/>
    <n v="4"/>
  </r>
  <r>
    <n v="10271"/>
    <d v="2025-09-28T00:00:00"/>
    <s v="28"/>
    <x v="8"/>
    <x v="0"/>
    <x v="235"/>
    <x v="3"/>
    <x v="1"/>
    <x v="1"/>
    <x v="6"/>
    <n v="7"/>
    <n v="84.44"/>
    <x v="0"/>
    <n v="591.07999999999902"/>
    <n v="88.661999999999907"/>
    <n v="502.41799999999898"/>
    <n v="53.93"/>
    <n v="377.51"/>
    <n v="124.90799999999901"/>
    <n v="0.248613704126842"/>
    <x v="0"/>
    <n v="1"/>
    <n v="7"/>
    <n v="0"/>
    <n v="7"/>
  </r>
  <r>
    <n v="10272"/>
    <d v="2025-09-29T00:00:00"/>
    <s v="29"/>
    <x v="8"/>
    <x v="0"/>
    <x v="236"/>
    <x v="3"/>
    <x v="1"/>
    <x v="2"/>
    <x v="2"/>
    <n v="2"/>
    <n v="149.38999999999999"/>
    <x v="3"/>
    <n v="298.77999999999997"/>
    <n v="29.878"/>
    <n v="268.90199999999999"/>
    <n v="112.53"/>
    <n v="225.06"/>
    <n v="43.841999999999899"/>
    <n v="0.16304081040676499"/>
    <x v="0"/>
    <n v="1"/>
    <n v="2"/>
    <n v="0"/>
    <n v="2"/>
  </r>
  <r>
    <n v="10273"/>
    <d v="2025-09-30T00:00:00"/>
    <s v="30"/>
    <x v="8"/>
    <x v="0"/>
    <x v="237"/>
    <x v="0"/>
    <x v="0"/>
    <x v="3"/>
    <x v="3"/>
    <n v="9"/>
    <n v="234.18"/>
    <x v="2"/>
    <n v="2107.62"/>
    <n v="0"/>
    <n v="2107.62"/>
    <n v="25.12"/>
    <n v="226.08"/>
    <n v="1881.54"/>
    <n v="0.89273208642924207"/>
    <x v="0"/>
    <n v="1"/>
    <n v="9"/>
    <n v="0"/>
    <n v="9"/>
  </r>
  <r>
    <n v="10274"/>
    <d v="2025-10-01T00:00:00"/>
    <s v="01"/>
    <x v="9"/>
    <x v="0"/>
    <x v="238"/>
    <x v="3"/>
    <x v="0"/>
    <x v="1"/>
    <x v="6"/>
    <n v="2"/>
    <n v="238.87"/>
    <x v="4"/>
    <n v="477.74"/>
    <n v="23.887"/>
    <n v="453.85300000000001"/>
    <n v="51.4"/>
    <n v="102.8"/>
    <n v="351.053"/>
    <n v="0.77349494219493908"/>
    <x v="0"/>
    <n v="1"/>
    <n v="2"/>
    <n v="0"/>
    <n v="2"/>
  </r>
  <r>
    <n v="10275"/>
    <d v="2025-10-02T00:00:00"/>
    <s v="02"/>
    <x v="9"/>
    <x v="0"/>
    <x v="239"/>
    <x v="2"/>
    <x v="0"/>
    <x v="0"/>
    <x v="0"/>
    <n v="4"/>
    <n v="173.22"/>
    <x v="2"/>
    <n v="692.88"/>
    <n v="0"/>
    <n v="692.88"/>
    <n v="84.87"/>
    <n v="339.48"/>
    <n v="353.4"/>
    <n v="0.51004502944232699"/>
    <x v="0"/>
    <n v="1"/>
    <n v="4"/>
    <n v="0"/>
    <n v="4"/>
  </r>
  <r>
    <n v="10276"/>
    <d v="2025-10-03T00:00:00"/>
    <s v="03"/>
    <x v="9"/>
    <x v="0"/>
    <x v="74"/>
    <x v="0"/>
    <x v="1"/>
    <x v="1"/>
    <x v="1"/>
    <n v="2"/>
    <n v="245.35"/>
    <x v="3"/>
    <n v="490.7"/>
    <n v="49.07"/>
    <n v="441.63"/>
    <n v="55.22"/>
    <n v="110.44"/>
    <n v="331.19"/>
    <n v="0.74992640898489593"/>
    <x v="0"/>
    <n v="1"/>
    <n v="2"/>
    <n v="0"/>
    <n v="2"/>
  </r>
  <r>
    <n v="10277"/>
    <d v="2025-10-04T00:00:00"/>
    <s v="04"/>
    <x v="9"/>
    <x v="0"/>
    <x v="79"/>
    <x v="2"/>
    <x v="0"/>
    <x v="1"/>
    <x v="1"/>
    <n v="5"/>
    <n v="196.22"/>
    <x v="3"/>
    <n v="981.1"/>
    <n v="98.11"/>
    <n v="882.99"/>
    <n v="91.7"/>
    <n v="458.5"/>
    <n v="424.49"/>
    <n v="0.480741571252222"/>
    <x v="0"/>
    <n v="1"/>
    <n v="5"/>
    <n v="0"/>
    <n v="5"/>
  </r>
  <r>
    <n v="10278"/>
    <d v="2025-10-05T00:00:00"/>
    <s v="05"/>
    <x v="9"/>
    <x v="0"/>
    <x v="240"/>
    <x v="0"/>
    <x v="1"/>
    <x v="2"/>
    <x v="2"/>
    <n v="8"/>
    <n v="243.74"/>
    <x v="1"/>
    <n v="1949.92"/>
    <n v="389.98399999999998"/>
    <n v="1559.9359999999999"/>
    <n v="92.22"/>
    <n v="737.76"/>
    <n v="822.17600000000004"/>
    <n v="0.52705752030852504"/>
    <x v="0"/>
    <n v="1"/>
    <n v="8"/>
    <n v="0"/>
    <n v="8"/>
  </r>
  <r>
    <n v="10279"/>
    <d v="2025-10-06T00:00:00"/>
    <s v="06"/>
    <x v="9"/>
    <x v="0"/>
    <x v="241"/>
    <x v="2"/>
    <x v="0"/>
    <x v="2"/>
    <x v="2"/>
    <n v="4"/>
    <n v="171.14"/>
    <x v="0"/>
    <n v="684.56"/>
    <n v="102.683999999999"/>
    <n v="581.87599999999998"/>
    <n v="25.49"/>
    <n v="101.96"/>
    <n v="479.916"/>
    <n v="0.824773663117227"/>
    <x v="0"/>
    <n v="1"/>
    <n v="4"/>
    <n v="0"/>
    <n v="4"/>
  </r>
  <r>
    <n v="10280"/>
    <d v="2025-10-07T00:00:00"/>
    <s v="07"/>
    <x v="9"/>
    <x v="0"/>
    <x v="242"/>
    <x v="3"/>
    <x v="1"/>
    <x v="2"/>
    <x v="2"/>
    <n v="4"/>
    <n v="166.76"/>
    <x v="2"/>
    <n v="667.04"/>
    <n v="0"/>
    <n v="667.04"/>
    <n v="24.35"/>
    <n v="97.4"/>
    <n v="569.64"/>
    <n v="0.85398177020868304"/>
    <x v="0"/>
    <n v="1"/>
    <n v="4"/>
    <n v="0"/>
    <n v="4"/>
  </r>
  <r>
    <n v="10281"/>
    <d v="2025-10-08T00:00:00"/>
    <s v="08"/>
    <x v="9"/>
    <x v="0"/>
    <x v="243"/>
    <x v="3"/>
    <x v="1"/>
    <x v="1"/>
    <x v="6"/>
    <n v="1"/>
    <n v="23.87"/>
    <x v="2"/>
    <n v="23.87"/>
    <n v="0"/>
    <n v="23.87"/>
    <n v="118.72"/>
    <n v="118.72"/>
    <n v="-94.85"/>
    <n v="-3.9736070381231601"/>
    <x v="1"/>
    <n v="0"/>
    <n v="0"/>
    <n v="1"/>
    <n v="1"/>
  </r>
  <r>
    <n v="10282"/>
    <d v="2025-10-09T00:00:00"/>
    <s v="09"/>
    <x v="9"/>
    <x v="0"/>
    <x v="244"/>
    <x v="1"/>
    <x v="0"/>
    <x v="3"/>
    <x v="5"/>
    <n v="9"/>
    <n v="127.52"/>
    <x v="3"/>
    <n v="1147.68"/>
    <n v="114.768"/>
    <n v="1032.912"/>
    <n v="65.52"/>
    <n v="589.67999999999995"/>
    <n v="443.23200000000003"/>
    <n v="0.429109159347553"/>
    <x v="0"/>
    <n v="1"/>
    <n v="9"/>
    <n v="0"/>
    <n v="9"/>
  </r>
  <r>
    <n v="10283"/>
    <d v="2025-10-10T00:00:00"/>
    <s v="10"/>
    <x v="9"/>
    <x v="0"/>
    <x v="245"/>
    <x v="0"/>
    <x v="1"/>
    <x v="2"/>
    <x v="2"/>
    <n v="9"/>
    <n v="89.34"/>
    <x v="4"/>
    <n v="804.06"/>
    <n v="40.203000000000003"/>
    <n v="763.85699999999997"/>
    <n v="26.63"/>
    <n v="239.67"/>
    <n v="524.18700000000001"/>
    <n v="0.68623708364261904"/>
    <x v="0"/>
    <n v="1"/>
    <n v="9"/>
    <n v="0"/>
    <n v="9"/>
  </r>
  <r>
    <n v="10284"/>
    <d v="2025-10-11T00:00:00"/>
    <s v="11"/>
    <x v="9"/>
    <x v="0"/>
    <x v="246"/>
    <x v="2"/>
    <x v="0"/>
    <x v="1"/>
    <x v="6"/>
    <n v="9"/>
    <n v="20.84"/>
    <x v="0"/>
    <n v="187.56"/>
    <n v="28.134"/>
    <n v="159.42599999999999"/>
    <n v="16.079999999999998"/>
    <n v="144.719999999999"/>
    <n v="14.706"/>
    <n v="9.2243423281020698E-2"/>
    <x v="0"/>
    <n v="1"/>
    <n v="9"/>
    <n v="0"/>
    <n v="9"/>
  </r>
  <r>
    <n v="10285"/>
    <d v="2025-10-12T00:00:00"/>
    <s v="12"/>
    <x v="9"/>
    <x v="0"/>
    <x v="8"/>
    <x v="1"/>
    <x v="0"/>
    <x v="3"/>
    <x v="5"/>
    <n v="6"/>
    <n v="162.44999999999999"/>
    <x v="3"/>
    <n v="974.69999999999902"/>
    <n v="97.47"/>
    <n v="877.229999999999"/>
    <n v="65.739999999999995"/>
    <n v="394.43999999999897"/>
    <n v="482.789999999999"/>
    <n v="0.55035737491877801"/>
    <x v="0"/>
    <n v="1"/>
    <n v="6"/>
    <n v="0"/>
    <n v="6"/>
  </r>
  <r>
    <n v="10286"/>
    <d v="2025-10-13T00:00:00"/>
    <s v="13"/>
    <x v="9"/>
    <x v="0"/>
    <x v="247"/>
    <x v="2"/>
    <x v="0"/>
    <x v="2"/>
    <x v="2"/>
    <n v="7"/>
    <n v="243.09"/>
    <x v="2"/>
    <n v="1701.63"/>
    <n v="0"/>
    <n v="1701.63"/>
    <n v="127.11"/>
    <n v="889.77"/>
    <n v="811.86"/>
    <n v="0.47710724423053102"/>
    <x v="0"/>
    <n v="1"/>
    <n v="7"/>
    <n v="0"/>
    <n v="7"/>
  </r>
  <r>
    <n v="10287"/>
    <d v="2025-10-14T00:00:00"/>
    <s v="14"/>
    <x v="9"/>
    <x v="0"/>
    <x v="248"/>
    <x v="1"/>
    <x v="1"/>
    <x v="3"/>
    <x v="5"/>
    <n v="7"/>
    <n v="147.22999999999999"/>
    <x v="2"/>
    <n v="1030.6099999999999"/>
    <n v="0"/>
    <n v="1030.6099999999999"/>
    <n v="34.74"/>
    <n v="243.18"/>
    <n v="787.42999999999904"/>
    <n v="0.76404265435033591"/>
    <x v="0"/>
    <n v="1"/>
    <n v="7"/>
    <n v="0"/>
    <n v="7"/>
  </r>
  <r>
    <n v="10288"/>
    <d v="2025-10-15T00:00:00"/>
    <s v="15"/>
    <x v="9"/>
    <x v="0"/>
    <x v="249"/>
    <x v="1"/>
    <x v="1"/>
    <x v="1"/>
    <x v="6"/>
    <n v="2"/>
    <n v="95.12"/>
    <x v="3"/>
    <n v="190.24"/>
    <n v="19.024000000000001"/>
    <n v="171.21600000000001"/>
    <n v="149.28"/>
    <n v="298.56"/>
    <n v="-127.34399999999999"/>
    <n v="-0.74376226520885891"/>
    <x v="1"/>
    <n v="0"/>
    <n v="0"/>
    <n v="2"/>
    <n v="2"/>
  </r>
  <r>
    <n v="10289"/>
    <d v="2025-10-16T00:00:00"/>
    <s v="16"/>
    <x v="9"/>
    <x v="0"/>
    <x v="250"/>
    <x v="0"/>
    <x v="0"/>
    <x v="1"/>
    <x v="6"/>
    <n v="2"/>
    <n v="236.8"/>
    <x v="2"/>
    <n v="473.6"/>
    <n v="0"/>
    <n v="473.6"/>
    <n v="8.0299999999999994"/>
    <n v="16.059999999999999"/>
    <n v="457.54"/>
    <n v="0.966089527027027"/>
    <x v="0"/>
    <n v="1"/>
    <n v="2"/>
    <n v="0"/>
    <n v="2"/>
  </r>
  <r>
    <n v="10290"/>
    <d v="2025-10-17T00:00:00"/>
    <s v="17"/>
    <x v="9"/>
    <x v="0"/>
    <x v="251"/>
    <x v="1"/>
    <x v="1"/>
    <x v="1"/>
    <x v="6"/>
    <n v="3"/>
    <n v="173.62"/>
    <x v="2"/>
    <n v="520.86"/>
    <n v="0"/>
    <n v="520.86"/>
    <n v="91.06"/>
    <n v="273.18"/>
    <n v="247.68"/>
    <n v="0.47552125331182998"/>
    <x v="0"/>
    <n v="1"/>
    <n v="3"/>
    <n v="0"/>
    <n v="3"/>
  </r>
  <r>
    <n v="10291"/>
    <d v="2025-10-18T00:00:00"/>
    <s v="18"/>
    <x v="9"/>
    <x v="0"/>
    <x v="252"/>
    <x v="3"/>
    <x v="0"/>
    <x v="1"/>
    <x v="6"/>
    <n v="5"/>
    <n v="47.62"/>
    <x v="3"/>
    <n v="238.1"/>
    <n v="23.81"/>
    <n v="214.29"/>
    <n v="106.37"/>
    <n v="531.85"/>
    <n v="-317.56"/>
    <n v="-1.4819170283260998"/>
    <x v="1"/>
    <n v="0"/>
    <n v="0"/>
    <n v="5"/>
    <n v="5"/>
  </r>
  <r>
    <n v="10292"/>
    <d v="2025-10-19T00:00:00"/>
    <s v="19"/>
    <x v="9"/>
    <x v="0"/>
    <x v="253"/>
    <x v="1"/>
    <x v="1"/>
    <x v="1"/>
    <x v="1"/>
    <n v="6"/>
    <n v="155.61000000000001"/>
    <x v="3"/>
    <n v="933.66"/>
    <n v="93.366"/>
    <n v="840.29399999999998"/>
    <n v="82.18"/>
    <n v="493.08"/>
    <n v="347.214"/>
    <n v="0.41320537811765801"/>
    <x v="0"/>
    <n v="1"/>
    <n v="6"/>
    <n v="0"/>
    <n v="6"/>
  </r>
  <r>
    <n v="10293"/>
    <d v="2025-10-20T00:00:00"/>
    <s v="20"/>
    <x v="9"/>
    <x v="0"/>
    <x v="70"/>
    <x v="1"/>
    <x v="0"/>
    <x v="1"/>
    <x v="1"/>
    <n v="5"/>
    <n v="215.61"/>
    <x v="4"/>
    <n v="1078.05"/>
    <n v="53.902500000000003"/>
    <n v="1024.1475"/>
    <n v="42.58"/>
    <n v="212.89999999999901"/>
    <n v="811.24749999999995"/>
    <n v="0.79211978743296196"/>
    <x v="0"/>
    <n v="1"/>
    <n v="5"/>
    <n v="0"/>
    <n v="5"/>
  </r>
  <r>
    <n v="10294"/>
    <d v="2025-10-21T00:00:00"/>
    <s v="21"/>
    <x v="9"/>
    <x v="0"/>
    <x v="32"/>
    <x v="3"/>
    <x v="0"/>
    <x v="3"/>
    <x v="4"/>
    <n v="9"/>
    <n v="196.6"/>
    <x v="4"/>
    <n v="1769.3999999999901"/>
    <n v="88.47"/>
    <n v="1680.9299999999901"/>
    <n v="50.88"/>
    <n v="457.92"/>
    <n v="1223.00999999999"/>
    <n v="0.72757937570273501"/>
    <x v="0"/>
    <n v="1"/>
    <n v="9"/>
    <n v="0"/>
    <n v="9"/>
  </r>
  <r>
    <n v="10295"/>
    <d v="2025-10-22T00:00:00"/>
    <s v="22"/>
    <x v="9"/>
    <x v="0"/>
    <x v="254"/>
    <x v="1"/>
    <x v="1"/>
    <x v="3"/>
    <x v="3"/>
    <n v="7"/>
    <n v="129.21"/>
    <x v="4"/>
    <n v="904.47"/>
    <n v="45.223500000000001"/>
    <n v="859.24649999999997"/>
    <n v="85.31"/>
    <n v="597.16999999999996"/>
    <n v="262.07649999999899"/>
    <n v="0.30500735237210702"/>
    <x v="0"/>
    <n v="1"/>
    <n v="7"/>
    <n v="0"/>
    <n v="7"/>
  </r>
  <r>
    <n v="10296"/>
    <d v="2025-10-23T00:00:00"/>
    <s v="23"/>
    <x v="9"/>
    <x v="0"/>
    <x v="255"/>
    <x v="1"/>
    <x v="1"/>
    <x v="1"/>
    <x v="6"/>
    <n v="2"/>
    <n v="174.12"/>
    <x v="3"/>
    <n v="348.24"/>
    <n v="34.823999999999998"/>
    <n v="313.416"/>
    <n v="134.83000000000001"/>
    <n v="269.66000000000003"/>
    <n v="43.755999999999901"/>
    <n v="0.139609975240574"/>
    <x v="0"/>
    <n v="1"/>
    <n v="2"/>
    <n v="0"/>
    <n v="2"/>
  </r>
  <r>
    <n v="10297"/>
    <d v="2025-10-24T00:00:00"/>
    <s v="24"/>
    <x v="9"/>
    <x v="0"/>
    <x v="256"/>
    <x v="0"/>
    <x v="1"/>
    <x v="1"/>
    <x v="6"/>
    <n v="4"/>
    <n v="221.96"/>
    <x v="2"/>
    <n v="887.84"/>
    <n v="0"/>
    <n v="887.84"/>
    <n v="65.86"/>
    <n v="263.44"/>
    <n v="624.4"/>
    <n v="0.70327987024689098"/>
    <x v="0"/>
    <n v="1"/>
    <n v="4"/>
    <n v="0"/>
    <n v="4"/>
  </r>
  <r>
    <n v="10298"/>
    <d v="2025-10-25T00:00:00"/>
    <s v="25"/>
    <x v="9"/>
    <x v="0"/>
    <x v="257"/>
    <x v="2"/>
    <x v="1"/>
    <x v="3"/>
    <x v="4"/>
    <n v="2"/>
    <n v="187.66"/>
    <x v="2"/>
    <n v="375.32"/>
    <n v="0"/>
    <n v="375.32"/>
    <n v="55"/>
    <n v="110"/>
    <n v="265.32"/>
    <n v="0.70691676436107798"/>
    <x v="0"/>
    <n v="1"/>
    <n v="2"/>
    <n v="0"/>
    <n v="2"/>
  </r>
  <r>
    <n v="10299"/>
    <d v="2025-10-26T00:00:00"/>
    <s v="26"/>
    <x v="9"/>
    <x v="0"/>
    <x v="258"/>
    <x v="1"/>
    <x v="0"/>
    <x v="1"/>
    <x v="6"/>
    <n v="9"/>
    <n v="145.91"/>
    <x v="0"/>
    <n v="1313.19"/>
    <n v="196.9785"/>
    <n v="1116.2114999999999"/>
    <n v="63.05"/>
    <n v="567.44999999999902"/>
    <n v="548.76149999999996"/>
    <n v="0.491628602643853"/>
    <x v="0"/>
    <n v="1"/>
    <n v="9"/>
    <n v="0"/>
    <n v="9"/>
  </r>
  <r>
    <n v="10300"/>
    <d v="2025-10-27T00:00:00"/>
    <s v="27"/>
    <x v="9"/>
    <x v="0"/>
    <x v="259"/>
    <x v="2"/>
    <x v="0"/>
    <x v="3"/>
    <x v="3"/>
    <n v="2"/>
    <n v="244.62"/>
    <x v="1"/>
    <n v="489.24"/>
    <n v="97.847999999999999"/>
    <n v="391.392"/>
    <n v="149.9"/>
    <n v="299.8"/>
    <n v="91.591999999999899"/>
    <n v="0.23401602485487602"/>
    <x v="0"/>
    <n v="1"/>
    <n v="2"/>
    <n v="0"/>
    <n v="2"/>
  </r>
  <r>
    <n v="10301"/>
    <d v="2025-10-28T00:00:00"/>
    <s v="28"/>
    <x v="9"/>
    <x v="0"/>
    <x v="260"/>
    <x v="0"/>
    <x v="1"/>
    <x v="1"/>
    <x v="6"/>
    <n v="7"/>
    <n v="24.62"/>
    <x v="4"/>
    <n v="172.34"/>
    <n v="8.6170000000000009"/>
    <n v="163.72300000000001"/>
    <n v="43.64"/>
    <n v="305.48"/>
    <n v="-141.75700000000001"/>
    <n v="-0.86583436658258095"/>
    <x v="1"/>
    <n v="0"/>
    <n v="0"/>
    <n v="7"/>
    <n v="7"/>
  </r>
  <r>
    <n v="10302"/>
    <d v="2025-10-29T00:00:00"/>
    <s v="29"/>
    <x v="9"/>
    <x v="0"/>
    <x v="261"/>
    <x v="0"/>
    <x v="1"/>
    <x v="3"/>
    <x v="3"/>
    <n v="3"/>
    <n v="85.31"/>
    <x v="3"/>
    <n v="255.93"/>
    <n v="25.593"/>
    <n v="230.33699999999999"/>
    <n v="29.85"/>
    <n v="89.55"/>
    <n v="140.78699999999901"/>
    <n v="0.611221818465986"/>
    <x v="0"/>
    <n v="1"/>
    <n v="3"/>
    <n v="0"/>
    <n v="3"/>
  </r>
  <r>
    <n v="10303"/>
    <d v="2025-10-30T00:00:00"/>
    <s v="30"/>
    <x v="9"/>
    <x v="0"/>
    <x v="262"/>
    <x v="3"/>
    <x v="1"/>
    <x v="0"/>
    <x v="0"/>
    <n v="1"/>
    <n v="239.17"/>
    <x v="0"/>
    <n v="239.17"/>
    <n v="35.875499999999903"/>
    <n v="203.2945"/>
    <n v="134.47"/>
    <n v="134.47"/>
    <n v="68.8245"/>
    <n v="0.33854580423966196"/>
    <x v="0"/>
    <n v="1"/>
    <n v="1"/>
    <n v="0"/>
    <n v="1"/>
  </r>
  <r>
    <n v="10304"/>
    <d v="2025-10-31T00:00:00"/>
    <s v="31"/>
    <x v="9"/>
    <x v="0"/>
    <x v="263"/>
    <x v="1"/>
    <x v="0"/>
    <x v="0"/>
    <x v="0"/>
    <n v="5"/>
    <n v="17.440000000000001"/>
    <x v="1"/>
    <n v="87.2"/>
    <n v="17.440000000000001"/>
    <n v="69.760000000000005"/>
    <n v="23.19"/>
    <n v="115.95"/>
    <n v="-46.19"/>
    <n v="-0.66212729357798095"/>
    <x v="1"/>
    <n v="0"/>
    <n v="0"/>
    <n v="5"/>
    <n v="5"/>
  </r>
  <r>
    <n v="10305"/>
    <d v="2025-11-01T00:00:00"/>
    <s v="01"/>
    <x v="10"/>
    <x v="0"/>
    <x v="264"/>
    <x v="0"/>
    <x v="0"/>
    <x v="2"/>
    <x v="2"/>
    <n v="2"/>
    <n v="177.29"/>
    <x v="2"/>
    <n v="354.58"/>
    <n v="0"/>
    <n v="354.58"/>
    <n v="126.72"/>
    <n v="253.44"/>
    <n v="101.13999999999901"/>
    <n v="0.28523887416097898"/>
    <x v="0"/>
    <n v="1"/>
    <n v="2"/>
    <n v="0"/>
    <n v="2"/>
  </r>
  <r>
    <n v="10306"/>
    <d v="2025-11-02T00:00:00"/>
    <s v="02"/>
    <x v="10"/>
    <x v="0"/>
    <x v="265"/>
    <x v="2"/>
    <x v="1"/>
    <x v="3"/>
    <x v="5"/>
    <n v="3"/>
    <n v="137.03"/>
    <x v="4"/>
    <n v="411.09"/>
    <n v="20.554500000000001"/>
    <n v="390.53550000000001"/>
    <n v="95.66"/>
    <n v="286.98"/>
    <n v="103.55549999999999"/>
    <n v="0.26516283410855002"/>
    <x v="0"/>
    <n v="1"/>
    <n v="3"/>
    <n v="0"/>
    <n v="3"/>
  </r>
  <r>
    <n v="10307"/>
    <d v="2025-11-03T00:00:00"/>
    <s v="03"/>
    <x v="10"/>
    <x v="0"/>
    <x v="266"/>
    <x v="1"/>
    <x v="1"/>
    <x v="1"/>
    <x v="1"/>
    <n v="1"/>
    <n v="153.01"/>
    <x v="3"/>
    <n v="153.01"/>
    <n v="15.301"/>
    <n v="137.709"/>
    <n v="143.9"/>
    <n v="143.9"/>
    <n v="-6.1909999999999998"/>
    <n v="-4.4957119723474798E-2"/>
    <x v="1"/>
    <n v="0"/>
    <n v="0"/>
    <n v="1"/>
    <n v="1"/>
  </r>
  <r>
    <n v="10308"/>
    <d v="2025-11-04T00:00:00"/>
    <s v="04"/>
    <x v="10"/>
    <x v="0"/>
    <x v="267"/>
    <x v="0"/>
    <x v="0"/>
    <x v="3"/>
    <x v="3"/>
    <n v="4"/>
    <n v="27.47"/>
    <x v="2"/>
    <n v="109.88"/>
    <n v="0"/>
    <n v="109.88"/>
    <n v="51.08"/>
    <n v="204.32"/>
    <n v="-94.44"/>
    <n v="-0.85948307244266398"/>
    <x v="1"/>
    <n v="0"/>
    <n v="0"/>
    <n v="4"/>
    <n v="4"/>
  </r>
  <r>
    <n v="10309"/>
    <d v="2025-11-05T00:00:00"/>
    <s v="05"/>
    <x v="10"/>
    <x v="0"/>
    <x v="268"/>
    <x v="2"/>
    <x v="0"/>
    <x v="3"/>
    <x v="5"/>
    <n v="4"/>
    <n v="11.93"/>
    <x v="0"/>
    <n v="47.72"/>
    <n v="7.1579999999999897"/>
    <n v="40.561999999999998"/>
    <n v="129.07"/>
    <n v="516.28"/>
    <n v="-475.71799999999899"/>
    <n v="-11.728169222424899"/>
    <x v="1"/>
    <n v="0"/>
    <n v="0"/>
    <n v="4"/>
    <n v="4"/>
  </r>
  <r>
    <n v="10310"/>
    <d v="2025-11-06T00:00:00"/>
    <s v="06"/>
    <x v="10"/>
    <x v="0"/>
    <x v="269"/>
    <x v="0"/>
    <x v="0"/>
    <x v="3"/>
    <x v="3"/>
    <n v="8"/>
    <n v="87.1"/>
    <x v="2"/>
    <n v="696.8"/>
    <n v="0"/>
    <n v="696.8"/>
    <n v="17.690000000000001"/>
    <n v="141.52000000000001"/>
    <n v="555.28"/>
    <n v="0.796900114810562"/>
    <x v="0"/>
    <n v="1"/>
    <n v="8"/>
    <n v="0"/>
    <n v="8"/>
  </r>
  <r>
    <n v="10311"/>
    <d v="2025-11-07T00:00:00"/>
    <s v="07"/>
    <x v="10"/>
    <x v="0"/>
    <x v="200"/>
    <x v="2"/>
    <x v="1"/>
    <x v="1"/>
    <x v="1"/>
    <n v="1"/>
    <n v="106.01"/>
    <x v="3"/>
    <n v="106.01"/>
    <n v="10.601000000000001"/>
    <n v="95.409000000000006"/>
    <n v="118.44"/>
    <n v="118.44"/>
    <n v="-23.030999999999899"/>
    <n v="-0.24139232147910503"/>
    <x v="1"/>
    <n v="0"/>
    <n v="0"/>
    <n v="1"/>
    <n v="1"/>
  </r>
  <r>
    <n v="10312"/>
    <d v="2025-11-08T00:00:00"/>
    <s v="08"/>
    <x v="10"/>
    <x v="0"/>
    <x v="270"/>
    <x v="1"/>
    <x v="0"/>
    <x v="0"/>
    <x v="0"/>
    <n v="6"/>
    <n v="161.37"/>
    <x v="0"/>
    <n v="968.22"/>
    <n v="145.233"/>
    <n v="822.98699999999997"/>
    <n v="52.44"/>
    <n v="314.64"/>
    <n v="508.34699999999998"/>
    <n v="0.61768533403322201"/>
    <x v="0"/>
    <n v="1"/>
    <n v="6"/>
    <n v="0"/>
    <n v="6"/>
  </r>
  <r>
    <n v="10313"/>
    <d v="2025-11-09T00:00:00"/>
    <s v="09"/>
    <x v="10"/>
    <x v="0"/>
    <x v="271"/>
    <x v="0"/>
    <x v="1"/>
    <x v="3"/>
    <x v="4"/>
    <n v="9"/>
    <n v="140.32"/>
    <x v="1"/>
    <n v="1262.8799999999901"/>
    <n v="252.57599999999999"/>
    <n v="1010.30399999999"/>
    <n v="71.78"/>
    <n v="646.02"/>
    <n v="364.28399999999903"/>
    <n v="0.36056870011402503"/>
    <x v="0"/>
    <n v="1"/>
    <n v="9"/>
    <n v="0"/>
    <n v="9"/>
  </r>
  <r>
    <n v="10314"/>
    <d v="2025-11-10T00:00:00"/>
    <s v="10"/>
    <x v="10"/>
    <x v="0"/>
    <x v="165"/>
    <x v="1"/>
    <x v="1"/>
    <x v="0"/>
    <x v="0"/>
    <n v="1"/>
    <n v="24.39"/>
    <x v="2"/>
    <n v="24.39"/>
    <n v="0"/>
    <n v="24.39"/>
    <n v="120.57"/>
    <n v="120.57"/>
    <n v="-96.179999999999893"/>
    <n v="-3.94341943419434"/>
    <x v="1"/>
    <n v="0"/>
    <n v="0"/>
    <n v="1"/>
    <n v="1"/>
  </r>
  <r>
    <n v="10315"/>
    <d v="2025-11-11T00:00:00"/>
    <s v="11"/>
    <x v="10"/>
    <x v="0"/>
    <x v="272"/>
    <x v="2"/>
    <x v="0"/>
    <x v="3"/>
    <x v="5"/>
    <n v="5"/>
    <n v="22.86"/>
    <x v="0"/>
    <n v="114.3"/>
    <n v="17.145"/>
    <n v="97.155000000000001"/>
    <n v="97.06"/>
    <n v="485.3"/>
    <n v="-388.14499999999998"/>
    <n v="-3.99511090525449"/>
    <x v="1"/>
    <n v="0"/>
    <n v="0"/>
    <n v="5"/>
    <n v="5"/>
  </r>
  <r>
    <n v="10316"/>
    <d v="2025-11-12T00:00:00"/>
    <s v="12"/>
    <x v="10"/>
    <x v="0"/>
    <x v="14"/>
    <x v="2"/>
    <x v="1"/>
    <x v="3"/>
    <x v="3"/>
    <n v="2"/>
    <n v="170.03"/>
    <x v="4"/>
    <n v="340.06"/>
    <n v="17.003"/>
    <n v="323.05700000000002"/>
    <n v="71.45"/>
    <n v="142.9"/>
    <n v="180.15700000000001"/>
    <n v="0.55766319875439896"/>
    <x v="0"/>
    <n v="1"/>
    <n v="2"/>
    <n v="0"/>
    <n v="2"/>
  </r>
  <r>
    <n v="10317"/>
    <d v="2025-11-13T00:00:00"/>
    <s v="13"/>
    <x v="10"/>
    <x v="0"/>
    <x v="273"/>
    <x v="2"/>
    <x v="0"/>
    <x v="3"/>
    <x v="5"/>
    <n v="8"/>
    <n v="212.47"/>
    <x v="2"/>
    <n v="1699.76"/>
    <n v="0"/>
    <n v="1699.76"/>
    <n v="47.43"/>
    <n v="379.44"/>
    <n v="1320.32"/>
    <n v="0.776768484962582"/>
    <x v="0"/>
    <n v="1"/>
    <n v="8"/>
    <n v="0"/>
    <n v="8"/>
  </r>
  <r>
    <n v="10318"/>
    <d v="2025-11-14T00:00:00"/>
    <s v="14"/>
    <x v="10"/>
    <x v="0"/>
    <x v="235"/>
    <x v="0"/>
    <x v="1"/>
    <x v="3"/>
    <x v="4"/>
    <n v="4"/>
    <n v="126.7"/>
    <x v="1"/>
    <n v="506.8"/>
    <n v="101.36"/>
    <n v="405.44"/>
    <n v="114.54"/>
    <n v="458.16"/>
    <n v="-52.72"/>
    <n v="-0.13003157063930501"/>
    <x v="1"/>
    <n v="0"/>
    <n v="0"/>
    <n v="4"/>
    <n v="4"/>
  </r>
  <r>
    <n v="10319"/>
    <d v="2025-11-15T00:00:00"/>
    <s v="15"/>
    <x v="10"/>
    <x v="0"/>
    <x v="274"/>
    <x v="3"/>
    <x v="1"/>
    <x v="3"/>
    <x v="5"/>
    <n v="7"/>
    <n v="66.900000000000006"/>
    <x v="0"/>
    <n v="468.3"/>
    <n v="70.245000000000005"/>
    <n v="398.05500000000001"/>
    <n v="72.540000000000006"/>
    <n v="507.78"/>
    <n v="-109.724999999999"/>
    <n v="-0.27565286204167699"/>
    <x v="1"/>
    <n v="0"/>
    <n v="0"/>
    <n v="7"/>
    <n v="7"/>
  </r>
  <r>
    <n v="10320"/>
    <d v="2025-11-16T00:00:00"/>
    <s v="16"/>
    <x v="10"/>
    <x v="0"/>
    <x v="140"/>
    <x v="2"/>
    <x v="0"/>
    <x v="2"/>
    <x v="2"/>
    <n v="4"/>
    <n v="105.58"/>
    <x v="1"/>
    <n v="422.32"/>
    <n v="84.463999999999999"/>
    <n v="337.85599999999999"/>
    <n v="40.47"/>
    <n v="161.88"/>
    <n v="175.976"/>
    <n v="0.52086095851487002"/>
    <x v="0"/>
    <n v="1"/>
    <n v="4"/>
    <n v="0"/>
    <n v="4"/>
  </r>
  <r>
    <n v="10321"/>
    <d v="2025-11-17T00:00:00"/>
    <s v="17"/>
    <x v="10"/>
    <x v="0"/>
    <x v="73"/>
    <x v="0"/>
    <x v="0"/>
    <x v="3"/>
    <x v="3"/>
    <n v="9"/>
    <n v="23.88"/>
    <x v="0"/>
    <n v="214.92"/>
    <n v="32.238"/>
    <n v="182.68199999999999"/>
    <n v="61.85"/>
    <n v="556.65"/>
    <n v="-373.96799999999899"/>
    <n v="-2.0470982362794299"/>
    <x v="1"/>
    <n v="0"/>
    <n v="0"/>
    <n v="9"/>
    <n v="9"/>
  </r>
  <r>
    <n v="10322"/>
    <d v="2025-11-18T00:00:00"/>
    <s v="18"/>
    <x v="10"/>
    <x v="0"/>
    <x v="142"/>
    <x v="2"/>
    <x v="0"/>
    <x v="3"/>
    <x v="5"/>
    <n v="1"/>
    <n v="182.56"/>
    <x v="4"/>
    <n v="182.56"/>
    <n v="9.1280000000000001"/>
    <n v="173.43199999999999"/>
    <n v="120.41"/>
    <n v="120.41"/>
    <n v="53.021999999999998"/>
    <n v="0.30572212740440002"/>
    <x v="0"/>
    <n v="1"/>
    <n v="1"/>
    <n v="0"/>
    <n v="1"/>
  </r>
  <r>
    <n v="10323"/>
    <d v="2025-11-19T00:00:00"/>
    <s v="19"/>
    <x v="10"/>
    <x v="0"/>
    <x v="233"/>
    <x v="0"/>
    <x v="1"/>
    <x v="1"/>
    <x v="6"/>
    <n v="5"/>
    <n v="63.93"/>
    <x v="1"/>
    <n v="319.64999999999998"/>
    <n v="63.93"/>
    <n v="255.719999999999"/>
    <n v="13.5"/>
    <n v="67.5"/>
    <n v="188.219999999999"/>
    <n v="0.73603941811356099"/>
    <x v="0"/>
    <n v="1"/>
    <n v="5"/>
    <n v="0"/>
    <n v="5"/>
  </r>
  <r>
    <n v="10324"/>
    <d v="2025-11-20T00:00:00"/>
    <s v="20"/>
    <x v="10"/>
    <x v="0"/>
    <x v="275"/>
    <x v="3"/>
    <x v="0"/>
    <x v="3"/>
    <x v="5"/>
    <n v="6"/>
    <n v="124.01"/>
    <x v="3"/>
    <n v="744.06"/>
    <n v="74.406000000000006"/>
    <n v="669.654"/>
    <n v="51.72"/>
    <n v="310.32"/>
    <n v="359.334"/>
    <n v="0.53659651103405603"/>
    <x v="0"/>
    <n v="1"/>
    <n v="6"/>
    <n v="0"/>
    <n v="6"/>
  </r>
  <r>
    <n v="10325"/>
    <d v="2025-11-21T00:00:00"/>
    <s v="21"/>
    <x v="10"/>
    <x v="0"/>
    <x v="253"/>
    <x v="0"/>
    <x v="1"/>
    <x v="0"/>
    <x v="0"/>
    <n v="5"/>
    <n v="79.55"/>
    <x v="3"/>
    <n v="397.75"/>
    <n v="39.774999999999999"/>
    <n v="357.97500000000002"/>
    <n v="110.47"/>
    <n v="552.35"/>
    <n v="-194.375"/>
    <n v="-0.54298484531042601"/>
    <x v="1"/>
    <n v="0"/>
    <n v="0"/>
    <n v="5"/>
    <n v="5"/>
  </r>
  <r>
    <n v="10326"/>
    <d v="2025-11-22T00:00:00"/>
    <s v="22"/>
    <x v="10"/>
    <x v="0"/>
    <x v="276"/>
    <x v="2"/>
    <x v="1"/>
    <x v="3"/>
    <x v="3"/>
    <n v="8"/>
    <n v="98.65"/>
    <x v="1"/>
    <n v="789.2"/>
    <n v="157.84"/>
    <n v="631.36"/>
    <n v="93.84"/>
    <n v="750.72"/>
    <n v="-119.36"/>
    <n v="-0.189052204764318"/>
    <x v="1"/>
    <n v="0"/>
    <n v="0"/>
    <n v="8"/>
    <n v="8"/>
  </r>
  <r>
    <n v="10327"/>
    <d v="2025-11-23T00:00:00"/>
    <s v="23"/>
    <x v="10"/>
    <x v="0"/>
    <x v="277"/>
    <x v="3"/>
    <x v="0"/>
    <x v="3"/>
    <x v="5"/>
    <n v="3"/>
    <n v="132.06"/>
    <x v="4"/>
    <n v="396.18"/>
    <n v="19.809000000000001"/>
    <n v="376.37099999999998"/>
    <n v="68.72"/>
    <n v="206.16"/>
    <n v="170.21099999999899"/>
    <n v="0.45224260105055897"/>
    <x v="0"/>
    <n v="1"/>
    <n v="3"/>
    <n v="0"/>
    <n v="3"/>
  </r>
  <r>
    <n v="10328"/>
    <d v="2025-11-24T00:00:00"/>
    <s v="24"/>
    <x v="10"/>
    <x v="0"/>
    <x v="278"/>
    <x v="1"/>
    <x v="0"/>
    <x v="3"/>
    <x v="4"/>
    <n v="1"/>
    <n v="55.67"/>
    <x v="3"/>
    <n v="55.67"/>
    <n v="5.5670000000000002"/>
    <n v="50.103000000000002"/>
    <n v="27.58"/>
    <n v="27.58"/>
    <n v="22.523"/>
    <n v="0.449533960042312"/>
    <x v="0"/>
    <n v="1"/>
    <n v="1"/>
    <n v="0"/>
    <n v="1"/>
  </r>
  <r>
    <n v="10329"/>
    <d v="2025-11-25T00:00:00"/>
    <s v="25"/>
    <x v="10"/>
    <x v="0"/>
    <x v="279"/>
    <x v="1"/>
    <x v="0"/>
    <x v="3"/>
    <x v="4"/>
    <n v="2"/>
    <n v="184.53"/>
    <x v="3"/>
    <n v="369.06"/>
    <n v="36.905999999999999"/>
    <n v="332.154"/>
    <n v="11.9"/>
    <n v="23.8"/>
    <n v="308.35399999999998"/>
    <n v="0.92834648988119894"/>
    <x v="0"/>
    <n v="1"/>
    <n v="2"/>
    <n v="0"/>
    <n v="2"/>
  </r>
  <r>
    <n v="10330"/>
    <d v="2025-11-26T00:00:00"/>
    <s v="26"/>
    <x v="10"/>
    <x v="0"/>
    <x v="232"/>
    <x v="2"/>
    <x v="1"/>
    <x v="2"/>
    <x v="2"/>
    <n v="6"/>
    <n v="35.770000000000003"/>
    <x v="2"/>
    <n v="214.62"/>
    <n v="0"/>
    <n v="214.62"/>
    <n v="63.16"/>
    <n v="378.96"/>
    <n v="-164.33999999999901"/>
    <n v="-0.76572546826949905"/>
    <x v="1"/>
    <n v="0"/>
    <n v="0"/>
    <n v="6"/>
    <n v="6"/>
  </r>
  <r>
    <n v="10331"/>
    <d v="2025-11-27T00:00:00"/>
    <s v="27"/>
    <x v="10"/>
    <x v="0"/>
    <x v="5"/>
    <x v="3"/>
    <x v="0"/>
    <x v="3"/>
    <x v="5"/>
    <n v="8"/>
    <n v="191.73"/>
    <x v="2"/>
    <n v="1533.84"/>
    <n v="0"/>
    <n v="1533.84"/>
    <n v="104.8"/>
    <n v="838.4"/>
    <n v="695.43999999999903"/>
    <n v="0.45339800761487503"/>
    <x v="0"/>
    <n v="1"/>
    <n v="8"/>
    <n v="0"/>
    <n v="8"/>
  </r>
  <r>
    <n v="10332"/>
    <d v="2025-11-28T00:00:00"/>
    <s v="28"/>
    <x v="10"/>
    <x v="0"/>
    <x v="280"/>
    <x v="3"/>
    <x v="0"/>
    <x v="1"/>
    <x v="6"/>
    <n v="7"/>
    <n v="21.08"/>
    <x v="0"/>
    <n v="147.56"/>
    <n v="22.134"/>
    <n v="125.426"/>
    <n v="43.84"/>
    <n v="306.88"/>
    <n v="-181.45400000000001"/>
    <n v="-1.4467016408081199"/>
    <x v="1"/>
    <n v="0"/>
    <n v="0"/>
    <n v="7"/>
    <n v="7"/>
  </r>
  <r>
    <n v="10333"/>
    <d v="2025-11-29T00:00:00"/>
    <s v="29"/>
    <x v="10"/>
    <x v="0"/>
    <x v="281"/>
    <x v="3"/>
    <x v="1"/>
    <x v="0"/>
    <x v="0"/>
    <n v="1"/>
    <n v="126.12"/>
    <x v="0"/>
    <n v="126.12"/>
    <n v="18.917999999999999"/>
    <n v="107.202"/>
    <n v="135.80000000000001"/>
    <n v="135.80000000000001"/>
    <n v="-28.597999999999999"/>
    <n v="-0.26676741105576401"/>
    <x v="1"/>
    <n v="0"/>
    <n v="0"/>
    <n v="1"/>
    <n v="1"/>
  </r>
  <r>
    <n v="10334"/>
    <d v="2025-11-30T00:00:00"/>
    <s v="30"/>
    <x v="10"/>
    <x v="0"/>
    <x v="282"/>
    <x v="1"/>
    <x v="1"/>
    <x v="0"/>
    <x v="0"/>
    <n v="3"/>
    <n v="151.97"/>
    <x v="1"/>
    <n v="455.909999999999"/>
    <n v="91.182000000000002"/>
    <n v="364.72799999999899"/>
    <n v="94.83"/>
    <n v="284.49"/>
    <n v="80.2379999999999"/>
    <n v="0.21999407777850799"/>
    <x v="0"/>
    <n v="1"/>
    <n v="3"/>
    <n v="0"/>
    <n v="3"/>
  </r>
  <r>
    <n v="10335"/>
    <d v="2025-12-01T00:00:00"/>
    <s v="01"/>
    <x v="11"/>
    <x v="0"/>
    <x v="283"/>
    <x v="3"/>
    <x v="0"/>
    <x v="3"/>
    <x v="5"/>
    <n v="1"/>
    <n v="63.24"/>
    <x v="0"/>
    <n v="63.24"/>
    <n v="9.4860000000000007"/>
    <n v="53.753999999999998"/>
    <n v="71.010000000000005"/>
    <n v="71.010000000000005"/>
    <n v="-17.256"/>
    <n v="-0.32101797075566402"/>
    <x v="1"/>
    <n v="0"/>
    <n v="0"/>
    <n v="1"/>
    <n v="1"/>
  </r>
  <r>
    <n v="10336"/>
    <d v="2025-12-02T00:00:00"/>
    <s v="02"/>
    <x v="11"/>
    <x v="0"/>
    <x v="284"/>
    <x v="2"/>
    <x v="0"/>
    <x v="0"/>
    <x v="0"/>
    <n v="8"/>
    <n v="17.940000000000001"/>
    <x v="1"/>
    <n v="143.52000000000001"/>
    <n v="28.704000000000001"/>
    <n v="114.816"/>
    <n v="114.43"/>
    <n v="915.44"/>
    <n v="-800.62400000000002"/>
    <n v="-6.9731047937569599"/>
    <x v="1"/>
    <n v="0"/>
    <n v="0"/>
    <n v="8"/>
    <n v="8"/>
  </r>
  <r>
    <n v="10337"/>
    <d v="2025-12-03T00:00:00"/>
    <s v="03"/>
    <x v="11"/>
    <x v="0"/>
    <x v="285"/>
    <x v="3"/>
    <x v="1"/>
    <x v="3"/>
    <x v="4"/>
    <n v="3"/>
    <n v="179.45"/>
    <x v="2"/>
    <n v="538.349999999999"/>
    <n v="0"/>
    <n v="538.349999999999"/>
    <n v="48.45"/>
    <n v="145.35"/>
    <n v="392.99999999999898"/>
    <n v="0.7300083588743379"/>
    <x v="0"/>
    <n v="1"/>
    <n v="3"/>
    <n v="0"/>
    <n v="3"/>
  </r>
  <r>
    <n v="10338"/>
    <d v="2025-12-04T00:00:00"/>
    <s v="04"/>
    <x v="11"/>
    <x v="0"/>
    <x v="273"/>
    <x v="3"/>
    <x v="0"/>
    <x v="3"/>
    <x v="3"/>
    <n v="4"/>
    <n v="176.51"/>
    <x v="0"/>
    <n v="706.04"/>
    <n v="105.905999999999"/>
    <n v="600.13400000000001"/>
    <n v="134.62"/>
    <n v="538.48"/>
    <n v="61.653999999999897"/>
    <n v="0.102733722801907"/>
    <x v="0"/>
    <n v="1"/>
    <n v="4"/>
    <n v="0"/>
    <n v="4"/>
  </r>
  <r>
    <n v="10339"/>
    <d v="2025-12-05T00:00:00"/>
    <s v="05"/>
    <x v="11"/>
    <x v="0"/>
    <x v="286"/>
    <x v="0"/>
    <x v="0"/>
    <x v="0"/>
    <x v="0"/>
    <n v="9"/>
    <n v="17.13"/>
    <x v="1"/>
    <n v="154.16999999999999"/>
    <n v="30.834"/>
    <n v="123.335999999999"/>
    <n v="58.29"/>
    <n v="524.61"/>
    <n v="-401.274"/>
    <n v="-3.2535026269702199"/>
    <x v="1"/>
    <n v="0"/>
    <n v="0"/>
    <n v="9"/>
    <n v="9"/>
  </r>
  <r>
    <n v="10340"/>
    <d v="2025-12-06T00:00:00"/>
    <s v="06"/>
    <x v="11"/>
    <x v="0"/>
    <x v="85"/>
    <x v="2"/>
    <x v="0"/>
    <x v="0"/>
    <x v="0"/>
    <n v="9"/>
    <n v="51.16"/>
    <x v="3"/>
    <n v="460.43999999999897"/>
    <n v="46.043999999999997"/>
    <n v="414.39599999999899"/>
    <n v="5.76"/>
    <n v="51.839999999999897"/>
    <n v="362.55599999999998"/>
    <n v="0.87490226739640309"/>
    <x v="0"/>
    <n v="1"/>
    <n v="9"/>
    <n v="0"/>
    <n v="9"/>
  </r>
  <r>
    <n v="10341"/>
    <d v="2025-12-07T00:00:00"/>
    <s v="07"/>
    <x v="11"/>
    <x v="0"/>
    <x v="178"/>
    <x v="3"/>
    <x v="0"/>
    <x v="2"/>
    <x v="2"/>
    <n v="4"/>
    <n v="44.97"/>
    <x v="2"/>
    <n v="179.88"/>
    <n v="0"/>
    <n v="179.88"/>
    <n v="146.88999999999999"/>
    <n v="587.55999999999995"/>
    <n v="-407.67999999999898"/>
    <n v="-2.2663998221036201"/>
    <x v="1"/>
    <n v="0"/>
    <n v="0"/>
    <n v="4"/>
    <n v="4"/>
  </r>
  <r>
    <n v="10342"/>
    <d v="2025-12-08T00:00:00"/>
    <s v="08"/>
    <x v="11"/>
    <x v="0"/>
    <x v="287"/>
    <x v="2"/>
    <x v="0"/>
    <x v="2"/>
    <x v="2"/>
    <n v="8"/>
    <n v="93.09"/>
    <x v="1"/>
    <n v="744.72"/>
    <n v="148.94399999999999"/>
    <n v="595.77599999999995"/>
    <n v="76.930000000000007"/>
    <n v="615.44000000000005"/>
    <n v="-19.663999999999898"/>
    <n v="-3.3005693414974703E-2"/>
    <x v="1"/>
    <n v="0"/>
    <n v="0"/>
    <n v="8"/>
    <n v="8"/>
  </r>
  <r>
    <n v="10343"/>
    <d v="2025-12-09T00:00:00"/>
    <s v="09"/>
    <x v="11"/>
    <x v="0"/>
    <x v="20"/>
    <x v="1"/>
    <x v="1"/>
    <x v="1"/>
    <x v="1"/>
    <n v="9"/>
    <n v="48.35"/>
    <x v="3"/>
    <n v="435.15"/>
    <n v="43.515000000000001"/>
    <n v="391.63499999999999"/>
    <n v="136.02000000000001"/>
    <n v="1224.18"/>
    <n v="-832.54499999999996"/>
    <n v="-2.12581868321268"/>
    <x v="1"/>
    <n v="0"/>
    <n v="0"/>
    <n v="9"/>
    <n v="9"/>
  </r>
  <r>
    <n v="10344"/>
    <d v="2025-12-10T00:00:00"/>
    <s v="10"/>
    <x v="11"/>
    <x v="0"/>
    <x v="196"/>
    <x v="2"/>
    <x v="1"/>
    <x v="3"/>
    <x v="4"/>
    <n v="4"/>
    <n v="113.77"/>
    <x v="4"/>
    <n v="455.08"/>
    <n v="22.754000000000001"/>
    <n v="432.325999999999"/>
    <n v="20.81"/>
    <n v="83.24"/>
    <n v="349.08599999999899"/>
    <n v="0.80746011111984894"/>
    <x v="0"/>
    <n v="1"/>
    <n v="4"/>
    <n v="0"/>
    <n v="4"/>
  </r>
  <r>
    <n v="10345"/>
    <d v="2025-12-11T00:00:00"/>
    <s v="11"/>
    <x v="11"/>
    <x v="0"/>
    <x v="288"/>
    <x v="3"/>
    <x v="0"/>
    <x v="3"/>
    <x v="4"/>
    <n v="3"/>
    <n v="183.97"/>
    <x v="4"/>
    <n v="551.91"/>
    <n v="27.595500000000001"/>
    <n v="524.31449999999995"/>
    <n v="33.99"/>
    <n v="101.97"/>
    <n v="422.34449999999902"/>
    <n v="0.80551748997977302"/>
    <x v="0"/>
    <n v="1"/>
    <n v="3"/>
    <n v="0"/>
    <n v="3"/>
  </r>
  <r>
    <n v="10346"/>
    <d v="2025-12-12T00:00:00"/>
    <s v="12"/>
    <x v="11"/>
    <x v="0"/>
    <x v="289"/>
    <x v="2"/>
    <x v="1"/>
    <x v="3"/>
    <x v="3"/>
    <n v="1"/>
    <n v="204.94"/>
    <x v="1"/>
    <n v="204.94"/>
    <n v="40.988"/>
    <n v="163.952"/>
    <n v="75.14"/>
    <n v="75.14"/>
    <n v="88.811999999999998"/>
    <n v="0.54169513028203298"/>
    <x v="0"/>
    <n v="1"/>
    <n v="1"/>
    <n v="0"/>
    <n v="1"/>
  </r>
  <r>
    <n v="10347"/>
    <d v="2025-12-13T00:00:00"/>
    <s v="13"/>
    <x v="11"/>
    <x v="0"/>
    <x v="40"/>
    <x v="0"/>
    <x v="1"/>
    <x v="1"/>
    <x v="6"/>
    <n v="6"/>
    <n v="211.08"/>
    <x v="4"/>
    <n v="1266.48"/>
    <n v="63.323999999999998"/>
    <n v="1203.1559999999999"/>
    <n v="134.84"/>
    <n v="809.04"/>
    <n v="394.11599999999999"/>
    <n v="0.32756849485852202"/>
    <x v="0"/>
    <n v="1"/>
    <n v="6"/>
    <n v="0"/>
    <n v="6"/>
  </r>
  <r>
    <n v="10348"/>
    <d v="2025-12-14T00:00:00"/>
    <s v="14"/>
    <x v="11"/>
    <x v="0"/>
    <x v="290"/>
    <x v="3"/>
    <x v="0"/>
    <x v="0"/>
    <x v="0"/>
    <n v="1"/>
    <n v="67.959999999999994"/>
    <x v="1"/>
    <n v="67.959999999999994"/>
    <n v="13.591999999999899"/>
    <n v="54.367999999999903"/>
    <n v="18.34"/>
    <n v="18.34"/>
    <n v="36.027999999999899"/>
    <n v="0.66266921718658001"/>
    <x v="0"/>
    <n v="1"/>
    <n v="1"/>
    <n v="0"/>
    <n v="1"/>
  </r>
  <r>
    <n v="10349"/>
    <d v="2025-12-15T00:00:00"/>
    <s v="15"/>
    <x v="11"/>
    <x v="0"/>
    <x v="291"/>
    <x v="2"/>
    <x v="0"/>
    <x v="3"/>
    <x v="3"/>
    <n v="4"/>
    <n v="128.41999999999999"/>
    <x v="4"/>
    <n v="513.67999999999995"/>
    <n v="25.683999999999902"/>
    <n v="487.99599999999998"/>
    <n v="83.08"/>
    <n v="332.32"/>
    <n v="155.67599999999999"/>
    <n v="0.319010811564029"/>
    <x v="0"/>
    <n v="1"/>
    <n v="4"/>
    <n v="0"/>
    <n v="4"/>
  </r>
  <r>
    <n v="10350"/>
    <d v="2025-12-16T00:00:00"/>
    <s v="16"/>
    <x v="11"/>
    <x v="0"/>
    <x v="292"/>
    <x v="1"/>
    <x v="1"/>
    <x v="3"/>
    <x v="4"/>
    <n v="2"/>
    <n v="209.46"/>
    <x v="0"/>
    <n v="418.92"/>
    <n v="62.838000000000001"/>
    <n v="356.08199999999999"/>
    <n v="114.93"/>
    <n v="229.86"/>
    <n v="126.221999999999"/>
    <n v="0.35447453114731997"/>
    <x v="0"/>
    <n v="1"/>
    <n v="2"/>
    <n v="0"/>
    <n v="2"/>
  </r>
  <r>
    <n v="10351"/>
    <d v="2025-12-17T00:00:00"/>
    <s v="17"/>
    <x v="11"/>
    <x v="0"/>
    <x v="293"/>
    <x v="0"/>
    <x v="0"/>
    <x v="3"/>
    <x v="4"/>
    <n v="5"/>
    <n v="228.77"/>
    <x v="1"/>
    <n v="1143.8499999999999"/>
    <n v="228.77"/>
    <n v="915.08"/>
    <n v="61.61"/>
    <n v="308.05"/>
    <n v="607.03"/>
    <n v="0.66336276609695299"/>
    <x v="0"/>
    <n v="1"/>
    <n v="5"/>
    <n v="0"/>
    <n v="5"/>
  </r>
  <r>
    <n v="10352"/>
    <d v="2025-12-18T00:00:00"/>
    <s v="18"/>
    <x v="11"/>
    <x v="0"/>
    <x v="260"/>
    <x v="2"/>
    <x v="1"/>
    <x v="3"/>
    <x v="3"/>
    <n v="7"/>
    <n v="183.76"/>
    <x v="4"/>
    <n v="1286.32"/>
    <n v="64.316000000000003"/>
    <n v="1222.0039999999999"/>
    <n v="69.569999999999993"/>
    <n v="486.98999999999899"/>
    <n v="735.01399999999899"/>
    <n v="0.60148248287239603"/>
    <x v="0"/>
    <n v="1"/>
    <n v="7"/>
    <n v="0"/>
    <n v="7"/>
  </r>
  <r>
    <n v="10353"/>
    <d v="2025-12-19T00:00:00"/>
    <s v="19"/>
    <x v="11"/>
    <x v="0"/>
    <x v="176"/>
    <x v="3"/>
    <x v="1"/>
    <x v="3"/>
    <x v="3"/>
    <n v="4"/>
    <n v="124.8"/>
    <x v="0"/>
    <n v="499.2"/>
    <n v="74.88"/>
    <n v="424.32"/>
    <n v="140.38999999999999"/>
    <n v="561.55999999999995"/>
    <n v="-137.23999999999899"/>
    <n v="-0.32343514328808404"/>
    <x v="1"/>
    <n v="0"/>
    <n v="0"/>
    <n v="4"/>
    <n v="4"/>
  </r>
  <r>
    <n v="10354"/>
    <d v="2025-12-20T00:00:00"/>
    <s v="20"/>
    <x v="11"/>
    <x v="0"/>
    <x v="59"/>
    <x v="3"/>
    <x v="0"/>
    <x v="0"/>
    <x v="0"/>
    <n v="2"/>
    <n v="48.98"/>
    <x v="2"/>
    <n v="97.96"/>
    <n v="0"/>
    <n v="97.96"/>
    <n v="82.87"/>
    <n v="165.74"/>
    <n v="-67.78"/>
    <n v="-0.69191506737443798"/>
    <x v="1"/>
    <n v="0"/>
    <n v="0"/>
    <n v="2"/>
    <n v="2"/>
  </r>
  <r>
    <n v="10355"/>
    <d v="2025-12-21T00:00:00"/>
    <s v="21"/>
    <x v="11"/>
    <x v="0"/>
    <x v="294"/>
    <x v="3"/>
    <x v="1"/>
    <x v="3"/>
    <x v="3"/>
    <n v="1"/>
    <n v="199.85"/>
    <x v="0"/>
    <n v="199.85"/>
    <n v="29.977499999999999"/>
    <n v="169.8725"/>
    <n v="105.05"/>
    <n v="105.05"/>
    <n v="64.822500000000005"/>
    <n v="0.38159501979425697"/>
    <x v="0"/>
    <n v="1"/>
    <n v="1"/>
    <n v="0"/>
    <n v="1"/>
  </r>
  <r>
    <n v="10356"/>
    <d v="2025-12-22T00:00:00"/>
    <s v="22"/>
    <x v="11"/>
    <x v="0"/>
    <x v="295"/>
    <x v="1"/>
    <x v="1"/>
    <x v="1"/>
    <x v="1"/>
    <n v="6"/>
    <n v="78.540000000000006"/>
    <x v="0"/>
    <n v="471.24"/>
    <n v="70.685999999999893"/>
    <n v="400.55399999999997"/>
    <n v="102.58"/>
    <n v="615.48"/>
    <n v="-214.92599999999999"/>
    <n v="-0.53657184799053292"/>
    <x v="1"/>
    <n v="0"/>
    <n v="0"/>
    <n v="6"/>
    <n v="6"/>
  </r>
  <r>
    <n v="10357"/>
    <d v="2025-12-23T00:00:00"/>
    <s v="23"/>
    <x v="11"/>
    <x v="0"/>
    <x v="296"/>
    <x v="1"/>
    <x v="1"/>
    <x v="1"/>
    <x v="6"/>
    <n v="5"/>
    <n v="49.62"/>
    <x v="4"/>
    <n v="248.1"/>
    <n v="12.404999999999999"/>
    <n v="235.69499999999999"/>
    <n v="135.1"/>
    <n v="675.5"/>
    <n v="-439.80500000000001"/>
    <n v="-1.86599206601752"/>
    <x v="1"/>
    <n v="0"/>
    <n v="0"/>
    <n v="5"/>
    <n v="5"/>
  </r>
  <r>
    <n v="10358"/>
    <d v="2025-12-24T00:00:00"/>
    <s v="24"/>
    <x v="11"/>
    <x v="0"/>
    <x v="297"/>
    <x v="0"/>
    <x v="0"/>
    <x v="3"/>
    <x v="3"/>
    <n v="2"/>
    <n v="53.83"/>
    <x v="4"/>
    <n v="107.66"/>
    <n v="5.383"/>
    <n v="102.277"/>
    <n v="54.51"/>
    <n v="109.02"/>
    <n v="-6.7429999999999897"/>
    <n v="-6.5928801196749903E-2"/>
    <x v="1"/>
    <n v="0"/>
    <n v="0"/>
    <n v="2"/>
    <n v="2"/>
  </r>
  <r>
    <n v="10359"/>
    <d v="2025-12-25T00:00:00"/>
    <s v="25"/>
    <x v="11"/>
    <x v="0"/>
    <x v="298"/>
    <x v="0"/>
    <x v="0"/>
    <x v="1"/>
    <x v="6"/>
    <n v="3"/>
    <n v="178"/>
    <x v="0"/>
    <n v="534"/>
    <n v="80.099999999999994"/>
    <n v="453.9"/>
    <n v="84.34"/>
    <n v="253.02"/>
    <n v="200.879999999999"/>
    <n v="0.44256444150693902"/>
    <x v="0"/>
    <n v="1"/>
    <n v="3"/>
    <n v="0"/>
    <n v="3"/>
  </r>
  <r>
    <n v="10360"/>
    <d v="2025-12-26T00:00:00"/>
    <s v="26"/>
    <x v="11"/>
    <x v="0"/>
    <x v="299"/>
    <x v="1"/>
    <x v="0"/>
    <x v="0"/>
    <x v="0"/>
    <n v="4"/>
    <n v="231.1"/>
    <x v="2"/>
    <n v="924.4"/>
    <n v="0"/>
    <n v="924.4"/>
    <n v="35.97"/>
    <n v="143.88"/>
    <n v="780.52"/>
    <n v="0.84435309389874502"/>
    <x v="0"/>
    <n v="1"/>
    <n v="4"/>
    <n v="0"/>
    <n v="4"/>
  </r>
  <r>
    <n v="10361"/>
    <d v="2025-12-27T00:00:00"/>
    <s v="27"/>
    <x v="11"/>
    <x v="0"/>
    <x v="300"/>
    <x v="3"/>
    <x v="1"/>
    <x v="2"/>
    <x v="2"/>
    <n v="9"/>
    <n v="42.21"/>
    <x v="4"/>
    <n v="379.89"/>
    <n v="18.994499999999999"/>
    <n v="360.895499999999"/>
    <n v="53.26"/>
    <n v="479.34"/>
    <n v="-118.44450000000001"/>
    <n v="-0.32819611217097405"/>
    <x v="1"/>
    <n v="0"/>
    <n v="0"/>
    <n v="9"/>
    <n v="9"/>
  </r>
  <r>
    <n v="10362"/>
    <d v="2025-12-28T00:00:00"/>
    <s v="28"/>
    <x v="11"/>
    <x v="0"/>
    <x v="301"/>
    <x v="1"/>
    <x v="1"/>
    <x v="3"/>
    <x v="3"/>
    <n v="8"/>
    <n v="245.22"/>
    <x v="3"/>
    <n v="1961.76"/>
    <n v="196.17599999999999"/>
    <n v="1765.5840000000001"/>
    <n v="124.17"/>
    <n v="993.36"/>
    <n v="772.22400000000005"/>
    <n v="0.43737596172144699"/>
    <x v="0"/>
    <n v="1"/>
    <n v="8"/>
    <n v="0"/>
    <n v="8"/>
  </r>
  <r>
    <n v="10363"/>
    <d v="2025-12-29T00:00:00"/>
    <s v="29"/>
    <x v="11"/>
    <x v="0"/>
    <x v="302"/>
    <x v="1"/>
    <x v="0"/>
    <x v="2"/>
    <x v="2"/>
    <n v="6"/>
    <n v="195.28"/>
    <x v="0"/>
    <n v="1171.68"/>
    <n v="175.75200000000001"/>
    <n v="995.928"/>
    <n v="144.74"/>
    <n v="868.44"/>
    <n v="127.488"/>
    <n v="0.128009253680989"/>
    <x v="0"/>
    <n v="1"/>
    <n v="6"/>
    <n v="0"/>
    <n v="6"/>
  </r>
  <r>
    <n v="10364"/>
    <d v="2025-12-30T00:00:00"/>
    <s v="30"/>
    <x v="11"/>
    <x v="0"/>
    <x v="299"/>
    <x v="1"/>
    <x v="0"/>
    <x v="3"/>
    <x v="3"/>
    <n v="8"/>
    <n v="93.85"/>
    <x v="4"/>
    <n v="750.8"/>
    <n v="37.54"/>
    <n v="713.26"/>
    <n v="52.55"/>
    <n v="420.4"/>
    <n v="292.86"/>
    <n v="0.41059361242744502"/>
    <x v="0"/>
    <n v="1"/>
    <n v="8"/>
    <n v="0"/>
    <n v="8"/>
  </r>
  <r>
    <n v="10365"/>
    <d v="2025-12-31T00:00:00"/>
    <s v="31"/>
    <x v="11"/>
    <x v="0"/>
    <x v="303"/>
    <x v="3"/>
    <x v="0"/>
    <x v="0"/>
    <x v="0"/>
    <n v="5"/>
    <n v="25.78"/>
    <x v="3"/>
    <n v="128.9"/>
    <n v="12.89"/>
    <n v="116.01"/>
    <n v="115.45"/>
    <n v="577.25"/>
    <n v="-461.24"/>
    <n v="-3.9758641496422702"/>
    <x v="1"/>
    <n v="0"/>
    <n v="0"/>
    <n v="5"/>
    <n v="5"/>
  </r>
  <r>
    <n v="10366"/>
    <d v="2026-01-01T00:00:00"/>
    <s v="01"/>
    <x v="0"/>
    <x v="1"/>
    <x v="304"/>
    <x v="2"/>
    <x v="1"/>
    <x v="3"/>
    <x v="3"/>
    <n v="1"/>
    <n v="109.46"/>
    <x v="2"/>
    <n v="109.46"/>
    <n v="0"/>
    <n v="109.46"/>
    <n v="82.96"/>
    <n v="82.96"/>
    <n v="26.5"/>
    <n v="0.24209756988854297"/>
    <x v="0"/>
    <n v="1"/>
    <n v="1"/>
    <n v="0"/>
    <n v="1"/>
  </r>
  <r>
    <n v="10367"/>
    <d v="2026-01-02T00:00:00"/>
    <s v="02"/>
    <x v="0"/>
    <x v="1"/>
    <x v="305"/>
    <x v="0"/>
    <x v="0"/>
    <x v="3"/>
    <x v="5"/>
    <n v="2"/>
    <n v="140.09"/>
    <x v="4"/>
    <n v="280.18"/>
    <n v="14.009"/>
    <n v="266.17099999999999"/>
    <n v="105.43"/>
    <n v="210.86"/>
    <n v="55.3109999999999"/>
    <n v="0.20780250290226898"/>
    <x v="0"/>
    <n v="1"/>
    <n v="2"/>
    <n v="0"/>
    <n v="2"/>
  </r>
  <r>
    <n v="10368"/>
    <d v="2026-01-03T00:00:00"/>
    <s v="03"/>
    <x v="0"/>
    <x v="1"/>
    <x v="306"/>
    <x v="3"/>
    <x v="1"/>
    <x v="3"/>
    <x v="5"/>
    <n v="4"/>
    <n v="93.98"/>
    <x v="1"/>
    <n v="375.92"/>
    <n v="75.183999999999997"/>
    <n v="300.73599999999999"/>
    <n v="58.13"/>
    <n v="232.52"/>
    <n v="68.215999999999894"/>
    <n v="0.226830176633326"/>
    <x v="0"/>
    <n v="1"/>
    <n v="4"/>
    <n v="0"/>
    <n v="4"/>
  </r>
  <r>
    <n v="10369"/>
    <d v="2026-01-04T00:00:00"/>
    <s v="04"/>
    <x v="0"/>
    <x v="1"/>
    <x v="307"/>
    <x v="2"/>
    <x v="0"/>
    <x v="2"/>
    <x v="2"/>
    <n v="9"/>
    <n v="205.1"/>
    <x v="1"/>
    <n v="1845.8999999999901"/>
    <n v="369.18"/>
    <n v="1476.71999999999"/>
    <n v="56.24"/>
    <n v="506.16"/>
    <n v="970.55999999999904"/>
    <n v="0.65724037055094997"/>
    <x v="0"/>
    <n v="1"/>
    <n v="9"/>
    <n v="0"/>
    <n v="9"/>
  </r>
  <r>
    <n v="10370"/>
    <d v="2026-01-05T00:00:00"/>
    <s v="05"/>
    <x v="0"/>
    <x v="1"/>
    <x v="308"/>
    <x v="3"/>
    <x v="1"/>
    <x v="1"/>
    <x v="6"/>
    <n v="7"/>
    <n v="100.57"/>
    <x v="0"/>
    <n v="703.99"/>
    <n v="105.5985"/>
    <n v="598.39149999999995"/>
    <n v="34.9"/>
    <n v="244.29999999999899"/>
    <n v="354.0915"/>
    <n v="0.59173885324239994"/>
    <x v="0"/>
    <n v="1"/>
    <n v="7"/>
    <n v="0"/>
    <n v="7"/>
  </r>
  <r>
    <n v="10371"/>
    <d v="2026-01-06T00:00:00"/>
    <s v="06"/>
    <x v="0"/>
    <x v="1"/>
    <x v="118"/>
    <x v="2"/>
    <x v="0"/>
    <x v="1"/>
    <x v="1"/>
    <n v="1"/>
    <n v="137.51"/>
    <x v="1"/>
    <n v="137.51"/>
    <n v="27.501999999999999"/>
    <n v="110.008"/>
    <n v="77.709999999999994"/>
    <n v="77.709999999999994"/>
    <n v="32.298000000000002"/>
    <n v="0.29359682932150299"/>
    <x v="0"/>
    <n v="1"/>
    <n v="1"/>
    <n v="0"/>
    <n v="1"/>
  </r>
  <r>
    <n v="10372"/>
    <d v="2026-01-07T00:00:00"/>
    <s v="07"/>
    <x v="0"/>
    <x v="1"/>
    <x v="32"/>
    <x v="2"/>
    <x v="1"/>
    <x v="1"/>
    <x v="1"/>
    <n v="3"/>
    <n v="148.61000000000001"/>
    <x v="3"/>
    <n v="445.83"/>
    <n v="44.582999999999998"/>
    <n v="401.24700000000001"/>
    <n v="13.09"/>
    <n v="39.269999999999897"/>
    <n v="361.97699999999998"/>
    <n v="0.90213010938399507"/>
    <x v="0"/>
    <n v="1"/>
    <n v="3"/>
    <n v="0"/>
    <n v="3"/>
  </r>
  <r>
    <n v="10373"/>
    <d v="2026-01-08T00:00:00"/>
    <s v="08"/>
    <x v="0"/>
    <x v="1"/>
    <x v="309"/>
    <x v="0"/>
    <x v="0"/>
    <x v="3"/>
    <x v="3"/>
    <n v="6"/>
    <n v="198.51"/>
    <x v="2"/>
    <n v="1191.06"/>
    <n v="0"/>
    <n v="1191.06"/>
    <n v="129.75"/>
    <n v="778.5"/>
    <n v="412.55999999999898"/>
    <n v="0.34638053498564297"/>
    <x v="0"/>
    <n v="1"/>
    <n v="6"/>
    <n v="0"/>
    <n v="6"/>
  </r>
  <r>
    <n v="10374"/>
    <d v="2026-01-09T00:00:00"/>
    <s v="09"/>
    <x v="0"/>
    <x v="1"/>
    <x v="112"/>
    <x v="3"/>
    <x v="0"/>
    <x v="3"/>
    <x v="4"/>
    <n v="5"/>
    <n v="32.909999999999997"/>
    <x v="1"/>
    <n v="164.54999999999899"/>
    <n v="32.909999999999997"/>
    <n v="131.63999999999999"/>
    <n v="40.380000000000003"/>
    <n v="201.9"/>
    <n v="-70.260000000000005"/>
    <n v="-0.53372835004557895"/>
    <x v="1"/>
    <n v="0"/>
    <n v="0"/>
    <n v="5"/>
    <n v="5"/>
  </r>
  <r>
    <n v="10375"/>
    <d v="2026-01-10T00:00:00"/>
    <s v="10"/>
    <x v="0"/>
    <x v="1"/>
    <x v="119"/>
    <x v="0"/>
    <x v="1"/>
    <x v="1"/>
    <x v="6"/>
    <n v="5"/>
    <n v="210.52"/>
    <x v="2"/>
    <n v="1052.5999999999999"/>
    <n v="0"/>
    <n v="1052.5999999999999"/>
    <n v="96.89"/>
    <n v="484.45"/>
    <n v="568.15"/>
    <n v="0.53975869276078203"/>
    <x v="0"/>
    <n v="1"/>
    <n v="5"/>
    <n v="0"/>
    <n v="5"/>
  </r>
  <r>
    <n v="10376"/>
    <d v="2026-01-11T00:00:00"/>
    <s v="11"/>
    <x v="0"/>
    <x v="1"/>
    <x v="310"/>
    <x v="0"/>
    <x v="0"/>
    <x v="1"/>
    <x v="6"/>
    <n v="8"/>
    <n v="150.9"/>
    <x v="0"/>
    <n v="1207.2"/>
    <n v="181.08"/>
    <n v="1026.1199999999999"/>
    <n v="78.36"/>
    <n v="626.88"/>
    <n v="399.24"/>
    <n v="0.38907730090047898"/>
    <x v="0"/>
    <n v="1"/>
    <n v="8"/>
    <n v="0"/>
    <n v="8"/>
  </r>
  <r>
    <n v="10377"/>
    <d v="2026-01-12T00:00:00"/>
    <s v="12"/>
    <x v="0"/>
    <x v="1"/>
    <x v="311"/>
    <x v="1"/>
    <x v="0"/>
    <x v="3"/>
    <x v="5"/>
    <n v="5"/>
    <n v="209.63"/>
    <x v="1"/>
    <n v="1048.1500000000001"/>
    <n v="209.63"/>
    <n v="838.52"/>
    <n v="55.38"/>
    <n v="276.89999999999998"/>
    <n v="561.62"/>
    <n v="0.66977531841816496"/>
    <x v="0"/>
    <n v="1"/>
    <n v="5"/>
    <n v="0"/>
    <n v="5"/>
  </r>
  <r>
    <n v="10378"/>
    <d v="2026-01-13T00:00:00"/>
    <s v="13"/>
    <x v="0"/>
    <x v="1"/>
    <x v="305"/>
    <x v="2"/>
    <x v="1"/>
    <x v="1"/>
    <x v="6"/>
    <n v="2"/>
    <n v="129.81"/>
    <x v="0"/>
    <n v="259.62"/>
    <n v="38.942999999999998"/>
    <n v="220.67699999999999"/>
    <n v="141.85"/>
    <n v="283.7"/>
    <n v="-63.022999999999897"/>
    <n v="-0.28558934551403103"/>
    <x v="1"/>
    <n v="0"/>
    <n v="0"/>
    <n v="2"/>
    <n v="2"/>
  </r>
  <r>
    <n v="10379"/>
    <d v="2026-01-14T00:00:00"/>
    <s v="14"/>
    <x v="0"/>
    <x v="1"/>
    <x v="76"/>
    <x v="1"/>
    <x v="0"/>
    <x v="3"/>
    <x v="5"/>
    <n v="3"/>
    <n v="145"/>
    <x v="0"/>
    <n v="435"/>
    <n v="65.25"/>
    <n v="369.75"/>
    <n v="128.1"/>
    <n v="384.29999999999899"/>
    <n v="-14.549999999999899"/>
    <n v="-3.9350912778904498E-2"/>
    <x v="1"/>
    <n v="0"/>
    <n v="0"/>
    <n v="3"/>
    <n v="3"/>
  </r>
  <r>
    <n v="10380"/>
    <d v="2026-01-15T00:00:00"/>
    <s v="15"/>
    <x v="0"/>
    <x v="1"/>
    <x v="96"/>
    <x v="0"/>
    <x v="1"/>
    <x v="0"/>
    <x v="0"/>
    <n v="8"/>
    <n v="233.82"/>
    <x v="2"/>
    <n v="1870.56"/>
    <n v="0"/>
    <n v="1870.56"/>
    <n v="111.63"/>
    <n v="893.04"/>
    <n v="977.52"/>
    <n v="0.52258147292789303"/>
    <x v="0"/>
    <n v="1"/>
    <n v="8"/>
    <n v="0"/>
    <n v="8"/>
  </r>
  <r>
    <n v="10381"/>
    <d v="2026-01-16T00:00:00"/>
    <s v="16"/>
    <x v="0"/>
    <x v="1"/>
    <x v="312"/>
    <x v="0"/>
    <x v="0"/>
    <x v="3"/>
    <x v="5"/>
    <n v="9"/>
    <n v="159.38999999999999"/>
    <x v="4"/>
    <n v="1434.50999999999"/>
    <n v="71.725499999999997"/>
    <n v="1362.78449999999"/>
    <n v="22.16"/>
    <n v="199.44"/>
    <n v="1163.3444999999899"/>
    <n v="0.85365257676470407"/>
    <x v="0"/>
    <n v="1"/>
    <n v="9"/>
    <n v="0"/>
    <n v="9"/>
  </r>
  <r>
    <n v="10382"/>
    <d v="2026-01-17T00:00:00"/>
    <s v="17"/>
    <x v="0"/>
    <x v="1"/>
    <x v="304"/>
    <x v="0"/>
    <x v="0"/>
    <x v="3"/>
    <x v="4"/>
    <n v="7"/>
    <n v="164.88"/>
    <x v="2"/>
    <n v="1154.1599999999901"/>
    <n v="0"/>
    <n v="1154.1599999999901"/>
    <n v="72.040000000000006"/>
    <n v="504.28"/>
    <n v="649.87999999999897"/>
    <n v="0.56307617661329401"/>
    <x v="0"/>
    <n v="1"/>
    <n v="7"/>
    <n v="0"/>
    <n v="7"/>
  </r>
  <r>
    <n v="10383"/>
    <d v="2026-01-18T00:00:00"/>
    <s v="18"/>
    <x v="0"/>
    <x v="1"/>
    <x v="313"/>
    <x v="1"/>
    <x v="1"/>
    <x v="3"/>
    <x v="5"/>
    <n v="6"/>
    <n v="210.98"/>
    <x v="2"/>
    <n v="1265.8799999999901"/>
    <n v="0"/>
    <n v="1265.8799999999901"/>
    <n v="99.41"/>
    <n v="596.46"/>
    <n v="669.41999999999905"/>
    <n v="0.52881789743103602"/>
    <x v="0"/>
    <n v="1"/>
    <n v="6"/>
    <n v="0"/>
    <n v="6"/>
  </r>
  <r>
    <n v="10384"/>
    <d v="2026-01-19T00:00:00"/>
    <s v="19"/>
    <x v="0"/>
    <x v="1"/>
    <x v="314"/>
    <x v="0"/>
    <x v="0"/>
    <x v="2"/>
    <x v="2"/>
    <n v="4"/>
    <n v="227.99"/>
    <x v="3"/>
    <n v="911.96"/>
    <n v="91.195999999999998"/>
    <n v="820.76400000000001"/>
    <n v="18.829999999999998"/>
    <n v="75.319999999999993"/>
    <n v="745.44399999999996"/>
    <n v="0.9082318425272059"/>
    <x v="0"/>
    <n v="1"/>
    <n v="4"/>
    <n v="0"/>
    <n v="4"/>
  </r>
  <r>
    <n v="10385"/>
    <d v="2026-01-20T00:00:00"/>
    <s v="20"/>
    <x v="0"/>
    <x v="1"/>
    <x v="315"/>
    <x v="0"/>
    <x v="1"/>
    <x v="3"/>
    <x v="3"/>
    <n v="7"/>
    <n v="68.47"/>
    <x v="0"/>
    <n v="479.289999999999"/>
    <n v="71.893499999999904"/>
    <n v="407.39649999999898"/>
    <n v="105.89"/>
    <n v="741.23"/>
    <n v="-333.83350000000002"/>
    <n v="-0.8194314384144189"/>
    <x v="1"/>
    <n v="0"/>
    <n v="0"/>
    <n v="7"/>
    <n v="7"/>
  </r>
  <r>
    <n v="10386"/>
    <d v="2026-01-21T00:00:00"/>
    <s v="21"/>
    <x v="0"/>
    <x v="1"/>
    <x v="188"/>
    <x v="0"/>
    <x v="1"/>
    <x v="1"/>
    <x v="1"/>
    <n v="1"/>
    <n v="168.91"/>
    <x v="0"/>
    <n v="168.91"/>
    <n v="25.336499999999901"/>
    <n v="143.5735"/>
    <n v="123.38"/>
    <n v="123.38"/>
    <n v="20.1935"/>
    <n v="0.14064921451382001"/>
    <x v="0"/>
    <n v="1"/>
    <n v="1"/>
    <n v="0"/>
    <n v="1"/>
  </r>
  <r>
    <n v="10387"/>
    <d v="2026-01-22T00:00:00"/>
    <s v="22"/>
    <x v="0"/>
    <x v="1"/>
    <x v="164"/>
    <x v="0"/>
    <x v="1"/>
    <x v="1"/>
    <x v="1"/>
    <n v="7"/>
    <n v="38.89"/>
    <x v="2"/>
    <n v="272.23"/>
    <n v="0"/>
    <n v="272.23"/>
    <n v="142.63"/>
    <n v="998.41"/>
    <n v="-726.18"/>
    <n v="-2.6675237850347098"/>
    <x v="1"/>
    <n v="0"/>
    <n v="0"/>
    <n v="7"/>
    <n v="7"/>
  </r>
  <r>
    <n v="10388"/>
    <d v="2026-01-23T00:00:00"/>
    <s v="23"/>
    <x v="0"/>
    <x v="1"/>
    <x v="316"/>
    <x v="1"/>
    <x v="0"/>
    <x v="2"/>
    <x v="2"/>
    <n v="1"/>
    <n v="25.67"/>
    <x v="3"/>
    <n v="25.67"/>
    <n v="2.5670000000000002"/>
    <n v="23.103000000000002"/>
    <n v="77.8"/>
    <n v="77.8"/>
    <n v="-54.696999999999903"/>
    <n v="-2.3675280266632002"/>
    <x v="1"/>
    <n v="0"/>
    <n v="0"/>
    <n v="1"/>
    <n v="1"/>
  </r>
  <r>
    <n v="10389"/>
    <d v="2026-01-24T00:00:00"/>
    <s v="24"/>
    <x v="0"/>
    <x v="1"/>
    <x v="317"/>
    <x v="1"/>
    <x v="1"/>
    <x v="2"/>
    <x v="2"/>
    <n v="7"/>
    <n v="162.94"/>
    <x v="0"/>
    <n v="1140.58"/>
    <n v="171.08699999999999"/>
    <n v="969.49299999999903"/>
    <n v="9.16"/>
    <n v="64.12"/>
    <n v="905.37299999999902"/>
    <n v="0.933862338356233"/>
    <x v="0"/>
    <n v="1"/>
    <n v="7"/>
    <n v="0"/>
    <n v="7"/>
  </r>
  <r>
    <n v="10390"/>
    <d v="2026-01-25T00:00:00"/>
    <s v="25"/>
    <x v="0"/>
    <x v="1"/>
    <x v="318"/>
    <x v="2"/>
    <x v="1"/>
    <x v="1"/>
    <x v="1"/>
    <n v="6"/>
    <n v="127.65"/>
    <x v="3"/>
    <n v="765.9"/>
    <n v="76.59"/>
    <n v="689.31"/>
    <n v="35.159999999999997"/>
    <n v="210.95999999999901"/>
    <n v="478.35"/>
    <n v="0.69395482438960698"/>
    <x v="0"/>
    <n v="1"/>
    <n v="6"/>
    <n v="0"/>
    <n v="6"/>
  </r>
  <r>
    <n v="10391"/>
    <d v="2026-01-26T00:00:00"/>
    <s v="26"/>
    <x v="0"/>
    <x v="1"/>
    <x v="319"/>
    <x v="0"/>
    <x v="0"/>
    <x v="3"/>
    <x v="4"/>
    <n v="2"/>
    <n v="221.52"/>
    <x v="4"/>
    <n v="443.04"/>
    <n v="22.152000000000001"/>
    <n v="420.88799999999998"/>
    <n v="121.76"/>
    <n v="243.52"/>
    <n v="177.36799999999999"/>
    <n v="0.42141377278515896"/>
    <x v="0"/>
    <n v="1"/>
    <n v="2"/>
    <n v="0"/>
    <n v="2"/>
  </r>
  <r>
    <n v="10392"/>
    <d v="2026-01-27T00:00:00"/>
    <s v="27"/>
    <x v="0"/>
    <x v="1"/>
    <x v="59"/>
    <x v="3"/>
    <x v="0"/>
    <x v="3"/>
    <x v="5"/>
    <n v="2"/>
    <n v="98.54"/>
    <x v="0"/>
    <n v="197.08"/>
    <n v="29.562000000000001"/>
    <n v="167.518"/>
    <n v="26.51"/>
    <n v="53.02"/>
    <n v="114.497999999999"/>
    <n v="0.68349669886221098"/>
    <x v="0"/>
    <n v="1"/>
    <n v="2"/>
    <n v="0"/>
    <n v="2"/>
  </r>
  <r>
    <n v="10393"/>
    <d v="2026-01-28T00:00:00"/>
    <s v="28"/>
    <x v="0"/>
    <x v="1"/>
    <x v="320"/>
    <x v="1"/>
    <x v="1"/>
    <x v="2"/>
    <x v="2"/>
    <n v="5"/>
    <n v="215.07"/>
    <x v="1"/>
    <n v="1075.3499999999999"/>
    <n v="215.07"/>
    <n v="860.28"/>
    <n v="95.23"/>
    <n v="476.15"/>
    <n v="384.12999999999897"/>
    <n v="0.44651741293532299"/>
    <x v="0"/>
    <n v="1"/>
    <n v="5"/>
    <n v="0"/>
    <n v="5"/>
  </r>
  <r>
    <n v="10394"/>
    <d v="2026-01-29T00:00:00"/>
    <s v="29"/>
    <x v="0"/>
    <x v="1"/>
    <x v="321"/>
    <x v="1"/>
    <x v="1"/>
    <x v="0"/>
    <x v="0"/>
    <n v="6"/>
    <n v="193.14"/>
    <x v="3"/>
    <n v="1158.8399999999999"/>
    <n v="115.884"/>
    <n v="1042.9559999999999"/>
    <n v="99.71"/>
    <n v="598.26"/>
    <n v="444.695999999999"/>
    <n v="0.42638040339189698"/>
    <x v="0"/>
    <n v="1"/>
    <n v="6"/>
    <n v="0"/>
    <n v="6"/>
  </r>
  <r>
    <n v="10395"/>
    <d v="2026-01-30T00:00:00"/>
    <s v="30"/>
    <x v="0"/>
    <x v="1"/>
    <x v="322"/>
    <x v="2"/>
    <x v="0"/>
    <x v="2"/>
    <x v="2"/>
    <n v="6"/>
    <n v="88.09"/>
    <x v="0"/>
    <n v="528.54"/>
    <n v="79.280999999999906"/>
    <n v="449.25899999999899"/>
    <n v="69.459999999999994"/>
    <n v="416.76"/>
    <n v="32.498999999999903"/>
    <n v="7.2339118414989897E-2"/>
    <x v="0"/>
    <n v="1"/>
    <n v="6"/>
    <n v="0"/>
    <n v="6"/>
  </r>
  <r>
    <n v="10396"/>
    <d v="2026-01-31T00:00:00"/>
    <s v="31"/>
    <x v="0"/>
    <x v="1"/>
    <x v="20"/>
    <x v="0"/>
    <x v="1"/>
    <x v="3"/>
    <x v="5"/>
    <n v="1"/>
    <n v="76.790000000000006"/>
    <x v="2"/>
    <n v="76.790000000000006"/>
    <n v="0"/>
    <n v="76.790000000000006"/>
    <n v="118.85"/>
    <n v="118.85"/>
    <n v="-42.059999999999903"/>
    <n v="-0.54772756869383998"/>
    <x v="1"/>
    <n v="0"/>
    <n v="0"/>
    <n v="1"/>
    <n v="1"/>
  </r>
  <r>
    <n v="10397"/>
    <d v="2026-02-01T00:00:00"/>
    <s v="01"/>
    <x v="1"/>
    <x v="1"/>
    <x v="323"/>
    <x v="1"/>
    <x v="0"/>
    <x v="1"/>
    <x v="6"/>
    <n v="9"/>
    <n v="180.27"/>
    <x v="2"/>
    <n v="1622.43"/>
    <n v="0"/>
    <n v="1622.43"/>
    <n v="22.82"/>
    <n v="205.38"/>
    <n v="1417.05"/>
    <n v="0.87341210406612302"/>
    <x v="0"/>
    <n v="1"/>
    <n v="9"/>
    <n v="0"/>
    <n v="9"/>
  </r>
  <r>
    <n v="10398"/>
    <d v="2026-02-02T00:00:00"/>
    <s v="02"/>
    <x v="1"/>
    <x v="1"/>
    <x v="324"/>
    <x v="2"/>
    <x v="0"/>
    <x v="1"/>
    <x v="6"/>
    <n v="6"/>
    <n v="196.2"/>
    <x v="1"/>
    <n v="1177.19999999999"/>
    <n v="235.439999999999"/>
    <n v="941.75999999999897"/>
    <n v="94.91"/>
    <n v="569.46"/>
    <n v="372.29999999999899"/>
    <n v="0.39532364933740999"/>
    <x v="0"/>
    <n v="1"/>
    <n v="6"/>
    <n v="0"/>
    <n v="6"/>
  </r>
  <r>
    <n v="10399"/>
    <d v="2026-02-03T00:00:00"/>
    <s v="03"/>
    <x v="1"/>
    <x v="1"/>
    <x v="325"/>
    <x v="3"/>
    <x v="1"/>
    <x v="3"/>
    <x v="5"/>
    <n v="9"/>
    <n v="148.32"/>
    <x v="3"/>
    <n v="1334.8799999999901"/>
    <n v="133.488"/>
    <n v="1201.39199999999"/>
    <n v="60.17"/>
    <n v="541.53"/>
    <n v="659.86199999999894"/>
    <n v="0.54924787246793694"/>
    <x v="0"/>
    <n v="1"/>
    <n v="9"/>
    <n v="0"/>
    <n v="9"/>
  </r>
  <r>
    <n v="10400"/>
    <d v="2026-02-04T00:00:00"/>
    <s v="04"/>
    <x v="1"/>
    <x v="1"/>
    <x v="326"/>
    <x v="3"/>
    <x v="0"/>
    <x v="0"/>
    <x v="0"/>
    <n v="4"/>
    <n v="42.86"/>
    <x v="3"/>
    <n v="171.44"/>
    <n v="17.143999999999998"/>
    <n v="154.29599999999999"/>
    <n v="129.34"/>
    <n v="517.36"/>
    <n v="-363.06400000000002"/>
    <n v="-2.35303572354435"/>
    <x v="1"/>
    <n v="0"/>
    <n v="0"/>
    <n v="4"/>
    <n v="4"/>
  </r>
  <r>
    <n v="10401"/>
    <d v="2026-02-05T00:00:00"/>
    <s v="05"/>
    <x v="1"/>
    <x v="1"/>
    <x v="131"/>
    <x v="3"/>
    <x v="0"/>
    <x v="1"/>
    <x v="1"/>
    <n v="2"/>
    <n v="201.66"/>
    <x v="2"/>
    <n v="403.32"/>
    <n v="0"/>
    <n v="403.32"/>
    <n v="62.46"/>
    <n v="124.92"/>
    <n v="278.39999999999998"/>
    <n v="0.69027075275215699"/>
    <x v="0"/>
    <n v="1"/>
    <n v="2"/>
    <n v="0"/>
    <n v="2"/>
  </r>
  <r>
    <n v="10402"/>
    <d v="2026-02-06T00:00:00"/>
    <s v="06"/>
    <x v="1"/>
    <x v="1"/>
    <x v="245"/>
    <x v="0"/>
    <x v="1"/>
    <x v="3"/>
    <x v="4"/>
    <n v="7"/>
    <n v="160.79"/>
    <x v="1"/>
    <n v="1125.53"/>
    <n v="225.10599999999999"/>
    <n v="900.42399999999998"/>
    <n v="32.380000000000003"/>
    <n v="226.66"/>
    <n v="673.76399999999899"/>
    <n v="0.74827414640213907"/>
    <x v="0"/>
    <n v="1"/>
    <n v="7"/>
    <n v="0"/>
    <n v="7"/>
  </r>
  <r>
    <n v="10403"/>
    <d v="2026-02-07T00:00:00"/>
    <s v="07"/>
    <x v="1"/>
    <x v="1"/>
    <x v="327"/>
    <x v="1"/>
    <x v="1"/>
    <x v="1"/>
    <x v="6"/>
    <n v="8"/>
    <n v="164.16"/>
    <x v="4"/>
    <n v="1313.28"/>
    <n v="65.664000000000001"/>
    <n v="1247.616"/>
    <n v="54.95"/>
    <n v="439.6"/>
    <n v="808.01599999999996"/>
    <n v="0.64764799425464203"/>
    <x v="0"/>
    <n v="1"/>
    <n v="8"/>
    <n v="0"/>
    <n v="8"/>
  </r>
  <r>
    <n v="10404"/>
    <d v="2026-02-08T00:00:00"/>
    <s v="08"/>
    <x v="1"/>
    <x v="1"/>
    <x v="328"/>
    <x v="1"/>
    <x v="0"/>
    <x v="0"/>
    <x v="0"/>
    <n v="8"/>
    <n v="138.32"/>
    <x v="3"/>
    <n v="1106.56"/>
    <n v="110.65600000000001"/>
    <n v="995.904"/>
    <n v="81.12"/>
    <n v="648.96"/>
    <n v="346.94399999999899"/>
    <n v="0.348370927318295"/>
    <x v="0"/>
    <n v="1"/>
    <n v="8"/>
    <n v="0"/>
    <n v="8"/>
  </r>
  <r>
    <n v="10405"/>
    <d v="2026-02-09T00:00:00"/>
    <s v="09"/>
    <x v="1"/>
    <x v="1"/>
    <x v="329"/>
    <x v="3"/>
    <x v="1"/>
    <x v="0"/>
    <x v="0"/>
    <n v="8"/>
    <n v="106.67"/>
    <x v="4"/>
    <n v="853.36"/>
    <n v="42.667999999999999"/>
    <n v="810.69200000000001"/>
    <n v="16.62"/>
    <n v="132.96"/>
    <n v="677.73199999999997"/>
    <n v="0.83599196735628301"/>
    <x v="0"/>
    <n v="1"/>
    <n v="8"/>
    <n v="0"/>
    <n v="8"/>
  </r>
  <r>
    <n v="10406"/>
    <d v="2026-02-10T00:00:00"/>
    <s v="10"/>
    <x v="1"/>
    <x v="1"/>
    <x v="330"/>
    <x v="0"/>
    <x v="0"/>
    <x v="3"/>
    <x v="4"/>
    <n v="9"/>
    <n v="205.32"/>
    <x v="3"/>
    <n v="1847.8799999999901"/>
    <n v="184.78800000000001"/>
    <n v="1663.0919999999901"/>
    <n v="130.25"/>
    <n v="1172.25"/>
    <n v="490.84199999999902"/>
    <n v="0.29513821243803701"/>
    <x v="0"/>
    <n v="1"/>
    <n v="9"/>
    <n v="0"/>
    <n v="9"/>
  </r>
  <r>
    <n v="10407"/>
    <d v="2026-02-11T00:00:00"/>
    <s v="11"/>
    <x v="1"/>
    <x v="1"/>
    <x v="49"/>
    <x v="0"/>
    <x v="0"/>
    <x v="2"/>
    <x v="2"/>
    <n v="9"/>
    <n v="136.41"/>
    <x v="2"/>
    <n v="1227.69"/>
    <n v="0"/>
    <n v="1227.69"/>
    <n v="99.43"/>
    <n v="894.87"/>
    <n v="332.81999999999903"/>
    <n v="0.27109449453852297"/>
    <x v="0"/>
    <n v="1"/>
    <n v="9"/>
    <n v="0"/>
    <n v="9"/>
  </r>
  <r>
    <n v="10408"/>
    <d v="2026-02-12T00:00:00"/>
    <s v="12"/>
    <x v="1"/>
    <x v="1"/>
    <x v="298"/>
    <x v="0"/>
    <x v="0"/>
    <x v="1"/>
    <x v="1"/>
    <n v="2"/>
    <n v="189.57"/>
    <x v="1"/>
    <n v="379.14"/>
    <n v="75.828000000000003"/>
    <n v="303.31200000000001"/>
    <n v="50.35"/>
    <n v="100.7"/>
    <n v="202.61199999999999"/>
    <n v="0.66799862847496894"/>
    <x v="0"/>
    <n v="1"/>
    <n v="2"/>
    <n v="0"/>
    <n v="2"/>
  </r>
  <r>
    <n v="10409"/>
    <d v="2026-02-13T00:00:00"/>
    <s v="13"/>
    <x v="1"/>
    <x v="1"/>
    <x v="316"/>
    <x v="2"/>
    <x v="1"/>
    <x v="1"/>
    <x v="1"/>
    <n v="2"/>
    <n v="133.97999999999999"/>
    <x v="2"/>
    <n v="267.95999999999998"/>
    <n v="0"/>
    <n v="267.95999999999998"/>
    <n v="93.17"/>
    <n v="186.34"/>
    <n v="81.619999999999905"/>
    <n v="0.30459770114942503"/>
    <x v="0"/>
    <n v="1"/>
    <n v="2"/>
    <n v="0"/>
    <n v="2"/>
  </r>
  <r>
    <n v="10410"/>
    <d v="2026-02-14T00:00:00"/>
    <s v="14"/>
    <x v="1"/>
    <x v="1"/>
    <x v="331"/>
    <x v="3"/>
    <x v="1"/>
    <x v="2"/>
    <x v="2"/>
    <n v="1"/>
    <n v="42.94"/>
    <x v="2"/>
    <n v="42.94"/>
    <n v="0"/>
    <n v="42.94"/>
    <n v="147.63999999999999"/>
    <n v="147.63999999999999"/>
    <n v="-104.69999999999899"/>
    <n v="-2.4382859804378199"/>
    <x v="1"/>
    <n v="0"/>
    <n v="0"/>
    <n v="1"/>
    <n v="1"/>
  </r>
  <r>
    <n v="10411"/>
    <d v="2026-02-15T00:00:00"/>
    <s v="15"/>
    <x v="1"/>
    <x v="1"/>
    <x v="271"/>
    <x v="0"/>
    <x v="1"/>
    <x v="3"/>
    <x v="5"/>
    <n v="2"/>
    <n v="38.93"/>
    <x v="4"/>
    <n v="77.86"/>
    <n v="3.8929999999999998"/>
    <n v="73.966999999999999"/>
    <n v="92.41"/>
    <n v="184.82"/>
    <n v="-110.85299999999999"/>
    <n v="-1.4986818446063699"/>
    <x v="1"/>
    <n v="0"/>
    <n v="0"/>
    <n v="2"/>
    <n v="2"/>
  </r>
  <r>
    <n v="10412"/>
    <d v="2026-02-16T00:00:00"/>
    <s v="16"/>
    <x v="1"/>
    <x v="1"/>
    <x v="332"/>
    <x v="1"/>
    <x v="1"/>
    <x v="0"/>
    <x v="0"/>
    <n v="7"/>
    <n v="17.43"/>
    <x v="3"/>
    <n v="122.009999999999"/>
    <n v="12.201000000000001"/>
    <n v="109.809"/>
    <n v="63.91"/>
    <n v="447.37"/>
    <n v="-337.56099999999998"/>
    <n v="-3.07407407407407"/>
    <x v="1"/>
    <n v="0"/>
    <n v="0"/>
    <n v="7"/>
    <n v="7"/>
  </r>
  <r>
    <n v="10413"/>
    <d v="2026-02-17T00:00:00"/>
    <s v="17"/>
    <x v="1"/>
    <x v="1"/>
    <x v="242"/>
    <x v="3"/>
    <x v="1"/>
    <x v="1"/>
    <x v="6"/>
    <n v="8"/>
    <n v="82.85"/>
    <x v="3"/>
    <n v="662.8"/>
    <n v="66.28"/>
    <n v="596.52"/>
    <n v="103.81"/>
    <n v="830.48"/>
    <n v="-233.96"/>
    <n v="-0.39220814054851405"/>
    <x v="1"/>
    <n v="0"/>
    <n v="0"/>
    <n v="8"/>
    <n v="8"/>
  </r>
  <r>
    <n v="10414"/>
    <d v="2026-02-18T00:00:00"/>
    <s v="18"/>
    <x v="1"/>
    <x v="1"/>
    <x v="333"/>
    <x v="2"/>
    <x v="1"/>
    <x v="1"/>
    <x v="6"/>
    <n v="1"/>
    <n v="41.33"/>
    <x v="0"/>
    <n v="41.33"/>
    <n v="6.1994999999999996"/>
    <n v="35.130499999999998"/>
    <n v="114.66"/>
    <n v="114.66"/>
    <n v="-79.529499999999999"/>
    <n v="-2.26383057457195"/>
    <x v="1"/>
    <n v="0"/>
    <n v="0"/>
    <n v="1"/>
    <n v="1"/>
  </r>
  <r>
    <n v="10415"/>
    <d v="2026-02-19T00:00:00"/>
    <s v="19"/>
    <x v="1"/>
    <x v="1"/>
    <x v="334"/>
    <x v="0"/>
    <x v="0"/>
    <x v="2"/>
    <x v="2"/>
    <n v="7"/>
    <n v="203.96"/>
    <x v="4"/>
    <n v="1427.72"/>
    <n v="71.385999999999996"/>
    <n v="1356.3340000000001"/>
    <n v="104.56"/>
    <n v="731.92"/>
    <n v="624.41399999999999"/>
    <n v="0.46036890618387505"/>
    <x v="0"/>
    <n v="1"/>
    <n v="7"/>
    <n v="0"/>
    <n v="7"/>
  </r>
  <r>
    <n v="10416"/>
    <d v="2026-02-20T00:00:00"/>
    <s v="20"/>
    <x v="1"/>
    <x v="1"/>
    <x v="335"/>
    <x v="1"/>
    <x v="1"/>
    <x v="1"/>
    <x v="1"/>
    <n v="2"/>
    <n v="130.84"/>
    <x v="3"/>
    <n v="261.68"/>
    <n v="26.167999999999999"/>
    <n v="235.512"/>
    <n v="35.61"/>
    <n v="71.22"/>
    <n v="164.292"/>
    <n v="0.69759502700499298"/>
    <x v="0"/>
    <n v="1"/>
    <n v="2"/>
    <n v="0"/>
    <n v="2"/>
  </r>
  <r>
    <n v="10417"/>
    <d v="2026-02-21T00:00:00"/>
    <s v="21"/>
    <x v="1"/>
    <x v="1"/>
    <x v="336"/>
    <x v="1"/>
    <x v="0"/>
    <x v="3"/>
    <x v="4"/>
    <n v="2"/>
    <n v="147.21"/>
    <x v="1"/>
    <n v="294.42"/>
    <n v="58.884"/>
    <n v="235.536"/>
    <n v="8.0299999999999994"/>
    <n v="16.059999999999999"/>
    <n v="219.476"/>
    <n v="0.931815094083282"/>
    <x v="0"/>
    <n v="1"/>
    <n v="2"/>
    <n v="0"/>
    <n v="2"/>
  </r>
  <r>
    <n v="10418"/>
    <d v="2026-02-22T00:00:00"/>
    <s v="22"/>
    <x v="1"/>
    <x v="1"/>
    <x v="150"/>
    <x v="2"/>
    <x v="1"/>
    <x v="2"/>
    <x v="2"/>
    <n v="1"/>
    <n v="120.22"/>
    <x v="2"/>
    <n v="120.22"/>
    <n v="0"/>
    <n v="120.22"/>
    <n v="50.95"/>
    <n v="50.95"/>
    <n v="69.27"/>
    <n v="0.57619364498419501"/>
    <x v="0"/>
    <n v="1"/>
    <n v="1"/>
    <n v="0"/>
    <n v="1"/>
  </r>
  <r>
    <n v="10419"/>
    <d v="2026-02-23T00:00:00"/>
    <s v="23"/>
    <x v="1"/>
    <x v="1"/>
    <x v="337"/>
    <x v="0"/>
    <x v="1"/>
    <x v="3"/>
    <x v="5"/>
    <n v="1"/>
    <n v="168.83"/>
    <x v="3"/>
    <n v="168.83"/>
    <n v="16.882999999999999"/>
    <n v="151.947"/>
    <n v="68.03"/>
    <n v="68.03"/>
    <n v="83.917000000000002"/>
    <n v="0.55227809696802099"/>
    <x v="0"/>
    <n v="1"/>
    <n v="1"/>
    <n v="0"/>
    <n v="1"/>
  </r>
  <r>
    <n v="10420"/>
    <d v="2026-02-24T00:00:00"/>
    <s v="24"/>
    <x v="1"/>
    <x v="1"/>
    <x v="338"/>
    <x v="1"/>
    <x v="0"/>
    <x v="2"/>
    <x v="2"/>
    <n v="4"/>
    <n v="135.77000000000001"/>
    <x v="0"/>
    <n v="543.08000000000004"/>
    <n v="81.462000000000003"/>
    <n v="461.61799999999999"/>
    <n v="125.54"/>
    <n v="502.16"/>
    <n v="-40.541999999999902"/>
    <n v="-8.7825864675987408E-2"/>
    <x v="1"/>
    <n v="0"/>
    <n v="0"/>
    <n v="4"/>
    <n v="4"/>
  </r>
  <r>
    <n v="10421"/>
    <d v="2026-02-25T00:00:00"/>
    <s v="25"/>
    <x v="1"/>
    <x v="1"/>
    <x v="339"/>
    <x v="3"/>
    <x v="0"/>
    <x v="1"/>
    <x v="6"/>
    <n v="5"/>
    <n v="234.23"/>
    <x v="1"/>
    <n v="1171.1499999999901"/>
    <n v="234.23"/>
    <n v="936.91999999999905"/>
    <n v="17.809999999999999"/>
    <n v="89.05"/>
    <n v="847.86999999999898"/>
    <n v="0.90495453187038388"/>
    <x v="0"/>
    <n v="1"/>
    <n v="5"/>
    <n v="0"/>
    <n v="5"/>
  </r>
  <r>
    <n v="10422"/>
    <d v="2026-02-26T00:00:00"/>
    <s v="26"/>
    <x v="1"/>
    <x v="1"/>
    <x v="340"/>
    <x v="3"/>
    <x v="1"/>
    <x v="1"/>
    <x v="1"/>
    <n v="8"/>
    <n v="212"/>
    <x v="0"/>
    <n v="1696"/>
    <n v="254.39999999999901"/>
    <n v="1441.6"/>
    <n v="127.33"/>
    <n v="1018.64"/>
    <n v="422.95999999999901"/>
    <n v="0.293396226415094"/>
    <x v="0"/>
    <n v="1"/>
    <n v="8"/>
    <n v="0"/>
    <n v="8"/>
  </r>
  <r>
    <n v="10423"/>
    <d v="2026-02-27T00:00:00"/>
    <s v="27"/>
    <x v="1"/>
    <x v="1"/>
    <x v="255"/>
    <x v="3"/>
    <x v="1"/>
    <x v="1"/>
    <x v="6"/>
    <n v="8"/>
    <n v="54.55"/>
    <x v="3"/>
    <n v="436.4"/>
    <n v="43.64"/>
    <n v="392.76"/>
    <n v="13.62"/>
    <n v="108.96"/>
    <n v="283.8"/>
    <n v="0.72257867399938902"/>
    <x v="0"/>
    <n v="1"/>
    <n v="8"/>
    <n v="0"/>
    <n v="8"/>
  </r>
  <r>
    <n v="10424"/>
    <d v="2026-02-28T00:00:00"/>
    <s v="28"/>
    <x v="1"/>
    <x v="1"/>
    <x v="217"/>
    <x v="0"/>
    <x v="1"/>
    <x v="1"/>
    <x v="6"/>
    <n v="8"/>
    <n v="219.66"/>
    <x v="3"/>
    <n v="1757.28"/>
    <n v="175.72800000000001"/>
    <n v="1581.5519999999999"/>
    <n v="50.52"/>
    <n v="404.16"/>
    <n v="1177.39199999999"/>
    <n v="0.74445354942486797"/>
    <x v="0"/>
    <n v="1"/>
    <n v="8"/>
    <n v="0"/>
    <n v="8"/>
  </r>
  <r>
    <n v="10425"/>
    <d v="2026-03-01T00:00:00"/>
    <s v="01"/>
    <x v="2"/>
    <x v="1"/>
    <x v="341"/>
    <x v="3"/>
    <x v="1"/>
    <x v="2"/>
    <x v="2"/>
    <n v="2"/>
    <n v="122.67"/>
    <x v="2"/>
    <n v="245.34"/>
    <n v="0"/>
    <n v="245.34"/>
    <n v="63.59"/>
    <n v="127.18"/>
    <n v="118.16"/>
    <n v="0.48161734735469103"/>
    <x v="0"/>
    <n v="1"/>
    <n v="2"/>
    <n v="0"/>
    <n v="2"/>
  </r>
  <r>
    <n v="10426"/>
    <d v="2026-03-02T00:00:00"/>
    <s v="02"/>
    <x v="2"/>
    <x v="1"/>
    <x v="342"/>
    <x v="1"/>
    <x v="1"/>
    <x v="2"/>
    <x v="2"/>
    <n v="1"/>
    <n v="242.37"/>
    <x v="4"/>
    <n v="242.37"/>
    <n v="12.118499999999999"/>
    <n v="230.25149999999999"/>
    <n v="140.1"/>
    <n v="140.1"/>
    <n v="90.151499999999999"/>
    <n v="0.39153490856737"/>
    <x v="0"/>
    <n v="1"/>
    <n v="1"/>
    <n v="0"/>
    <n v="1"/>
  </r>
  <r>
    <n v="10427"/>
    <d v="2026-03-03T00:00:00"/>
    <s v="03"/>
    <x v="2"/>
    <x v="1"/>
    <x v="343"/>
    <x v="3"/>
    <x v="1"/>
    <x v="0"/>
    <x v="0"/>
    <n v="4"/>
    <n v="153.54"/>
    <x v="2"/>
    <n v="614.16"/>
    <n v="0"/>
    <n v="614.16"/>
    <n v="142.61000000000001"/>
    <n v="570.44000000000005"/>
    <n v="43.719999999999899"/>
    <n v="7.1186661456297901E-2"/>
    <x v="0"/>
    <n v="1"/>
    <n v="4"/>
    <n v="0"/>
    <n v="4"/>
  </r>
  <r>
    <n v="10428"/>
    <d v="2026-03-04T00:00:00"/>
    <s v="04"/>
    <x v="2"/>
    <x v="1"/>
    <x v="344"/>
    <x v="3"/>
    <x v="1"/>
    <x v="3"/>
    <x v="5"/>
    <n v="6"/>
    <n v="10.02"/>
    <x v="0"/>
    <n v="60.12"/>
    <n v="9.01799999999999"/>
    <n v="51.101999999999997"/>
    <n v="10.9"/>
    <n v="65.400000000000006"/>
    <n v="-14.298"/>
    <n v="-0.279793354467535"/>
    <x v="1"/>
    <n v="0"/>
    <n v="0"/>
    <n v="6"/>
    <n v="6"/>
  </r>
  <r>
    <n v="10429"/>
    <d v="2026-03-05T00:00:00"/>
    <s v="05"/>
    <x v="2"/>
    <x v="1"/>
    <x v="345"/>
    <x v="2"/>
    <x v="1"/>
    <x v="3"/>
    <x v="5"/>
    <n v="8"/>
    <n v="12.15"/>
    <x v="0"/>
    <n v="97.2"/>
    <n v="14.58"/>
    <n v="82.62"/>
    <n v="33.409999999999997"/>
    <n v="267.27999999999997"/>
    <n v="-184.659999999999"/>
    <n v="-2.2350520455095602"/>
    <x v="1"/>
    <n v="0"/>
    <n v="0"/>
    <n v="8"/>
    <n v="8"/>
  </r>
  <r>
    <n v="10430"/>
    <d v="2026-03-06T00:00:00"/>
    <s v="06"/>
    <x v="2"/>
    <x v="1"/>
    <x v="262"/>
    <x v="0"/>
    <x v="1"/>
    <x v="1"/>
    <x v="1"/>
    <n v="9"/>
    <n v="74.72"/>
    <x v="2"/>
    <n v="672.48"/>
    <n v="0"/>
    <n v="672.48"/>
    <n v="69.989999999999995"/>
    <n v="629.91"/>
    <n v="42.57"/>
    <n v="6.3302997858672397E-2"/>
    <x v="0"/>
    <n v="1"/>
    <n v="9"/>
    <n v="0"/>
    <n v="9"/>
  </r>
  <r>
    <n v="10431"/>
    <d v="2026-03-07T00:00:00"/>
    <s v="07"/>
    <x v="2"/>
    <x v="1"/>
    <x v="346"/>
    <x v="0"/>
    <x v="1"/>
    <x v="3"/>
    <x v="4"/>
    <n v="9"/>
    <n v="207.58"/>
    <x v="3"/>
    <n v="1868.22"/>
    <n v="186.822"/>
    <n v="1681.3979999999999"/>
    <n v="44.5"/>
    <n v="400.5"/>
    <n v="1280.8979999999999"/>
    <n v="0.761805354829731"/>
    <x v="0"/>
    <n v="1"/>
    <n v="9"/>
    <n v="0"/>
    <n v="9"/>
  </r>
  <r>
    <n v="10432"/>
    <d v="2026-03-08T00:00:00"/>
    <s v="08"/>
    <x v="2"/>
    <x v="1"/>
    <x v="347"/>
    <x v="0"/>
    <x v="0"/>
    <x v="0"/>
    <x v="0"/>
    <n v="7"/>
    <n v="142.82"/>
    <x v="0"/>
    <n v="999.74"/>
    <n v="149.96099999999899"/>
    <n v="849.779"/>
    <n v="143.24"/>
    <n v="1002.68"/>
    <n v="-152.90100000000001"/>
    <n v="-0.17993031129270001"/>
    <x v="1"/>
    <n v="0"/>
    <n v="0"/>
    <n v="7"/>
    <n v="7"/>
  </r>
  <r>
    <n v="10433"/>
    <d v="2026-03-09T00:00:00"/>
    <s v="09"/>
    <x v="2"/>
    <x v="1"/>
    <x v="348"/>
    <x v="2"/>
    <x v="1"/>
    <x v="1"/>
    <x v="6"/>
    <n v="1"/>
    <n v="29.68"/>
    <x v="3"/>
    <n v="29.68"/>
    <n v="2.968"/>
    <n v="26.712"/>
    <n v="93.76"/>
    <n v="93.76"/>
    <n v="-67.048000000000002"/>
    <n v="-2.5100329439952"/>
    <x v="1"/>
    <n v="0"/>
    <n v="0"/>
    <n v="1"/>
    <n v="1"/>
  </r>
  <r>
    <n v="10434"/>
    <d v="2026-03-10T00:00:00"/>
    <s v="10"/>
    <x v="2"/>
    <x v="1"/>
    <x v="349"/>
    <x v="0"/>
    <x v="0"/>
    <x v="3"/>
    <x v="4"/>
    <n v="9"/>
    <n v="128.07"/>
    <x v="1"/>
    <n v="1152.6299999999901"/>
    <n v="230.52599999999899"/>
    <n v="922.10399999999902"/>
    <n v="52.35"/>
    <n v="471.15"/>
    <n v="450.95399999999898"/>
    <n v="0.48904895760131095"/>
    <x v="0"/>
    <n v="1"/>
    <n v="9"/>
    <n v="0"/>
    <n v="9"/>
  </r>
  <r>
    <n v="10435"/>
    <d v="2026-03-11T00:00:00"/>
    <s v="11"/>
    <x v="2"/>
    <x v="1"/>
    <x v="350"/>
    <x v="2"/>
    <x v="1"/>
    <x v="1"/>
    <x v="1"/>
    <n v="6"/>
    <n v="60.95"/>
    <x v="0"/>
    <n v="365.7"/>
    <n v="54.854999999999997"/>
    <n v="310.84500000000003"/>
    <n v="91.96"/>
    <n v="551.76"/>
    <n v="-240.914999999999"/>
    <n v="-0.77503257250398094"/>
    <x v="1"/>
    <n v="0"/>
    <n v="0"/>
    <n v="6"/>
    <n v="6"/>
  </r>
  <r>
    <n v="10436"/>
    <d v="2026-03-12T00:00:00"/>
    <s v="12"/>
    <x v="2"/>
    <x v="1"/>
    <x v="351"/>
    <x v="1"/>
    <x v="1"/>
    <x v="0"/>
    <x v="0"/>
    <n v="4"/>
    <n v="22.98"/>
    <x v="1"/>
    <n v="91.92"/>
    <n v="18.384"/>
    <n v="73.536000000000001"/>
    <n v="102.79"/>
    <n v="411.16"/>
    <n v="-337.62400000000002"/>
    <n v="-4.59127502175805"/>
    <x v="1"/>
    <n v="0"/>
    <n v="0"/>
    <n v="4"/>
    <n v="4"/>
  </r>
  <r>
    <n v="10437"/>
    <d v="2026-03-13T00:00:00"/>
    <s v="13"/>
    <x v="2"/>
    <x v="1"/>
    <x v="352"/>
    <x v="1"/>
    <x v="0"/>
    <x v="1"/>
    <x v="6"/>
    <n v="2"/>
    <n v="96.01"/>
    <x v="3"/>
    <n v="192.02"/>
    <n v="19.202000000000002"/>
    <n v="172.81800000000001"/>
    <n v="129.21"/>
    <n v="258.42"/>
    <n v="-85.602000000000004"/>
    <n v="-0.49533034753324301"/>
    <x v="1"/>
    <n v="0"/>
    <n v="0"/>
    <n v="2"/>
    <n v="2"/>
  </r>
  <r>
    <n v="10438"/>
    <d v="2026-03-14T00:00:00"/>
    <s v="14"/>
    <x v="2"/>
    <x v="1"/>
    <x v="353"/>
    <x v="1"/>
    <x v="0"/>
    <x v="2"/>
    <x v="2"/>
    <n v="2"/>
    <n v="54.08"/>
    <x v="4"/>
    <n v="108.16"/>
    <n v="5.4080000000000004"/>
    <n v="102.752"/>
    <n v="133.69"/>
    <n v="267.38"/>
    <n v="-164.62799999999999"/>
    <n v="-1.6021877919651102"/>
    <x v="1"/>
    <n v="0"/>
    <n v="0"/>
    <n v="2"/>
    <n v="2"/>
  </r>
  <r>
    <n v="10439"/>
    <d v="2026-03-15T00:00:00"/>
    <s v="15"/>
    <x v="2"/>
    <x v="1"/>
    <x v="354"/>
    <x v="2"/>
    <x v="0"/>
    <x v="3"/>
    <x v="3"/>
    <n v="8"/>
    <n v="53.37"/>
    <x v="0"/>
    <n v="426.96"/>
    <n v="64.043999999999997"/>
    <n v="362.916"/>
    <n v="66.08"/>
    <n v="528.64"/>
    <n v="-165.72399999999999"/>
    <n v="-0.45664561496324196"/>
    <x v="1"/>
    <n v="0"/>
    <n v="0"/>
    <n v="8"/>
    <n v="8"/>
  </r>
  <r>
    <n v="10440"/>
    <d v="2026-03-16T00:00:00"/>
    <s v="16"/>
    <x v="2"/>
    <x v="1"/>
    <x v="355"/>
    <x v="0"/>
    <x v="1"/>
    <x v="3"/>
    <x v="5"/>
    <n v="5"/>
    <n v="136.07"/>
    <x v="0"/>
    <n v="680.349999999999"/>
    <n v="102.052499999999"/>
    <n v="578.29749999999899"/>
    <n v="114.96"/>
    <n v="574.79999999999995"/>
    <n v="3.4974999999999401"/>
    <n v="6.0479251596279506E-3"/>
    <x v="0"/>
    <n v="1"/>
    <n v="5"/>
    <n v="0"/>
    <n v="5"/>
  </r>
  <r>
    <n v="10441"/>
    <d v="2026-03-17T00:00:00"/>
    <s v="17"/>
    <x v="2"/>
    <x v="1"/>
    <x v="356"/>
    <x v="1"/>
    <x v="1"/>
    <x v="3"/>
    <x v="3"/>
    <n v="5"/>
    <n v="188.95"/>
    <x v="1"/>
    <n v="944.75"/>
    <n v="188.95"/>
    <n v="755.8"/>
    <n v="146.16"/>
    <n v="730.8"/>
    <n v="25"/>
    <n v="3.3077533739084404E-2"/>
    <x v="0"/>
    <n v="1"/>
    <n v="5"/>
    <n v="0"/>
    <n v="5"/>
  </r>
  <r>
    <n v="10442"/>
    <d v="2026-03-18T00:00:00"/>
    <s v="18"/>
    <x v="2"/>
    <x v="1"/>
    <x v="120"/>
    <x v="3"/>
    <x v="0"/>
    <x v="1"/>
    <x v="6"/>
    <n v="9"/>
    <n v="248.42"/>
    <x v="1"/>
    <n v="2235.7799999999902"/>
    <n v="447.15599999999898"/>
    <n v="1788.62399999999"/>
    <n v="82.4"/>
    <n v="741.6"/>
    <n v="1047.0239999999999"/>
    <n v="0.58537959906609704"/>
    <x v="0"/>
    <n v="1"/>
    <n v="9"/>
    <n v="0"/>
    <n v="9"/>
  </r>
  <r>
    <n v="10443"/>
    <d v="2026-03-19T00:00:00"/>
    <s v="19"/>
    <x v="2"/>
    <x v="1"/>
    <x v="357"/>
    <x v="0"/>
    <x v="1"/>
    <x v="3"/>
    <x v="3"/>
    <n v="4"/>
    <n v="178.41"/>
    <x v="2"/>
    <n v="713.64"/>
    <n v="0"/>
    <n v="713.64"/>
    <n v="111.08"/>
    <n v="444.32"/>
    <n v="269.32"/>
    <n v="0.37738915980045901"/>
    <x v="0"/>
    <n v="1"/>
    <n v="4"/>
    <n v="0"/>
    <n v="4"/>
  </r>
  <r>
    <n v="10444"/>
    <d v="2026-03-20T00:00:00"/>
    <s v="20"/>
    <x v="2"/>
    <x v="1"/>
    <x v="358"/>
    <x v="0"/>
    <x v="0"/>
    <x v="2"/>
    <x v="2"/>
    <n v="3"/>
    <n v="44.56"/>
    <x v="2"/>
    <n v="133.68"/>
    <n v="0"/>
    <n v="133.68"/>
    <n v="75.88"/>
    <n v="227.64"/>
    <n v="-93.959999999999894"/>
    <n v="-0.70287253141831196"/>
    <x v="1"/>
    <n v="0"/>
    <n v="0"/>
    <n v="3"/>
    <n v="3"/>
  </r>
  <r>
    <n v="10445"/>
    <d v="2026-03-21T00:00:00"/>
    <s v="21"/>
    <x v="2"/>
    <x v="1"/>
    <x v="359"/>
    <x v="2"/>
    <x v="1"/>
    <x v="1"/>
    <x v="6"/>
    <n v="1"/>
    <n v="157.41"/>
    <x v="3"/>
    <n v="157.41"/>
    <n v="15.741"/>
    <n v="141.66899999999899"/>
    <n v="60.48"/>
    <n v="60.48"/>
    <n v="81.188999999999993"/>
    <n v="0.57308938441013901"/>
    <x v="0"/>
    <n v="1"/>
    <n v="1"/>
    <n v="0"/>
    <n v="1"/>
  </r>
  <r>
    <n v="10446"/>
    <d v="2026-03-22T00:00:00"/>
    <s v="22"/>
    <x v="2"/>
    <x v="1"/>
    <x v="193"/>
    <x v="1"/>
    <x v="1"/>
    <x v="1"/>
    <x v="1"/>
    <n v="1"/>
    <n v="55.89"/>
    <x v="0"/>
    <n v="55.89"/>
    <n v="8.3834999999999997"/>
    <n v="47.506500000000003"/>
    <n v="34.49"/>
    <n v="34.49"/>
    <n v="13.016500000000001"/>
    <n v="0.27399408501994399"/>
    <x v="0"/>
    <n v="1"/>
    <n v="1"/>
    <n v="0"/>
    <n v="1"/>
  </r>
  <r>
    <n v="10447"/>
    <d v="2026-03-23T00:00:00"/>
    <s v="23"/>
    <x v="2"/>
    <x v="1"/>
    <x v="360"/>
    <x v="3"/>
    <x v="1"/>
    <x v="2"/>
    <x v="2"/>
    <n v="6"/>
    <n v="90.17"/>
    <x v="3"/>
    <n v="541.02"/>
    <n v="54.101999999999997"/>
    <n v="486.91800000000001"/>
    <n v="18.22"/>
    <n v="109.32"/>
    <n v="377.59800000000001"/>
    <n v="0.77548581075252898"/>
    <x v="0"/>
    <n v="1"/>
    <n v="6"/>
    <n v="0"/>
    <n v="6"/>
  </r>
  <r>
    <n v="10448"/>
    <d v="2026-03-24T00:00:00"/>
    <s v="24"/>
    <x v="2"/>
    <x v="1"/>
    <x v="361"/>
    <x v="0"/>
    <x v="0"/>
    <x v="3"/>
    <x v="4"/>
    <n v="1"/>
    <n v="163.62"/>
    <x v="2"/>
    <n v="163.62"/>
    <n v="0"/>
    <n v="163.62"/>
    <n v="52.05"/>
    <n v="52.05"/>
    <n v="111.57"/>
    <n v="0.681884855152181"/>
    <x v="0"/>
    <n v="1"/>
    <n v="1"/>
    <n v="0"/>
    <n v="1"/>
  </r>
  <r>
    <n v="10449"/>
    <d v="2026-03-25T00:00:00"/>
    <s v="25"/>
    <x v="2"/>
    <x v="1"/>
    <x v="362"/>
    <x v="1"/>
    <x v="1"/>
    <x v="0"/>
    <x v="0"/>
    <n v="3"/>
    <n v="208.83"/>
    <x v="1"/>
    <n v="626.49"/>
    <n v="125.298"/>
    <n v="501.19200000000001"/>
    <n v="56.43"/>
    <n v="169.29"/>
    <n v="331.90199999999999"/>
    <n v="0.66222525499209894"/>
    <x v="0"/>
    <n v="1"/>
    <n v="3"/>
    <n v="0"/>
    <n v="3"/>
  </r>
  <r>
    <n v="10450"/>
    <d v="2026-03-26T00:00:00"/>
    <s v="26"/>
    <x v="2"/>
    <x v="1"/>
    <x v="363"/>
    <x v="2"/>
    <x v="1"/>
    <x v="0"/>
    <x v="0"/>
    <n v="8"/>
    <n v="95.73"/>
    <x v="4"/>
    <n v="765.84"/>
    <n v="38.292000000000002"/>
    <n v="727.548"/>
    <n v="87.65"/>
    <n v="701.2"/>
    <n v="26.3479999999999"/>
    <n v="3.6214792700962596E-2"/>
    <x v="0"/>
    <n v="1"/>
    <n v="8"/>
    <n v="0"/>
    <n v="8"/>
  </r>
  <r>
    <n v="10451"/>
    <d v="2026-03-27T00:00:00"/>
    <s v="27"/>
    <x v="2"/>
    <x v="1"/>
    <x v="364"/>
    <x v="3"/>
    <x v="0"/>
    <x v="3"/>
    <x v="3"/>
    <n v="5"/>
    <n v="64.489999999999995"/>
    <x v="3"/>
    <n v="322.45"/>
    <n v="32.244999999999997"/>
    <n v="290.20499999999998"/>
    <n v="102.23"/>
    <n v="511.15"/>
    <n v="-220.94499999999999"/>
    <n v="-0.76134112093175499"/>
    <x v="1"/>
    <n v="0"/>
    <n v="0"/>
    <n v="5"/>
    <n v="5"/>
  </r>
  <r>
    <n v="10452"/>
    <d v="2026-03-28T00:00:00"/>
    <s v="28"/>
    <x v="2"/>
    <x v="1"/>
    <x v="365"/>
    <x v="3"/>
    <x v="0"/>
    <x v="1"/>
    <x v="1"/>
    <n v="6"/>
    <n v="36.11"/>
    <x v="0"/>
    <n v="216.66"/>
    <n v="32.498999999999903"/>
    <n v="184.161"/>
    <n v="108.06"/>
    <n v="648.36"/>
    <n v="-464.19900000000001"/>
    <n v="-2.5206151139491997"/>
    <x v="1"/>
    <n v="0"/>
    <n v="0"/>
    <n v="6"/>
    <n v="6"/>
  </r>
  <r>
    <n v="10453"/>
    <d v="2026-03-29T00:00:00"/>
    <s v="29"/>
    <x v="2"/>
    <x v="1"/>
    <x v="366"/>
    <x v="1"/>
    <x v="0"/>
    <x v="3"/>
    <x v="5"/>
    <n v="8"/>
    <n v="146.4"/>
    <x v="4"/>
    <n v="1171.2"/>
    <n v="58.56"/>
    <n v="1112.6400000000001"/>
    <n v="116.53"/>
    <n v="932.24"/>
    <n v="180.4"/>
    <n v="0.16213689962611399"/>
    <x v="0"/>
    <n v="1"/>
    <n v="8"/>
    <n v="0"/>
    <n v="8"/>
  </r>
  <r>
    <n v="10454"/>
    <d v="2026-03-30T00:00:00"/>
    <s v="30"/>
    <x v="2"/>
    <x v="1"/>
    <x v="367"/>
    <x v="2"/>
    <x v="1"/>
    <x v="0"/>
    <x v="0"/>
    <n v="9"/>
    <n v="242"/>
    <x v="3"/>
    <n v="2178"/>
    <n v="217.8"/>
    <n v="1960.2"/>
    <n v="87.98"/>
    <n v="791.82"/>
    <n v="1168.3800000000001"/>
    <n v="0.59605142332414995"/>
    <x v="0"/>
    <n v="1"/>
    <n v="9"/>
    <n v="0"/>
    <n v="9"/>
  </r>
  <r>
    <n v="10455"/>
    <d v="2026-03-31T00:00:00"/>
    <s v="31"/>
    <x v="2"/>
    <x v="1"/>
    <x v="127"/>
    <x v="0"/>
    <x v="1"/>
    <x v="0"/>
    <x v="0"/>
    <n v="4"/>
    <n v="140.34"/>
    <x v="3"/>
    <n v="561.36"/>
    <n v="56.136000000000003"/>
    <n v="505.22399999999999"/>
    <n v="79.260000000000005"/>
    <n v="317.04000000000002"/>
    <n v="188.183999999999"/>
    <n v="0.37247636691843605"/>
    <x v="0"/>
    <n v="1"/>
    <n v="4"/>
    <n v="0"/>
    <n v="4"/>
  </r>
  <r>
    <n v="10456"/>
    <d v="2026-04-01T00:00:00"/>
    <s v="01"/>
    <x v="3"/>
    <x v="1"/>
    <x v="368"/>
    <x v="3"/>
    <x v="1"/>
    <x v="3"/>
    <x v="3"/>
    <n v="3"/>
    <n v="17.73"/>
    <x v="1"/>
    <n v="53.19"/>
    <n v="10.638"/>
    <n v="42.552"/>
    <n v="93.7"/>
    <n v="281.10000000000002"/>
    <n v="-238.548"/>
    <n v="-5.60603496897913"/>
    <x v="1"/>
    <n v="0"/>
    <n v="0"/>
    <n v="3"/>
    <n v="3"/>
  </r>
  <r>
    <n v="10457"/>
    <d v="2026-04-02T00:00:00"/>
    <s v="02"/>
    <x v="3"/>
    <x v="1"/>
    <x v="369"/>
    <x v="2"/>
    <x v="0"/>
    <x v="1"/>
    <x v="6"/>
    <n v="7"/>
    <n v="83.99"/>
    <x v="1"/>
    <n v="587.92999999999995"/>
    <n v="117.586"/>
    <n v="470.34399999999903"/>
    <n v="106.87"/>
    <n v="748.09"/>
    <n v="-277.74599999999998"/>
    <n v="-0.59051672818192602"/>
    <x v="1"/>
    <n v="0"/>
    <n v="0"/>
    <n v="7"/>
    <n v="7"/>
  </r>
  <r>
    <n v="10458"/>
    <d v="2026-04-03T00:00:00"/>
    <s v="03"/>
    <x v="3"/>
    <x v="1"/>
    <x v="370"/>
    <x v="1"/>
    <x v="1"/>
    <x v="3"/>
    <x v="4"/>
    <n v="3"/>
    <n v="182.49"/>
    <x v="0"/>
    <n v="547.47"/>
    <n v="82.120500000000007"/>
    <n v="465.34949999999998"/>
    <n v="127.61"/>
    <n v="382.83"/>
    <n v="82.519499999999994"/>
    <n v="0.17732800830343598"/>
    <x v="0"/>
    <n v="1"/>
    <n v="3"/>
    <n v="0"/>
    <n v="3"/>
  </r>
  <r>
    <n v="10459"/>
    <d v="2026-04-04T00:00:00"/>
    <s v="04"/>
    <x v="3"/>
    <x v="1"/>
    <x v="350"/>
    <x v="0"/>
    <x v="0"/>
    <x v="3"/>
    <x v="4"/>
    <n v="1"/>
    <n v="237.1"/>
    <x v="3"/>
    <n v="237.1"/>
    <n v="23.71"/>
    <n v="213.39"/>
    <n v="41.52"/>
    <n v="41.52"/>
    <n v="171.86999999999901"/>
    <n v="0.80542668353718494"/>
    <x v="0"/>
    <n v="1"/>
    <n v="1"/>
    <n v="0"/>
    <n v="1"/>
  </r>
  <r>
    <n v="10460"/>
    <d v="2026-04-05T00:00:00"/>
    <s v="05"/>
    <x v="3"/>
    <x v="1"/>
    <x v="371"/>
    <x v="0"/>
    <x v="0"/>
    <x v="1"/>
    <x v="6"/>
    <n v="2"/>
    <n v="45.21"/>
    <x v="0"/>
    <n v="90.42"/>
    <n v="13.563000000000001"/>
    <n v="76.856999999999999"/>
    <n v="129.56"/>
    <n v="259.12"/>
    <n v="-182.26300000000001"/>
    <n v="-2.3714560807733802"/>
    <x v="1"/>
    <n v="0"/>
    <n v="0"/>
    <n v="2"/>
    <n v="2"/>
  </r>
  <r>
    <n v="10461"/>
    <d v="2026-04-06T00:00:00"/>
    <s v="06"/>
    <x v="3"/>
    <x v="1"/>
    <x v="159"/>
    <x v="0"/>
    <x v="1"/>
    <x v="2"/>
    <x v="2"/>
    <n v="3"/>
    <n v="216.93"/>
    <x v="1"/>
    <n v="650.79"/>
    <n v="130.15799999999999"/>
    <n v="520.63199999999995"/>
    <n v="33.71"/>
    <n v="101.13"/>
    <n v="419.50199999999899"/>
    <n v="0.80575531277370505"/>
    <x v="0"/>
    <n v="1"/>
    <n v="3"/>
    <n v="0"/>
    <n v="3"/>
  </r>
  <r>
    <n v="10462"/>
    <d v="2026-04-07T00:00:00"/>
    <s v="07"/>
    <x v="3"/>
    <x v="1"/>
    <x v="303"/>
    <x v="1"/>
    <x v="0"/>
    <x v="0"/>
    <x v="0"/>
    <n v="4"/>
    <n v="196.4"/>
    <x v="1"/>
    <n v="785.6"/>
    <n v="157.12"/>
    <n v="628.48"/>
    <n v="7.52"/>
    <n v="30.08"/>
    <n v="598.4"/>
    <n v="0.95213849287168995"/>
    <x v="0"/>
    <n v="1"/>
    <n v="4"/>
    <n v="0"/>
    <n v="4"/>
  </r>
  <r>
    <n v="10463"/>
    <d v="2026-04-08T00:00:00"/>
    <s v="08"/>
    <x v="3"/>
    <x v="1"/>
    <x v="372"/>
    <x v="1"/>
    <x v="0"/>
    <x v="3"/>
    <x v="3"/>
    <n v="4"/>
    <n v="112.65"/>
    <x v="1"/>
    <n v="450.6"/>
    <n v="90.12"/>
    <n v="360.48"/>
    <n v="120.52"/>
    <n v="482.08"/>
    <n v="-121.599999999999"/>
    <n v="-0.33732800710164201"/>
    <x v="1"/>
    <n v="0"/>
    <n v="0"/>
    <n v="4"/>
    <n v="4"/>
  </r>
  <r>
    <n v="10464"/>
    <d v="2026-04-09T00:00:00"/>
    <s v="09"/>
    <x v="3"/>
    <x v="1"/>
    <x v="373"/>
    <x v="0"/>
    <x v="1"/>
    <x v="3"/>
    <x v="4"/>
    <n v="1"/>
    <n v="234.67"/>
    <x v="0"/>
    <n v="234.67"/>
    <n v="35.200499999999998"/>
    <n v="199.46949999999899"/>
    <n v="38.46"/>
    <n v="38.46"/>
    <n v="161.00949999999901"/>
    <n v="0.80718856767575897"/>
    <x v="0"/>
    <n v="1"/>
    <n v="1"/>
    <n v="0"/>
    <n v="1"/>
  </r>
  <r>
    <n v="10465"/>
    <d v="2026-04-10T00:00:00"/>
    <s v="10"/>
    <x v="3"/>
    <x v="1"/>
    <x v="139"/>
    <x v="1"/>
    <x v="0"/>
    <x v="3"/>
    <x v="3"/>
    <n v="8"/>
    <n v="137.75"/>
    <x v="2"/>
    <n v="1102"/>
    <n v="0"/>
    <n v="1102"/>
    <n v="126.59"/>
    <n v="1012.72"/>
    <n v="89.279999999999902"/>
    <n v="8.1016333938293897E-2"/>
    <x v="0"/>
    <n v="1"/>
    <n v="8"/>
    <n v="0"/>
    <n v="8"/>
  </r>
  <r>
    <n v="10466"/>
    <d v="2026-04-11T00:00:00"/>
    <s v="11"/>
    <x v="3"/>
    <x v="1"/>
    <x v="157"/>
    <x v="3"/>
    <x v="1"/>
    <x v="1"/>
    <x v="1"/>
    <n v="1"/>
    <n v="91.89"/>
    <x v="4"/>
    <n v="91.89"/>
    <n v="4.5945"/>
    <n v="87.295500000000004"/>
    <n v="56.73"/>
    <n v="56.73"/>
    <n v="30.5655"/>
    <n v="0.35013832328126804"/>
    <x v="0"/>
    <n v="1"/>
    <n v="1"/>
    <n v="0"/>
    <n v="1"/>
  </r>
  <r>
    <n v="10467"/>
    <d v="2026-04-12T00:00:00"/>
    <s v="12"/>
    <x v="3"/>
    <x v="1"/>
    <x v="374"/>
    <x v="1"/>
    <x v="1"/>
    <x v="3"/>
    <x v="5"/>
    <n v="7"/>
    <n v="110.62"/>
    <x v="4"/>
    <n v="774.34"/>
    <n v="38.716999999999999"/>
    <n v="735.62300000000005"/>
    <n v="56.16"/>
    <n v="393.12"/>
    <n v="342.50299999999999"/>
    <n v="0.46559582829791801"/>
    <x v="0"/>
    <n v="1"/>
    <n v="7"/>
    <n v="0"/>
    <n v="7"/>
  </r>
  <r>
    <n v="10468"/>
    <d v="2026-04-13T00:00:00"/>
    <s v="13"/>
    <x v="3"/>
    <x v="1"/>
    <x v="375"/>
    <x v="2"/>
    <x v="1"/>
    <x v="3"/>
    <x v="4"/>
    <n v="8"/>
    <n v="68.64"/>
    <x v="2"/>
    <n v="549.12"/>
    <n v="0"/>
    <n v="549.12"/>
    <n v="131.11000000000001"/>
    <n v="1048.8800000000001"/>
    <n v="-499.76"/>
    <n v="-0.91011072261072201"/>
    <x v="1"/>
    <n v="0"/>
    <n v="0"/>
    <n v="8"/>
    <n v="8"/>
  </r>
  <r>
    <n v="10469"/>
    <d v="2026-04-14T00:00:00"/>
    <s v="14"/>
    <x v="3"/>
    <x v="1"/>
    <x v="376"/>
    <x v="2"/>
    <x v="0"/>
    <x v="3"/>
    <x v="4"/>
    <n v="3"/>
    <n v="112.24"/>
    <x v="4"/>
    <n v="336.719999999999"/>
    <n v="16.835999999999999"/>
    <n v="319.88399999999899"/>
    <n v="115.04"/>
    <n v="345.12"/>
    <n v="-25.236000000000001"/>
    <n v="-7.8891098023033498E-2"/>
    <x v="1"/>
    <n v="0"/>
    <n v="0"/>
    <n v="3"/>
    <n v="3"/>
  </r>
  <r>
    <n v="10470"/>
    <d v="2026-04-15T00:00:00"/>
    <s v="15"/>
    <x v="3"/>
    <x v="1"/>
    <x v="348"/>
    <x v="0"/>
    <x v="0"/>
    <x v="1"/>
    <x v="6"/>
    <n v="6"/>
    <n v="164.52"/>
    <x v="3"/>
    <n v="987.12"/>
    <n v="98.712000000000003"/>
    <n v="888.40800000000002"/>
    <n v="13.46"/>
    <n v="80.760000000000005"/>
    <n v="807.64800000000002"/>
    <n v="0.90909582083907392"/>
    <x v="0"/>
    <n v="1"/>
    <n v="6"/>
    <n v="0"/>
    <n v="6"/>
  </r>
  <r>
    <n v="10471"/>
    <d v="2026-04-16T00:00:00"/>
    <s v="16"/>
    <x v="3"/>
    <x v="1"/>
    <x v="12"/>
    <x v="3"/>
    <x v="0"/>
    <x v="3"/>
    <x v="5"/>
    <n v="8"/>
    <n v="100.55"/>
    <x v="0"/>
    <n v="804.4"/>
    <n v="120.66"/>
    <n v="683.74"/>
    <n v="141.91999999999999"/>
    <n v="1135.3599999999999"/>
    <n v="-451.61999999999898"/>
    <n v="-0.66051423055547398"/>
    <x v="1"/>
    <n v="0"/>
    <n v="0"/>
    <n v="8"/>
    <n v="8"/>
  </r>
  <r>
    <n v="10472"/>
    <d v="2026-04-17T00:00:00"/>
    <s v="17"/>
    <x v="3"/>
    <x v="1"/>
    <x v="377"/>
    <x v="1"/>
    <x v="1"/>
    <x v="3"/>
    <x v="3"/>
    <n v="5"/>
    <n v="41.72"/>
    <x v="3"/>
    <n v="208.6"/>
    <n v="20.86"/>
    <n v="187.74"/>
    <n v="35.21"/>
    <n v="176.05"/>
    <n v="11.6899999999999"/>
    <n v="6.2266964951528593E-2"/>
    <x v="0"/>
    <n v="1"/>
    <n v="5"/>
    <n v="0"/>
    <n v="5"/>
  </r>
  <r>
    <n v="10473"/>
    <d v="2026-04-18T00:00:00"/>
    <s v="18"/>
    <x v="3"/>
    <x v="1"/>
    <x v="36"/>
    <x v="3"/>
    <x v="1"/>
    <x v="3"/>
    <x v="3"/>
    <n v="5"/>
    <n v="231.01"/>
    <x v="4"/>
    <n v="1155.05"/>
    <n v="57.752499999999998"/>
    <n v="1097.2974999999999"/>
    <n v="101.65"/>
    <n v="508.25"/>
    <n v="589.04749999999899"/>
    <n v="0.53681658802649201"/>
    <x v="0"/>
    <n v="1"/>
    <n v="5"/>
    <n v="0"/>
    <n v="5"/>
  </r>
  <r>
    <n v="10474"/>
    <d v="2026-04-19T00:00:00"/>
    <s v="19"/>
    <x v="3"/>
    <x v="1"/>
    <x v="378"/>
    <x v="0"/>
    <x v="1"/>
    <x v="3"/>
    <x v="4"/>
    <n v="2"/>
    <n v="184.33"/>
    <x v="1"/>
    <n v="368.66"/>
    <n v="73.731999999999999"/>
    <n v="294.928"/>
    <n v="141.38"/>
    <n v="282.76"/>
    <n v="12.167999999999999"/>
    <n v="4.1257527260890797E-2"/>
    <x v="0"/>
    <n v="1"/>
    <n v="2"/>
    <n v="0"/>
    <n v="2"/>
  </r>
  <r>
    <n v="10475"/>
    <d v="2026-04-20T00:00:00"/>
    <s v="20"/>
    <x v="3"/>
    <x v="1"/>
    <x v="379"/>
    <x v="1"/>
    <x v="1"/>
    <x v="3"/>
    <x v="4"/>
    <n v="6"/>
    <n v="52.43"/>
    <x v="4"/>
    <n v="314.58"/>
    <n v="15.728999999999999"/>
    <n v="298.851"/>
    <n v="127.14"/>
    <n v="762.84"/>
    <n v="-463.98899999999998"/>
    <n v="-1.55257636748747"/>
    <x v="1"/>
    <n v="0"/>
    <n v="0"/>
    <n v="6"/>
    <n v="6"/>
  </r>
  <r>
    <n v="10476"/>
    <d v="2026-04-21T00:00:00"/>
    <s v="21"/>
    <x v="3"/>
    <x v="1"/>
    <x v="380"/>
    <x v="2"/>
    <x v="0"/>
    <x v="3"/>
    <x v="3"/>
    <n v="9"/>
    <n v="208.37"/>
    <x v="3"/>
    <n v="1875.33"/>
    <n v="187.53299999999999"/>
    <n v="1687.797"/>
    <n v="75.8"/>
    <n v="682.19999999999902"/>
    <n v="1005.597"/>
    <n v="0.59580447174630602"/>
    <x v="0"/>
    <n v="1"/>
    <n v="9"/>
    <n v="0"/>
    <n v="9"/>
  </r>
  <r>
    <n v="10477"/>
    <d v="2026-04-22T00:00:00"/>
    <s v="22"/>
    <x v="3"/>
    <x v="1"/>
    <x v="53"/>
    <x v="3"/>
    <x v="0"/>
    <x v="0"/>
    <x v="0"/>
    <n v="5"/>
    <n v="238.13"/>
    <x v="1"/>
    <n v="1190.6500000000001"/>
    <n v="238.13"/>
    <n v="952.52"/>
    <n v="142.33000000000001"/>
    <n v="711.65"/>
    <n v="240.87"/>
    <n v="0.25287658001931701"/>
    <x v="0"/>
    <n v="1"/>
    <n v="5"/>
    <n v="0"/>
    <n v="5"/>
  </r>
  <r>
    <n v="10478"/>
    <d v="2026-04-23T00:00:00"/>
    <s v="23"/>
    <x v="3"/>
    <x v="1"/>
    <x v="381"/>
    <x v="1"/>
    <x v="0"/>
    <x v="3"/>
    <x v="4"/>
    <n v="3"/>
    <n v="77.52"/>
    <x v="0"/>
    <n v="232.56"/>
    <n v="34.884"/>
    <n v="197.67599999999999"/>
    <n v="104.43"/>
    <n v="313.29000000000002"/>
    <n v="-115.614"/>
    <n v="-0.58486614460025499"/>
    <x v="1"/>
    <n v="0"/>
    <n v="0"/>
    <n v="3"/>
    <n v="3"/>
  </r>
  <r>
    <n v="10479"/>
    <d v="2026-04-24T00:00:00"/>
    <s v="24"/>
    <x v="3"/>
    <x v="1"/>
    <x v="382"/>
    <x v="3"/>
    <x v="0"/>
    <x v="3"/>
    <x v="3"/>
    <n v="7"/>
    <n v="139.22"/>
    <x v="3"/>
    <n v="974.54"/>
    <n v="97.453999999999994"/>
    <n v="877.08600000000001"/>
    <n v="41.24"/>
    <n v="288.68"/>
    <n v="588.40599999999995"/>
    <n v="0.67086465865376899"/>
    <x v="0"/>
    <n v="1"/>
    <n v="7"/>
    <n v="0"/>
    <n v="7"/>
  </r>
  <r>
    <n v="10480"/>
    <d v="2026-04-25T00:00:00"/>
    <s v="25"/>
    <x v="3"/>
    <x v="1"/>
    <x v="16"/>
    <x v="3"/>
    <x v="1"/>
    <x v="0"/>
    <x v="0"/>
    <n v="5"/>
    <n v="234.03"/>
    <x v="3"/>
    <n v="1170.1500000000001"/>
    <n v="117.015"/>
    <n v="1053.135"/>
    <n v="144.82"/>
    <n v="724.099999999999"/>
    <n v="329.03500000000003"/>
    <n v="0.31243382852150903"/>
    <x v="0"/>
    <n v="1"/>
    <n v="5"/>
    <n v="0"/>
    <n v="5"/>
  </r>
  <r>
    <n v="10481"/>
    <d v="2026-04-26T00:00:00"/>
    <s v="26"/>
    <x v="3"/>
    <x v="1"/>
    <x v="383"/>
    <x v="0"/>
    <x v="1"/>
    <x v="1"/>
    <x v="6"/>
    <n v="9"/>
    <n v="89.93"/>
    <x v="0"/>
    <n v="809.37"/>
    <n v="121.4055"/>
    <n v="687.96450000000004"/>
    <n v="87.25"/>
    <n v="785.25"/>
    <n v="-97.2854999999999"/>
    <n v="-0.14141063964782999"/>
    <x v="1"/>
    <n v="0"/>
    <n v="0"/>
    <n v="9"/>
    <n v="9"/>
  </r>
  <r>
    <n v="10482"/>
    <d v="2026-04-27T00:00:00"/>
    <s v="27"/>
    <x v="3"/>
    <x v="1"/>
    <x v="384"/>
    <x v="0"/>
    <x v="0"/>
    <x v="3"/>
    <x v="5"/>
    <n v="6"/>
    <n v="97.2"/>
    <x v="4"/>
    <n v="583.20000000000005"/>
    <n v="29.16"/>
    <n v="554.04"/>
    <n v="51.74"/>
    <n v="310.44"/>
    <n v="243.6"/>
    <n v="0.43967944552739802"/>
    <x v="0"/>
    <n v="1"/>
    <n v="6"/>
    <n v="0"/>
    <n v="6"/>
  </r>
  <r>
    <n v="10483"/>
    <d v="2026-04-28T00:00:00"/>
    <s v="28"/>
    <x v="3"/>
    <x v="1"/>
    <x v="385"/>
    <x v="0"/>
    <x v="0"/>
    <x v="0"/>
    <x v="0"/>
    <n v="5"/>
    <n v="54.43"/>
    <x v="0"/>
    <n v="272.14999999999998"/>
    <n v="40.822499999999998"/>
    <n v="231.32749999999999"/>
    <n v="68.010000000000005"/>
    <n v="340.05"/>
    <n v="-108.7225"/>
    <n v="-0.46999383990230298"/>
    <x v="1"/>
    <n v="0"/>
    <n v="0"/>
    <n v="5"/>
    <n v="5"/>
  </r>
  <r>
    <n v="10484"/>
    <d v="2026-04-29T00:00:00"/>
    <s v="29"/>
    <x v="3"/>
    <x v="1"/>
    <x v="386"/>
    <x v="0"/>
    <x v="1"/>
    <x v="3"/>
    <x v="3"/>
    <n v="1"/>
    <n v="120.33"/>
    <x v="4"/>
    <n v="120.33"/>
    <n v="6.0164999999999997"/>
    <n v="114.3135"/>
    <n v="33.130000000000003"/>
    <n v="33.130000000000003"/>
    <n v="81.183499999999995"/>
    <n v="0.71018296176742002"/>
    <x v="0"/>
    <n v="1"/>
    <n v="1"/>
    <n v="0"/>
    <n v="1"/>
  </r>
  <r>
    <n v="10485"/>
    <d v="2026-04-30T00:00:00"/>
    <s v="30"/>
    <x v="3"/>
    <x v="1"/>
    <x v="386"/>
    <x v="1"/>
    <x v="0"/>
    <x v="2"/>
    <x v="2"/>
    <n v="8"/>
    <n v="226.79"/>
    <x v="1"/>
    <n v="1814.32"/>
    <n v="362.86399999999998"/>
    <n v="1451.4559999999999"/>
    <n v="88.16"/>
    <n v="705.28"/>
    <n v="746.17599999999902"/>
    <n v="0.51408792274791604"/>
    <x v="0"/>
    <n v="1"/>
    <n v="8"/>
    <n v="0"/>
    <n v="8"/>
  </r>
  <r>
    <n v="10486"/>
    <d v="2026-05-01T00:00:00"/>
    <s v="01"/>
    <x v="4"/>
    <x v="1"/>
    <x v="387"/>
    <x v="3"/>
    <x v="1"/>
    <x v="1"/>
    <x v="6"/>
    <n v="6"/>
    <n v="241.95"/>
    <x v="2"/>
    <n v="1451.69999999999"/>
    <n v="0"/>
    <n v="1451.69999999999"/>
    <n v="87.17"/>
    <n v="523.02"/>
    <n v="928.67999999999904"/>
    <n v="0.63971895019632097"/>
    <x v="0"/>
    <n v="1"/>
    <n v="6"/>
    <n v="0"/>
    <n v="6"/>
  </r>
  <r>
    <n v="10487"/>
    <d v="2026-05-02T00:00:00"/>
    <s v="02"/>
    <x v="4"/>
    <x v="1"/>
    <x v="388"/>
    <x v="3"/>
    <x v="1"/>
    <x v="3"/>
    <x v="4"/>
    <n v="4"/>
    <n v="48.13"/>
    <x v="2"/>
    <n v="192.52"/>
    <n v="0"/>
    <n v="192.52"/>
    <n v="28.15"/>
    <n v="112.6"/>
    <n v="79.92"/>
    <n v="0.41512570122584597"/>
    <x v="0"/>
    <n v="1"/>
    <n v="4"/>
    <n v="0"/>
    <n v="4"/>
  </r>
  <r>
    <n v="10488"/>
    <d v="2026-05-03T00:00:00"/>
    <s v="03"/>
    <x v="4"/>
    <x v="1"/>
    <x v="173"/>
    <x v="3"/>
    <x v="0"/>
    <x v="3"/>
    <x v="4"/>
    <n v="8"/>
    <n v="232.92"/>
    <x v="4"/>
    <n v="1863.36"/>
    <n v="93.168000000000006"/>
    <n v="1770.192"/>
    <n v="65.150000000000006"/>
    <n v="521.20000000000005"/>
    <n v="1248.992"/>
    <n v="0.70556866147852804"/>
    <x v="0"/>
    <n v="1"/>
    <n v="8"/>
    <n v="0"/>
    <n v="8"/>
  </r>
  <r>
    <n v="10489"/>
    <d v="2026-05-04T00:00:00"/>
    <s v="04"/>
    <x v="4"/>
    <x v="1"/>
    <x v="287"/>
    <x v="2"/>
    <x v="1"/>
    <x v="3"/>
    <x v="3"/>
    <n v="8"/>
    <n v="57.01"/>
    <x v="0"/>
    <n v="456.08"/>
    <n v="68.411999999999907"/>
    <n v="387.66800000000001"/>
    <n v="43.61"/>
    <n v="348.88"/>
    <n v="38.787999999999997"/>
    <n v="0.100054685968405"/>
    <x v="0"/>
    <n v="1"/>
    <n v="8"/>
    <n v="0"/>
    <n v="8"/>
  </r>
  <r>
    <n v="10490"/>
    <d v="2026-05-05T00:00:00"/>
    <s v="05"/>
    <x v="4"/>
    <x v="1"/>
    <x v="389"/>
    <x v="2"/>
    <x v="1"/>
    <x v="1"/>
    <x v="1"/>
    <n v="6"/>
    <n v="220.77"/>
    <x v="2"/>
    <n v="1324.62"/>
    <n v="0"/>
    <n v="1324.62"/>
    <n v="134.86000000000001"/>
    <n v="809.16"/>
    <n v="515.46"/>
    <n v="0.38913801694070699"/>
    <x v="0"/>
    <n v="1"/>
    <n v="6"/>
    <n v="0"/>
    <n v="6"/>
  </r>
  <r>
    <n v="10491"/>
    <d v="2026-05-06T00:00:00"/>
    <s v="06"/>
    <x v="4"/>
    <x v="1"/>
    <x v="124"/>
    <x v="3"/>
    <x v="0"/>
    <x v="0"/>
    <x v="0"/>
    <n v="6"/>
    <n v="200.99"/>
    <x v="1"/>
    <n v="1205.94"/>
    <n v="241.18799999999999"/>
    <n v="964.75199999999995"/>
    <n v="33.25"/>
    <n v="199.5"/>
    <n v="765.25199999999995"/>
    <n v="0.79321110503010106"/>
    <x v="0"/>
    <n v="1"/>
    <n v="6"/>
    <n v="0"/>
    <n v="6"/>
  </r>
  <r>
    <n v="10492"/>
    <d v="2026-05-07T00:00:00"/>
    <s v="07"/>
    <x v="4"/>
    <x v="1"/>
    <x v="390"/>
    <x v="0"/>
    <x v="0"/>
    <x v="3"/>
    <x v="4"/>
    <n v="1"/>
    <n v="17.32"/>
    <x v="0"/>
    <n v="17.32"/>
    <n v="2.5979999999999999"/>
    <n v="14.722"/>
    <n v="93.21"/>
    <n v="93.21"/>
    <n v="-78.488"/>
    <n v="-5.3313408504279298"/>
    <x v="1"/>
    <n v="0"/>
    <n v="0"/>
    <n v="1"/>
    <n v="1"/>
  </r>
  <r>
    <n v="10493"/>
    <d v="2026-05-08T00:00:00"/>
    <s v="08"/>
    <x v="4"/>
    <x v="1"/>
    <x v="391"/>
    <x v="2"/>
    <x v="0"/>
    <x v="3"/>
    <x v="5"/>
    <n v="9"/>
    <n v="99.41"/>
    <x v="3"/>
    <n v="894.68999999999903"/>
    <n v="89.468999999999994"/>
    <n v="805.221"/>
    <n v="97.82"/>
    <n v="880.37999999999897"/>
    <n v="-75.158999999999807"/>
    <n v="-9.3339592484547498E-2"/>
    <x v="1"/>
    <n v="0"/>
    <n v="0"/>
    <n v="9"/>
    <n v="9"/>
  </r>
  <r>
    <n v="10494"/>
    <d v="2026-05-09T00:00:00"/>
    <s v="09"/>
    <x v="4"/>
    <x v="1"/>
    <x v="392"/>
    <x v="3"/>
    <x v="1"/>
    <x v="0"/>
    <x v="0"/>
    <n v="1"/>
    <n v="79.66"/>
    <x v="4"/>
    <n v="79.66"/>
    <n v="3.9830000000000001"/>
    <n v="75.676999999999893"/>
    <n v="92.54"/>
    <n v="92.54"/>
    <n v="-16.863"/>
    <n v="-0.22282860049949099"/>
    <x v="1"/>
    <n v="0"/>
    <n v="0"/>
    <n v="1"/>
    <n v="1"/>
  </r>
  <r>
    <n v="10495"/>
    <d v="2026-05-10T00:00:00"/>
    <s v="10"/>
    <x v="4"/>
    <x v="1"/>
    <x v="393"/>
    <x v="3"/>
    <x v="0"/>
    <x v="3"/>
    <x v="4"/>
    <n v="4"/>
    <n v="213.83"/>
    <x v="1"/>
    <n v="855.32"/>
    <n v="171.06399999999999"/>
    <n v="684.25599999999997"/>
    <n v="59.1"/>
    <n v="236.4"/>
    <n v="447.85599999999999"/>
    <n v="0.65451526913903502"/>
    <x v="0"/>
    <n v="1"/>
    <n v="4"/>
    <n v="0"/>
    <n v="4"/>
  </r>
  <r>
    <n v="10496"/>
    <d v="2026-05-11T00:00:00"/>
    <s v="11"/>
    <x v="4"/>
    <x v="1"/>
    <x v="394"/>
    <x v="3"/>
    <x v="0"/>
    <x v="3"/>
    <x v="3"/>
    <n v="1"/>
    <n v="67.5"/>
    <x v="2"/>
    <n v="67.5"/>
    <n v="0"/>
    <n v="67.5"/>
    <n v="40.47"/>
    <n v="40.47"/>
    <n v="27.03"/>
    <n v="0.40044444444444399"/>
    <x v="0"/>
    <n v="1"/>
    <n v="1"/>
    <n v="0"/>
    <n v="1"/>
  </r>
  <r>
    <n v="10497"/>
    <d v="2026-05-12T00:00:00"/>
    <s v="12"/>
    <x v="4"/>
    <x v="1"/>
    <x v="122"/>
    <x v="2"/>
    <x v="1"/>
    <x v="3"/>
    <x v="5"/>
    <n v="5"/>
    <n v="120.59"/>
    <x v="3"/>
    <n v="602.95000000000005"/>
    <n v="60.295000000000002"/>
    <n v="542.65499999999997"/>
    <n v="6.2"/>
    <n v="31"/>
    <n v="511.65499999999997"/>
    <n v="0.94287346472436395"/>
    <x v="0"/>
    <n v="1"/>
    <n v="5"/>
    <n v="0"/>
    <n v="5"/>
  </r>
  <r>
    <n v="10498"/>
    <d v="2026-05-13T00:00:00"/>
    <s v="13"/>
    <x v="4"/>
    <x v="1"/>
    <x v="395"/>
    <x v="0"/>
    <x v="1"/>
    <x v="3"/>
    <x v="5"/>
    <n v="3"/>
    <n v="182.53"/>
    <x v="1"/>
    <n v="547.59"/>
    <n v="109.518"/>
    <n v="438.072"/>
    <n v="34.68"/>
    <n v="104.039999999999"/>
    <n v="334.03199999999998"/>
    <n v="0.76250479373253699"/>
    <x v="0"/>
    <n v="1"/>
    <n v="3"/>
    <n v="0"/>
    <n v="3"/>
  </r>
  <r>
    <n v="10499"/>
    <d v="2026-05-14T00:00:00"/>
    <s v="14"/>
    <x v="4"/>
    <x v="1"/>
    <x v="396"/>
    <x v="3"/>
    <x v="0"/>
    <x v="1"/>
    <x v="1"/>
    <n v="1"/>
    <n v="249.83"/>
    <x v="0"/>
    <n v="249.83"/>
    <n v="37.474499999999999"/>
    <n v="212.35550000000001"/>
    <n v="123.04"/>
    <n v="123.04"/>
    <n v="89.3155"/>
    <n v="0.42059423937689305"/>
    <x v="0"/>
    <n v="1"/>
    <n v="1"/>
    <n v="0"/>
    <n v="1"/>
  </r>
  <r>
    <n v="10500"/>
    <d v="2026-05-15T00:00:00"/>
    <s v="15"/>
    <x v="4"/>
    <x v="1"/>
    <x v="397"/>
    <x v="3"/>
    <x v="0"/>
    <x v="2"/>
    <x v="2"/>
    <n v="7"/>
    <n v="97.16"/>
    <x v="1"/>
    <n v="680.12"/>
    <n v="136.024"/>
    <n v="544.096"/>
    <n v="45.31"/>
    <n v="317.17"/>
    <n v="226.92599999999999"/>
    <n v="0.41706978180321103"/>
    <x v="0"/>
    <n v="1"/>
    <n v="7"/>
    <n v="0"/>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6AD5B5-6721-4FF8-9F15-1D58CBCC989B}" name="PivotTable4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N401" firstHeaderRow="1" firstDataRow="1" firstDataCol="1"/>
  <pivotFields count="25">
    <pivotField dataField="1" showAll="0"/>
    <pivotField numFmtId="14" showAll="0"/>
    <pivotField showAll="0"/>
    <pivotField showAll="0"/>
    <pivotField showAll="0"/>
    <pivotField axis="axisRow" showAll="0">
      <items count="399">
        <item x="221"/>
        <item x="164"/>
        <item x="29"/>
        <item x="239"/>
        <item x="264"/>
        <item x="153"/>
        <item x="330"/>
        <item x="313"/>
        <item x="82"/>
        <item x="98"/>
        <item x="147"/>
        <item x="85"/>
        <item x="116"/>
        <item x="356"/>
        <item x="128"/>
        <item x="212"/>
        <item x="32"/>
        <item x="208"/>
        <item x="102"/>
        <item x="165"/>
        <item x="283"/>
        <item x="20"/>
        <item x="269"/>
        <item x="54"/>
        <item x="332"/>
        <item x="26"/>
        <item x="190"/>
        <item x="281"/>
        <item x="292"/>
        <item x="95"/>
        <item x="396"/>
        <item x="183"/>
        <item x="327"/>
        <item x="328"/>
        <item x="73"/>
        <item x="214"/>
        <item x="144"/>
        <item x="324"/>
        <item x="376"/>
        <item x="331"/>
        <item x="280"/>
        <item x="158"/>
        <item x="105"/>
        <item x="393"/>
        <item x="39"/>
        <item x="312"/>
        <item x="86"/>
        <item x="381"/>
        <item x="363"/>
        <item x="385"/>
        <item x="94"/>
        <item x="129"/>
        <item x="394"/>
        <item x="50"/>
        <item x="355"/>
        <item x="249"/>
        <item x="263"/>
        <item x="72"/>
        <item x="36"/>
        <item x="238"/>
        <item x="319"/>
        <item x="266"/>
        <item x="207"/>
        <item x="18"/>
        <item x="146"/>
        <item x="0"/>
        <item x="258"/>
        <item x="390"/>
        <item x="145"/>
        <item x="306"/>
        <item x="170"/>
        <item x="37"/>
        <item x="305"/>
        <item x="9"/>
        <item x="41"/>
        <item x="150"/>
        <item x="392"/>
        <item x="53"/>
        <item x="1"/>
        <item x="143"/>
        <item x="346"/>
        <item x="45"/>
        <item x="100"/>
        <item x="335"/>
        <item x="224"/>
        <item x="251"/>
        <item x="5"/>
        <item x="349"/>
        <item x="125"/>
        <item x="81"/>
        <item x="75"/>
        <item x="181"/>
        <item x="380"/>
        <item x="368"/>
        <item x="196"/>
        <item x="252"/>
        <item x="177"/>
        <item x="162"/>
        <item x="323"/>
        <item x="340"/>
        <item x="321"/>
        <item x="188"/>
        <item x="28"/>
        <item x="229"/>
        <item x="57"/>
        <item x="118"/>
        <item x="217"/>
        <item x="234"/>
        <item x="353"/>
        <item x="378"/>
        <item x="218"/>
        <item x="311"/>
        <item x="364"/>
        <item x="112"/>
        <item x="66"/>
        <item x="148"/>
        <item x="87"/>
        <item x="222"/>
        <item x="203"/>
        <item x="43"/>
        <item x="334"/>
        <item x="246"/>
        <item x="367"/>
        <item x="354"/>
        <item x="113"/>
        <item x="309"/>
        <item x="44"/>
        <item x="397"/>
        <item x="197"/>
        <item x="71"/>
        <item x="34"/>
        <item x="178"/>
        <item x="167"/>
        <item x="383"/>
        <item x="230"/>
        <item x="219"/>
        <item x="339"/>
        <item x="13"/>
        <item x="8"/>
        <item x="62"/>
        <item x="77"/>
        <item x="270"/>
        <item x="14"/>
        <item x="294"/>
        <item x="137"/>
        <item x="60"/>
        <item x="298"/>
        <item x="337"/>
        <item x="23"/>
        <item x="106"/>
        <item x="10"/>
        <item x="59"/>
        <item x="97"/>
        <item x="362"/>
        <item x="304"/>
        <item x="296"/>
        <item x="130"/>
        <item x="93"/>
        <item x="286"/>
        <item x="172"/>
        <item x="260"/>
        <item x="242"/>
        <item x="21"/>
        <item x="310"/>
        <item x="127"/>
        <item x="235"/>
        <item x="166"/>
        <item x="329"/>
        <item x="256"/>
        <item x="157"/>
        <item x="31"/>
        <item x="70"/>
        <item x="326"/>
        <item x="120"/>
        <item x="132"/>
        <item x="232"/>
        <item x="46"/>
        <item x="347"/>
        <item x="182"/>
        <item x="121"/>
        <item x="175"/>
        <item x="186"/>
        <item x="318"/>
        <item x="79"/>
        <item x="52"/>
        <item x="161"/>
        <item x="155"/>
        <item x="273"/>
        <item x="49"/>
        <item x="142"/>
        <item x="388"/>
        <item x="160"/>
        <item x="3"/>
        <item x="236"/>
        <item x="25"/>
        <item x="84"/>
        <item x="261"/>
        <item x="247"/>
        <item x="300"/>
        <item x="254"/>
        <item x="67"/>
        <item x="104"/>
        <item x="342"/>
        <item x="163"/>
        <item x="351"/>
        <item x="11"/>
        <item x="282"/>
        <item x="2"/>
        <item x="237"/>
        <item x="350"/>
        <item x="307"/>
        <item x="268"/>
        <item x="338"/>
        <item x="47"/>
        <item x="15"/>
        <item x="124"/>
        <item x="277"/>
        <item x="225"/>
        <item x="285"/>
        <item x="123"/>
        <item x="290"/>
        <item x="395"/>
        <item x="199"/>
        <item x="231"/>
        <item x="4"/>
        <item x="65"/>
        <item x="12"/>
        <item x="176"/>
        <item x="202"/>
        <item x="374"/>
        <item x="174"/>
        <item x="63"/>
        <item x="271"/>
        <item x="302"/>
        <item x="288"/>
        <item x="382"/>
        <item x="240"/>
        <item x="7"/>
        <item x="168"/>
        <item x="109"/>
        <item x="210"/>
        <item x="204"/>
        <item x="99"/>
        <item x="189"/>
        <item x="295"/>
        <item x="111"/>
        <item x="289"/>
        <item x="278"/>
        <item x="259"/>
        <item x="250"/>
        <item x="316"/>
        <item x="154"/>
        <item x="140"/>
        <item x="135"/>
        <item x="110"/>
        <item x="76"/>
        <item x="226"/>
        <item x="184"/>
        <item x="344"/>
        <item x="341"/>
        <item x="136"/>
        <item x="358"/>
        <item x="171"/>
        <item x="253"/>
        <item x="379"/>
        <item x="275"/>
        <item x="301"/>
        <item x="333"/>
        <item x="88"/>
        <item x="194"/>
        <item x="33"/>
        <item x="58"/>
        <item x="138"/>
        <item x="193"/>
        <item x="384"/>
        <item x="325"/>
        <item x="303"/>
        <item x="141"/>
        <item x="389"/>
        <item x="151"/>
        <item x="205"/>
        <item x="16"/>
        <item x="274"/>
        <item x="152"/>
        <item x="89"/>
        <item x="68"/>
        <item x="357"/>
        <item x="248"/>
        <item x="74"/>
        <item x="122"/>
        <item x="40"/>
        <item x="64"/>
        <item x="359"/>
        <item x="243"/>
        <item x="48"/>
        <item x="179"/>
        <item x="361"/>
        <item x="371"/>
        <item x="308"/>
        <item x="103"/>
        <item x="373"/>
        <item x="30"/>
        <item x="134"/>
        <item x="69"/>
        <item x="386"/>
        <item x="267"/>
        <item x="195"/>
        <item x="119"/>
        <item x="255"/>
        <item x="117"/>
        <item x="187"/>
        <item x="360"/>
        <item x="245"/>
        <item x="27"/>
        <item x="35"/>
        <item x="233"/>
        <item x="115"/>
        <item x="272"/>
        <item x="149"/>
        <item x="352"/>
        <item x="108"/>
        <item x="317"/>
        <item x="90"/>
        <item x="107"/>
        <item x="276"/>
        <item x="133"/>
        <item x="370"/>
        <item x="198"/>
        <item x="55"/>
        <item x="391"/>
        <item x="366"/>
        <item x="51"/>
        <item x="287"/>
        <item x="291"/>
        <item x="213"/>
        <item x="299"/>
        <item x="345"/>
        <item x="315"/>
        <item x="211"/>
        <item x="265"/>
        <item x="185"/>
        <item x="293"/>
        <item x="191"/>
        <item x="215"/>
        <item x="159"/>
        <item x="180"/>
        <item x="80"/>
        <item x="369"/>
        <item x="22"/>
        <item x="348"/>
        <item x="201"/>
        <item x="284"/>
        <item x="17"/>
        <item x="131"/>
        <item x="377"/>
        <item x="223"/>
        <item x="114"/>
        <item x="216"/>
        <item x="343"/>
        <item x="262"/>
        <item x="6"/>
        <item x="83"/>
        <item x="200"/>
        <item x="61"/>
        <item x="156"/>
        <item x="78"/>
        <item x="192"/>
        <item x="209"/>
        <item x="320"/>
        <item x="220"/>
        <item x="24"/>
        <item x="322"/>
        <item x="56"/>
        <item x="96"/>
        <item x="244"/>
        <item x="38"/>
        <item x="387"/>
        <item x="101"/>
        <item x="279"/>
        <item x="42"/>
        <item x="314"/>
        <item x="336"/>
        <item x="173"/>
        <item x="372"/>
        <item x="126"/>
        <item x="92"/>
        <item x="228"/>
        <item x="227"/>
        <item x="241"/>
        <item x="375"/>
        <item x="139"/>
        <item x="169"/>
        <item x="91"/>
        <item x="206"/>
        <item x="297"/>
        <item x="257"/>
        <item x="19"/>
        <item x="365"/>
        <item t="default"/>
      </items>
    </pivotField>
    <pivotField showAll="0"/>
    <pivotField showAll="0"/>
    <pivotField showAll="0"/>
    <pivotField showAll="0"/>
    <pivotField showAll="0"/>
    <pivotField numFmtId="2" showAll="0"/>
    <pivotField numFmtId="9" showAll="0"/>
    <pivotField numFmtId="2" showAll="0"/>
    <pivotField numFmtId="2" showAll="0"/>
    <pivotField numFmtId="2" showAll="0"/>
    <pivotField numFmtId="2" showAll="0"/>
    <pivotField numFmtId="2" showAll="0"/>
    <pivotField numFmtId="2" showAll="0"/>
    <pivotField numFmtId="9" showAll="0"/>
    <pivotField showAll="0"/>
    <pivotField numFmtId="1" showAll="0"/>
    <pivotField numFmtId="1" showAll="0"/>
    <pivotField numFmtId="1" showAll="0"/>
    <pivotField numFmtId="1" showAll="0"/>
  </pivotFields>
  <rowFields count="1">
    <field x="5"/>
  </rowFields>
  <rowItems count="39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t="grand">
      <x/>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54B48E-E74D-4DA5-86AE-4D4637C75B1B}" name="PivotTable3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9:F12" firstHeaderRow="1" firstDataRow="1" firstDataCol="1"/>
  <pivotFields count="25">
    <pivotField showAll="0"/>
    <pivotField numFmtId="14" showAll="0"/>
    <pivotField showAll="0"/>
    <pivotField showAll="0"/>
    <pivotField showAll="0"/>
    <pivotField showAll="0"/>
    <pivotField showAll="0">
      <items count="5">
        <item x="2"/>
        <item x="1"/>
        <item x="3"/>
        <item x="0"/>
        <item t="default"/>
      </items>
    </pivotField>
    <pivotField axis="axisRow" showAll="0">
      <items count="3">
        <item x="0"/>
        <item x="1"/>
        <item t="default"/>
      </items>
    </pivotField>
    <pivotField showAll="0">
      <items count="5">
        <item x="1"/>
        <item x="3"/>
        <item x="0"/>
        <item x="2"/>
        <item t="default"/>
      </items>
    </pivotField>
    <pivotField showAll="0"/>
    <pivotField showAll="0"/>
    <pivotField numFmtId="2" showAll="0"/>
    <pivotField numFmtId="9" showAll="0"/>
    <pivotField numFmtId="2" showAll="0"/>
    <pivotField numFmtId="2" showAll="0"/>
    <pivotField dataField="1" numFmtId="2" showAll="0"/>
    <pivotField numFmtId="2" showAll="0"/>
    <pivotField numFmtId="2" showAll="0"/>
    <pivotField numFmtId="2" showAll="0"/>
    <pivotField numFmtId="9" showAll="0"/>
    <pivotField showAll="0"/>
    <pivotField numFmtId="1" showAll="0"/>
    <pivotField numFmtId="1" showAll="0"/>
    <pivotField numFmtId="1" showAll="0"/>
    <pivotField numFmtId="1" showAll="0"/>
  </pivotFields>
  <rowFields count="1">
    <field x="7"/>
  </rowFields>
  <rowItems count="3">
    <i>
      <x/>
    </i>
    <i>
      <x v="1"/>
    </i>
    <i t="grand">
      <x/>
    </i>
  </rowItems>
  <colItems count="1">
    <i/>
  </colItems>
  <dataFields count="1">
    <dataField name="Sum of Net_Revenue" fld="15" baseField="0" baseItem="0" numFmtId="2"/>
  </dataFields>
  <chartFormats count="3">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7" count="1" selected="0">
            <x v="0"/>
          </reference>
        </references>
      </pivotArea>
    </chartFormat>
    <chartFormat chart="5" format="1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86F13A-A794-44AE-B363-F2BC18D77C3C}" name="PivotTable4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1:F25" firstHeaderRow="1" firstDataRow="1" firstDataCol="1"/>
  <pivotFields count="3">
    <pivotField showAll="0"/>
    <pivotField dataField="1" showAll="0"/>
    <pivotField axis="axisRow" showAll="0">
      <items count="4">
        <item x="2"/>
        <item x="0"/>
        <item x="1"/>
        <item t="default"/>
      </items>
    </pivotField>
  </pivotFields>
  <rowFields count="1">
    <field x="2"/>
  </rowFields>
  <rowItems count="4">
    <i>
      <x/>
    </i>
    <i>
      <x v="1"/>
    </i>
    <i>
      <x v="2"/>
    </i>
    <i t="grand">
      <x/>
    </i>
  </rowItems>
  <colItems count="1">
    <i/>
  </colItems>
  <dataFields count="1">
    <dataField name="Sum of Order_ID" fld="1" baseField="0" baseItem="0"/>
  </dataField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4CFDEA-878B-4409-AA09-A7070C76DF9C}" name="PivotTable3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H2:K16" firstHeaderRow="1" firstDataRow="2" firstDataCol="1"/>
  <pivotFields count="25">
    <pivotField showAll="0"/>
    <pivotField numFmtId="14" showAll="0"/>
    <pivotField showAll="0"/>
    <pivotField axis="axisRow" showAll="0">
      <items count="13">
        <item x="0"/>
        <item x="1"/>
        <item x="2"/>
        <item x="3"/>
        <item x="4"/>
        <item x="5"/>
        <item x="6"/>
        <item x="7"/>
        <item x="8"/>
        <item x="9"/>
        <item x="10"/>
        <item x="11"/>
        <item t="default"/>
      </items>
    </pivotField>
    <pivotField axis="axisCol" showAll="0">
      <items count="3">
        <item x="0"/>
        <item x="1"/>
        <item t="default"/>
      </items>
    </pivotField>
    <pivotField showAll="0"/>
    <pivotField showAll="0">
      <items count="5">
        <item x="2"/>
        <item x="1"/>
        <item x="3"/>
        <item x="0"/>
        <item t="default"/>
      </items>
    </pivotField>
    <pivotField showAll="0">
      <items count="3">
        <item x="0"/>
        <item x="1"/>
        <item t="default"/>
      </items>
    </pivotField>
    <pivotField showAll="0">
      <items count="5">
        <item x="1"/>
        <item x="3"/>
        <item x="0"/>
        <item x="2"/>
        <item t="default"/>
      </items>
    </pivotField>
    <pivotField showAll="0"/>
    <pivotField showAll="0"/>
    <pivotField numFmtId="2" showAll="0"/>
    <pivotField numFmtId="9" showAll="0"/>
    <pivotField numFmtId="2" showAll="0"/>
    <pivotField numFmtId="2" showAll="0"/>
    <pivotField dataField="1" numFmtId="2" showAll="0"/>
    <pivotField numFmtId="2" showAll="0"/>
    <pivotField numFmtId="2" showAll="0"/>
    <pivotField numFmtId="2" showAll="0"/>
    <pivotField numFmtId="9" showAll="0"/>
    <pivotField showAll="0"/>
    <pivotField numFmtId="1" showAll="0"/>
    <pivotField numFmtId="1" showAll="0"/>
    <pivotField numFmtId="1" showAll="0"/>
    <pivotField numFmtId="1" showAll="0"/>
  </pivotFields>
  <rowFields count="1">
    <field x="3"/>
  </rowFields>
  <rowItems count="13">
    <i>
      <x/>
    </i>
    <i>
      <x v="1"/>
    </i>
    <i>
      <x v="2"/>
    </i>
    <i>
      <x v="3"/>
    </i>
    <i>
      <x v="4"/>
    </i>
    <i>
      <x v="5"/>
    </i>
    <i>
      <x v="6"/>
    </i>
    <i>
      <x v="7"/>
    </i>
    <i>
      <x v="8"/>
    </i>
    <i>
      <x v="9"/>
    </i>
    <i>
      <x v="10"/>
    </i>
    <i>
      <x v="11"/>
    </i>
    <i t="grand">
      <x/>
    </i>
  </rowItems>
  <colFields count="1">
    <field x="4"/>
  </colFields>
  <colItems count="3">
    <i>
      <x/>
    </i>
    <i>
      <x v="1"/>
    </i>
    <i t="grand">
      <x/>
    </i>
  </colItems>
  <dataFields count="1">
    <dataField name="Sum of Net_Revenue" fld="15" baseField="0" baseItem="0" numFmtId="2"/>
  </dataFields>
  <chartFormats count="6">
    <chartFormat chart="10" format="4" series="1">
      <pivotArea type="data" outline="0" fieldPosition="0">
        <references count="2">
          <reference field="4294967294" count="1" selected="0">
            <x v="0"/>
          </reference>
          <reference field="4" count="1" selected="0">
            <x v="0"/>
          </reference>
        </references>
      </pivotArea>
    </chartFormat>
    <chartFormat chart="10" format="5" series="1">
      <pivotArea type="data" outline="0" fieldPosition="0">
        <references count="2">
          <reference field="4294967294" count="1" selected="0">
            <x v="0"/>
          </reference>
          <reference field="4" count="1" selected="0">
            <x v="1"/>
          </reference>
        </references>
      </pivotArea>
    </chartFormat>
    <chartFormat chart="14" format="0" series="1">
      <pivotArea type="data" outline="0" fieldPosition="0">
        <references count="2">
          <reference field="4294967294" count="1" selected="0">
            <x v="0"/>
          </reference>
          <reference field="4" count="1" selected="0">
            <x v="0"/>
          </reference>
        </references>
      </pivotArea>
    </chartFormat>
    <chartFormat chart="14" format="1" series="1">
      <pivotArea type="data" outline="0" fieldPosition="0">
        <references count="2">
          <reference field="4294967294" count="1" selected="0">
            <x v="0"/>
          </reference>
          <reference field="4" count="1" selected="0">
            <x v="1"/>
          </reference>
        </references>
      </pivotArea>
    </chartFormat>
    <chartFormat chart="17" format="10" series="1">
      <pivotArea type="data" outline="0" fieldPosition="0">
        <references count="2">
          <reference field="4294967294" count="1" selected="0">
            <x v="0"/>
          </reference>
          <reference field="4" count="1" selected="0">
            <x v="0"/>
          </reference>
        </references>
      </pivotArea>
    </chartFormat>
    <chartFormat chart="17" format="11"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F9E048-F4CC-4144-BCF9-AA48D5AB2DC8}"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E34:F37" firstHeaderRow="1" firstDataRow="1" firstDataCol="1"/>
  <pivotFields count="25">
    <pivotField showAll="0"/>
    <pivotField numFmtId="14" showAll="0"/>
    <pivotField showAll="0"/>
    <pivotField showAll="0"/>
    <pivotField showAll="0"/>
    <pivotField showAll="0"/>
    <pivotField showAll="0">
      <items count="5">
        <item x="2"/>
        <item x="1"/>
        <item x="3"/>
        <item x="0"/>
        <item t="default"/>
      </items>
    </pivotField>
    <pivotField showAll="0">
      <items count="3">
        <item x="0"/>
        <item x="1"/>
        <item t="default"/>
      </items>
    </pivotField>
    <pivotField showAll="0">
      <items count="5">
        <item x="1"/>
        <item x="3"/>
        <item x="0"/>
        <item x="2"/>
        <item t="default"/>
      </items>
    </pivotField>
    <pivotField showAll="0"/>
    <pivotField showAll="0"/>
    <pivotField numFmtId="2" showAll="0"/>
    <pivotField numFmtId="9" showAll="0"/>
    <pivotField numFmtId="2" showAll="0"/>
    <pivotField numFmtId="2" showAll="0"/>
    <pivotField numFmtId="2" showAll="0"/>
    <pivotField numFmtId="2" showAll="0"/>
    <pivotField numFmtId="2" showAll="0"/>
    <pivotField numFmtId="2" showAll="0"/>
    <pivotField numFmtId="9" showAll="0"/>
    <pivotField axis="axisRow" showAll="0">
      <items count="3">
        <item x="0"/>
        <item x="1"/>
        <item t="default"/>
      </items>
    </pivotField>
    <pivotField numFmtId="1" showAll="0"/>
    <pivotField numFmtId="1" showAll="0"/>
    <pivotField numFmtId="1" showAll="0"/>
    <pivotField dataField="1" numFmtId="1" showAll="0"/>
  </pivotFields>
  <rowFields count="1">
    <field x="20"/>
  </rowFields>
  <rowItems count="3">
    <i>
      <x/>
    </i>
    <i>
      <x v="1"/>
    </i>
    <i t="grand">
      <x/>
    </i>
  </rowItems>
  <colItems count="1">
    <i/>
  </colItems>
  <dataFields count="1">
    <dataField name="Sum of Product Gain/Loss" fld="24" baseField="0" baseItem="0" numFmtId="1"/>
  </dataField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0"/>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0" count="1" selected="0">
            <x v="0"/>
          </reference>
        </references>
      </pivotArea>
    </chartFormat>
    <chartFormat chart="2" format="8">
      <pivotArea type="data" outline="0" fieldPosition="0">
        <references count="2">
          <reference field="4294967294" count="1" selected="0">
            <x v="0"/>
          </reference>
          <reference field="20" count="1" selected="0">
            <x v="1"/>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0" count="1" selected="0">
            <x v="0"/>
          </reference>
        </references>
      </pivotArea>
    </chartFormat>
    <chartFormat chart="7" format="6">
      <pivotArea type="data" outline="0" fieldPosition="0">
        <references count="2">
          <reference field="4294967294" count="1" selected="0">
            <x v="0"/>
          </reference>
          <reference field="20" count="1" selected="0">
            <x v="1"/>
          </reference>
        </references>
      </pivotArea>
    </chartFormat>
    <chartFormat chart="8" format="1" series="1">
      <pivotArea type="data" outline="0" fieldPosition="0">
        <references count="1">
          <reference field="4294967294" count="1" selected="0">
            <x v="0"/>
          </reference>
        </references>
      </pivotArea>
    </chartFormat>
    <chartFormat chart="8" format="2">
      <pivotArea type="data" outline="0" fieldPosition="0">
        <references count="2">
          <reference field="4294967294" count="1" selected="0">
            <x v="0"/>
          </reference>
          <reference field="20" count="1" selected="0">
            <x v="0"/>
          </reference>
        </references>
      </pivotArea>
    </chartFormat>
    <chartFormat chart="8" format="3">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C1A195-408D-4298-B3A8-6E64CE10E01C}" name="PivotTable4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0:C35" firstHeaderRow="0" firstDataRow="1" firstDataCol="1"/>
  <pivotFields count="25">
    <pivotField showAll="0"/>
    <pivotField numFmtId="14" showAll="0"/>
    <pivotField showAll="0"/>
    <pivotField showAll="0"/>
    <pivotField showAll="0"/>
    <pivotField showAll="0"/>
    <pivotField showAll="0"/>
    <pivotField showAll="0"/>
    <pivotField axis="axisRow" showAll="0">
      <items count="5">
        <item x="1"/>
        <item x="3"/>
        <item x="0"/>
        <item x="2"/>
        <item t="default"/>
      </items>
    </pivotField>
    <pivotField showAll="0"/>
    <pivotField showAll="0"/>
    <pivotField numFmtId="2" showAll="0"/>
    <pivotField numFmtId="9" showAll="0"/>
    <pivotField numFmtId="2" showAll="0"/>
    <pivotField numFmtId="2" showAll="0"/>
    <pivotField dataField="1" numFmtId="2" showAll="0"/>
    <pivotField numFmtId="2" showAll="0"/>
    <pivotField numFmtId="2" showAll="0"/>
    <pivotField dataField="1" numFmtId="2" showAll="0"/>
    <pivotField numFmtId="9" showAll="0"/>
    <pivotField showAll="0"/>
    <pivotField numFmtId="1" showAll="0"/>
    <pivotField numFmtId="1" showAll="0"/>
    <pivotField numFmtId="1" showAll="0"/>
    <pivotField numFmtId="1" showAll="0"/>
  </pivotFields>
  <rowFields count="1">
    <field x="8"/>
  </rowFields>
  <rowItems count="5">
    <i>
      <x/>
    </i>
    <i>
      <x v="1"/>
    </i>
    <i>
      <x v="2"/>
    </i>
    <i>
      <x v="3"/>
    </i>
    <i t="grand">
      <x/>
    </i>
  </rowItems>
  <colFields count="1">
    <field x="-2"/>
  </colFields>
  <colItems count="2">
    <i>
      <x/>
    </i>
    <i i="1">
      <x v="1"/>
    </i>
  </colItems>
  <dataFields count="2">
    <dataField name="Net_Revenue " fld="15" baseField="8" baseItem="0" numFmtId="2"/>
    <dataField name="Profit " fld="18" baseField="8" baseItem="0" numFmtId="2"/>
  </dataFields>
  <chartFormats count="2">
    <chartFormat chart="9" format="27"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E0E222-5D5D-4FB0-9158-CC98BFD6C9B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2:C10" firstHeaderRow="0" firstDataRow="1" firstDataCol="1"/>
  <pivotFields count="25">
    <pivotField showAll="0"/>
    <pivotField numFmtId="14" showAll="0"/>
    <pivotField showAll="0"/>
    <pivotField showAll="0"/>
    <pivotField showAll="0"/>
    <pivotField showAll="0"/>
    <pivotField showAll="0"/>
    <pivotField showAll="0"/>
    <pivotField showAll="0"/>
    <pivotField axis="axisRow" showAll="0" measureFilter="1" sortType="descending">
      <items count="8">
        <item x="6"/>
        <item x="2"/>
        <item x="0"/>
        <item x="5"/>
        <item x="3"/>
        <item x="4"/>
        <item x="1"/>
        <item t="default"/>
      </items>
      <autoSortScope>
        <pivotArea dataOnly="0" outline="0" fieldPosition="0">
          <references count="1">
            <reference field="4294967294" count="1" selected="0">
              <x v="0"/>
            </reference>
          </references>
        </pivotArea>
      </autoSortScope>
    </pivotField>
    <pivotField showAll="0"/>
    <pivotField numFmtId="2" showAll="0"/>
    <pivotField numFmtId="9" showAll="0"/>
    <pivotField numFmtId="2" showAll="0"/>
    <pivotField numFmtId="2" showAll="0"/>
    <pivotField dataField="1" numFmtId="2" showAll="0"/>
    <pivotField numFmtId="2" showAll="0"/>
    <pivotField numFmtId="2" showAll="0"/>
    <pivotField dataField="1" numFmtId="2" showAll="0"/>
    <pivotField numFmtId="9" showAll="0"/>
    <pivotField showAll="0"/>
    <pivotField numFmtId="1" showAll="0"/>
    <pivotField numFmtId="1" showAll="0"/>
    <pivotField numFmtId="1" showAll="0"/>
    <pivotField numFmtId="1" showAll="0"/>
  </pivotFields>
  <rowFields count="1">
    <field x="9"/>
  </rowFields>
  <rowItems count="8">
    <i>
      <x v="4"/>
    </i>
    <i>
      <x v="2"/>
    </i>
    <i>
      <x v="5"/>
    </i>
    <i>
      <x v="3"/>
    </i>
    <i>
      <x v="1"/>
    </i>
    <i>
      <x/>
    </i>
    <i>
      <x v="6"/>
    </i>
    <i t="grand">
      <x/>
    </i>
  </rowItems>
  <colFields count="1">
    <field x="-2"/>
  </colFields>
  <colItems count="2">
    <i>
      <x/>
    </i>
    <i i="1">
      <x v="1"/>
    </i>
  </colItems>
  <dataFields count="2">
    <dataField name="Net_Revenue " fld="15" baseField="9" baseItem="4" numFmtId="2"/>
    <dataField name="Profit " fld="18" baseField="9" baseItem="4" numFmtId="2"/>
  </dataFields>
  <chartFormats count="13">
    <chartFormat chart="16" format="10" series="1">
      <pivotArea type="data" outline="0" fieldPosition="0">
        <references count="1">
          <reference field="4294967294" count="1" selected="0">
            <x v="0"/>
          </reference>
        </references>
      </pivotArea>
    </chartFormat>
    <chartFormat chart="16" format="11">
      <pivotArea type="data" outline="0" fieldPosition="0">
        <references count="2">
          <reference field="4294967294" count="1" selected="0">
            <x v="0"/>
          </reference>
          <reference field="9" count="1" selected="0">
            <x v="4"/>
          </reference>
        </references>
      </pivotArea>
    </chartFormat>
    <chartFormat chart="16" format="12">
      <pivotArea type="data" outline="0" fieldPosition="0">
        <references count="2">
          <reference field="4294967294" count="1" selected="0">
            <x v="0"/>
          </reference>
          <reference field="9" count="1" selected="0">
            <x v="2"/>
          </reference>
        </references>
      </pivotArea>
    </chartFormat>
    <chartFormat chart="16" format="13">
      <pivotArea type="data" outline="0" fieldPosition="0">
        <references count="2">
          <reference field="4294967294" count="1" selected="0">
            <x v="0"/>
          </reference>
          <reference field="9" count="1" selected="0">
            <x v="5"/>
          </reference>
        </references>
      </pivotArea>
    </chartFormat>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9" count="1" selected="0">
            <x v="4"/>
          </reference>
        </references>
      </pivotArea>
    </chartFormat>
    <chartFormat chart="19" format="8">
      <pivotArea type="data" outline="0" fieldPosition="0">
        <references count="2">
          <reference field="4294967294" count="1" selected="0">
            <x v="0"/>
          </reference>
          <reference field="9" count="1" selected="0">
            <x v="2"/>
          </reference>
        </references>
      </pivotArea>
    </chartFormat>
    <chartFormat chart="19" format="9">
      <pivotArea type="data" outline="0" fieldPosition="0">
        <references count="2">
          <reference field="4294967294" count="1" selected="0">
            <x v="0"/>
          </reference>
          <reference field="9" count="1" selected="0">
            <x v="5"/>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9" count="1" selected="0">
            <x v="4"/>
          </reference>
        </references>
      </pivotArea>
    </chartFormat>
    <chartFormat chart="20" format="12">
      <pivotArea type="data" outline="0" fieldPosition="0">
        <references count="2">
          <reference field="4294967294" count="1" selected="0">
            <x v="0"/>
          </reference>
          <reference field="9" count="1" selected="0">
            <x v="2"/>
          </reference>
        </references>
      </pivotArea>
    </chartFormat>
    <chartFormat chart="20" format="13">
      <pivotArea type="data" outline="0" fieldPosition="0">
        <references count="2">
          <reference field="4294967294" count="1" selected="0">
            <x v="0"/>
          </reference>
          <reference field="9" count="1" selected="0">
            <x v="5"/>
          </reference>
        </references>
      </pivotArea>
    </chartFormat>
    <chartFormat chart="20"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001AB8F-B16C-47C8-84A0-5FC62A5E512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H36:J44" firstHeaderRow="0" firstDataRow="1" firstDataCol="1"/>
  <pivotFields count="25">
    <pivotField showAll="0"/>
    <pivotField numFmtId="14" showAll="0"/>
    <pivotField showAll="0"/>
    <pivotField showAll="0"/>
    <pivotField showAll="0"/>
    <pivotField showAll="0"/>
    <pivotField showAll="0">
      <items count="5">
        <item x="2"/>
        <item x="1"/>
        <item x="3"/>
        <item x="0"/>
        <item t="default"/>
      </items>
    </pivotField>
    <pivotField showAll="0">
      <items count="3">
        <item x="0"/>
        <item x="1"/>
        <item t="default"/>
      </items>
    </pivotField>
    <pivotField showAll="0"/>
    <pivotField axis="axisRow" showAll="0">
      <items count="8">
        <item x="6"/>
        <item x="2"/>
        <item x="0"/>
        <item x="5"/>
        <item x="3"/>
        <item x="4"/>
        <item x="1"/>
        <item t="default"/>
      </items>
    </pivotField>
    <pivotField showAll="0"/>
    <pivotField numFmtId="2" showAll="0"/>
    <pivotField numFmtId="9" showAll="0"/>
    <pivotField numFmtId="2" showAll="0"/>
    <pivotField numFmtId="2" showAll="0"/>
    <pivotField numFmtId="2" showAll="0"/>
    <pivotField numFmtId="2" showAll="0"/>
    <pivotField numFmtId="2" showAll="0"/>
    <pivotField numFmtId="2" showAll="0"/>
    <pivotField numFmtId="9" showAll="0"/>
    <pivotField showAll="0"/>
    <pivotField numFmtId="1" showAll="0"/>
    <pivotField dataField="1" numFmtId="1" showAll="0"/>
    <pivotField dataField="1" numFmtId="1" showAll="0"/>
    <pivotField numFmtId="1" showAll="0"/>
  </pivotFields>
  <rowFields count="1">
    <field x="9"/>
  </rowFields>
  <rowItems count="8">
    <i>
      <x/>
    </i>
    <i>
      <x v="1"/>
    </i>
    <i>
      <x v="2"/>
    </i>
    <i>
      <x v="3"/>
    </i>
    <i>
      <x v="4"/>
    </i>
    <i>
      <x v="5"/>
    </i>
    <i>
      <x v="6"/>
    </i>
    <i t="grand">
      <x/>
    </i>
  </rowItems>
  <colFields count="1">
    <field x="-2"/>
  </colFields>
  <colItems count="2">
    <i>
      <x/>
    </i>
    <i i="1">
      <x v="1"/>
    </i>
  </colItems>
  <dataFields count="2">
    <dataField name="Products Gain " fld="22" baseField="9" baseItem="0" numFmtId="1"/>
    <dataField name="Products Loss " fld="23" baseField="9" baseItem="0" numFmtId="1"/>
  </dataFields>
  <chartFormats count="4">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26BE19-6E40-4DF5-881C-95CFEE893283}"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iscount_Pct">
  <location ref="A21:C27" firstHeaderRow="0" firstDataRow="1" firstDataCol="1"/>
  <pivotFields count="25">
    <pivotField showAll="0"/>
    <pivotField numFmtId="14" showAll="0"/>
    <pivotField showAll="0"/>
    <pivotField showAll="0"/>
    <pivotField showAll="0"/>
    <pivotField showAll="0"/>
    <pivotField showAll="0"/>
    <pivotField showAll="0"/>
    <pivotField showAll="0"/>
    <pivotField showAll="0"/>
    <pivotField showAll="0"/>
    <pivotField numFmtId="2" showAll="0"/>
    <pivotField axis="axisRow" numFmtId="9" showAll="0">
      <items count="6">
        <item x="2"/>
        <item x="4"/>
        <item x="3"/>
        <item x="0"/>
        <item x="1"/>
        <item t="default"/>
      </items>
    </pivotField>
    <pivotField numFmtId="2" showAll="0"/>
    <pivotField numFmtId="2" showAll="0"/>
    <pivotField numFmtId="2" showAll="0"/>
    <pivotField numFmtId="2" showAll="0"/>
    <pivotField numFmtId="2" showAll="0"/>
    <pivotField dataField="1" numFmtId="2" showAll="0"/>
    <pivotField dataField="1" numFmtId="9" showAll="0"/>
    <pivotField showAll="0"/>
    <pivotField numFmtId="1" showAll="0"/>
    <pivotField numFmtId="1" showAll="0"/>
    <pivotField numFmtId="1" showAll="0"/>
    <pivotField numFmtId="1" showAll="0"/>
  </pivotFields>
  <rowFields count="1">
    <field x="12"/>
  </rowFields>
  <rowItems count="6">
    <i>
      <x/>
    </i>
    <i>
      <x v="1"/>
    </i>
    <i>
      <x v="2"/>
    </i>
    <i>
      <x v="3"/>
    </i>
    <i>
      <x v="4"/>
    </i>
    <i t="grand">
      <x/>
    </i>
  </rowItems>
  <colFields count="1">
    <field x="-2"/>
  </colFields>
  <colItems count="2">
    <i>
      <x/>
    </i>
    <i i="1">
      <x v="1"/>
    </i>
  </colItems>
  <dataFields count="2">
    <dataField name="Average Profit" fld="18" subtotal="average" baseField="12" baseItem="0" numFmtId="2"/>
    <dataField name="Average Profit_Margin_Pct" fld="19" subtotal="average" baseField="12"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0FE7356-C4C4-4027-B663-77289F776526}"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E2:F6" firstHeaderRow="1" firstDataRow="1" firstDataCol="1"/>
  <pivotFields count="25">
    <pivotField showAll="0"/>
    <pivotField numFmtId="14" showAll="0"/>
    <pivotField showAll="0"/>
    <pivotField showAll="0"/>
    <pivotField showAll="0"/>
    <pivotField showAll="0"/>
    <pivotField showAll="0"/>
    <pivotField showAll="0"/>
    <pivotField showAll="0"/>
    <pivotField axis="axisRow" showAll="0" measureFilter="1" sortType="descending">
      <items count="8">
        <item x="6"/>
        <item x="2"/>
        <item x="0"/>
        <item x="5"/>
        <item x="3"/>
        <item x="4"/>
        <item x="1"/>
        <item t="default"/>
      </items>
      <autoSortScope>
        <pivotArea dataOnly="0" outline="0" fieldPosition="0">
          <references count="1">
            <reference field="4294967294" count="1" selected="0">
              <x v="0"/>
            </reference>
          </references>
        </pivotArea>
      </autoSortScope>
    </pivotField>
    <pivotField dataField="1" showAll="0"/>
    <pivotField numFmtId="2" showAll="0"/>
    <pivotField numFmtId="9" showAll="0"/>
    <pivotField numFmtId="2" showAll="0"/>
    <pivotField numFmtId="2" showAll="0"/>
    <pivotField numFmtId="2" showAll="0"/>
    <pivotField numFmtId="2" showAll="0"/>
    <pivotField numFmtId="2" showAll="0"/>
    <pivotField numFmtId="2" showAll="0"/>
    <pivotField numFmtId="9" showAll="0"/>
    <pivotField showAll="0"/>
    <pivotField numFmtId="1" showAll="0"/>
    <pivotField numFmtId="1" showAll="0"/>
    <pivotField numFmtId="1" showAll="0"/>
    <pivotField numFmtId="1" showAll="0"/>
  </pivotFields>
  <rowFields count="1">
    <field x="9"/>
  </rowFields>
  <rowItems count="4">
    <i>
      <x v="4"/>
    </i>
    <i>
      <x v="2"/>
    </i>
    <i>
      <x v="3"/>
    </i>
    <i t="grand">
      <x/>
    </i>
  </rowItems>
  <colItems count="1">
    <i/>
  </colItems>
  <dataFields count="1">
    <dataField name="Sum of Quantity" fld="10" baseField="0" baseItem="0"/>
  </dataFields>
  <chartFormats count="4">
    <chartFormat chart="12" format="18" series="1">
      <pivotArea type="data" outline="0" fieldPosition="0">
        <references count="1">
          <reference field="4294967294" count="1" selected="0">
            <x v="0"/>
          </reference>
        </references>
      </pivotArea>
    </chartFormat>
    <chartFormat chart="12" format="19">
      <pivotArea type="data" outline="0" fieldPosition="0">
        <references count="2">
          <reference field="4294967294" count="1" selected="0">
            <x v="0"/>
          </reference>
          <reference field="9" count="1" selected="0">
            <x v="4"/>
          </reference>
        </references>
      </pivotArea>
    </chartFormat>
    <chartFormat chart="12" format="20">
      <pivotArea type="data" outline="0" fieldPosition="0">
        <references count="2">
          <reference field="4294967294" count="1" selected="0">
            <x v="0"/>
          </reference>
          <reference field="9" count="1" selected="0">
            <x v="2"/>
          </reference>
        </references>
      </pivotArea>
    </chartFormat>
    <chartFormat chart="12" format="21">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F547C1-1FC5-4256-BAA6-69578D57DDDB}" name="PivotTable3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19:K33" firstHeaderRow="1" firstDataRow="2" firstDataCol="1"/>
  <pivotFields count="25">
    <pivotField showAll="0"/>
    <pivotField numFmtId="14" showAll="0"/>
    <pivotField showAll="0"/>
    <pivotField axis="axisRow" showAll="0">
      <items count="13">
        <item x="0"/>
        <item x="1"/>
        <item x="2"/>
        <item x="3"/>
        <item x="4"/>
        <item x="5"/>
        <item x="6"/>
        <item x="7"/>
        <item x="8"/>
        <item x="9"/>
        <item x="10"/>
        <item x="11"/>
        <item t="default"/>
      </items>
    </pivotField>
    <pivotField axis="axisCol" showAll="0">
      <items count="3">
        <item x="0"/>
        <item x="1"/>
        <item t="default"/>
      </items>
    </pivotField>
    <pivotField showAll="0"/>
    <pivotField showAll="0">
      <items count="5">
        <item x="2"/>
        <item x="1"/>
        <item x="3"/>
        <item x="0"/>
        <item t="default"/>
      </items>
    </pivotField>
    <pivotField showAll="0">
      <items count="3">
        <item x="0"/>
        <item x="1"/>
        <item t="default"/>
      </items>
    </pivotField>
    <pivotField showAll="0">
      <items count="5">
        <item x="1"/>
        <item x="3"/>
        <item x="0"/>
        <item x="2"/>
        <item t="default"/>
      </items>
    </pivotField>
    <pivotField showAll="0"/>
    <pivotField showAll="0"/>
    <pivotField numFmtId="2" showAll="0"/>
    <pivotField numFmtId="9" showAll="0"/>
    <pivotField numFmtId="2" showAll="0"/>
    <pivotField numFmtId="2" showAll="0"/>
    <pivotField numFmtId="2" showAll="0"/>
    <pivotField numFmtId="2" showAll="0"/>
    <pivotField numFmtId="2" showAll="0"/>
    <pivotField dataField="1" numFmtId="2" showAll="0"/>
    <pivotField numFmtId="9" showAll="0"/>
    <pivotField showAll="0"/>
    <pivotField numFmtId="1" showAll="0"/>
    <pivotField numFmtId="1" showAll="0"/>
    <pivotField numFmtId="1" showAll="0"/>
    <pivotField numFmtId="1" showAll="0"/>
  </pivotFields>
  <rowFields count="1">
    <field x="3"/>
  </rowFields>
  <rowItems count="13">
    <i>
      <x/>
    </i>
    <i>
      <x v="1"/>
    </i>
    <i>
      <x v="2"/>
    </i>
    <i>
      <x v="3"/>
    </i>
    <i>
      <x v="4"/>
    </i>
    <i>
      <x v="5"/>
    </i>
    <i>
      <x v="6"/>
    </i>
    <i>
      <x v="7"/>
    </i>
    <i>
      <x v="8"/>
    </i>
    <i>
      <x v="9"/>
    </i>
    <i>
      <x v="10"/>
    </i>
    <i>
      <x v="11"/>
    </i>
    <i t="grand">
      <x/>
    </i>
  </rowItems>
  <colFields count="1">
    <field x="4"/>
  </colFields>
  <colItems count="3">
    <i>
      <x/>
    </i>
    <i>
      <x v="1"/>
    </i>
    <i t="grand">
      <x/>
    </i>
  </colItems>
  <dataFields count="1">
    <dataField name="Sum of Profit" fld="18" baseField="0" baseItem="0" numFmtId="2"/>
  </dataFields>
  <chartFormats count="2">
    <chartFormat chart="2" format="4" series="1">
      <pivotArea type="data" outline="0" fieldPosition="0">
        <references count="2">
          <reference field="4294967294" count="1" selected="0">
            <x v="0"/>
          </reference>
          <reference field="4" count="1" selected="0">
            <x v="0"/>
          </reference>
        </references>
      </pivotArea>
    </chartFormat>
    <chartFormat chart="2" format="5"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2E07AB-C9E7-405D-AB8D-1D5A2544F7B0}" name="PivotTable4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8:F31" firstHeaderRow="1" firstDataRow="1" firstDataCol="1"/>
  <pivotFields count="25">
    <pivotField showAll="0"/>
    <pivotField numFmtId="14" showAll="0"/>
    <pivotField showAll="0"/>
    <pivotField showAll="0"/>
    <pivotField showAll="0"/>
    <pivotField showAll="0"/>
    <pivotField showAll="0"/>
    <pivotField axis="axisRow" showAll="0">
      <items count="3">
        <item x="0"/>
        <item x="1"/>
        <item t="default"/>
      </items>
    </pivotField>
    <pivotField showAll="0"/>
    <pivotField showAll="0"/>
    <pivotField dataField="1" showAll="0"/>
    <pivotField numFmtId="2" showAll="0"/>
    <pivotField numFmtId="9" showAll="0"/>
    <pivotField numFmtId="2" showAll="0"/>
    <pivotField numFmtId="2" showAll="0"/>
    <pivotField numFmtId="2" showAll="0"/>
    <pivotField numFmtId="2" showAll="0"/>
    <pivotField numFmtId="2" showAll="0"/>
    <pivotField numFmtId="2" showAll="0"/>
    <pivotField numFmtId="9" showAll="0"/>
    <pivotField showAll="0"/>
    <pivotField numFmtId="1" showAll="0"/>
    <pivotField numFmtId="1" showAll="0"/>
    <pivotField numFmtId="1" showAll="0"/>
    <pivotField numFmtId="1" showAll="0"/>
  </pivotFields>
  <rowFields count="1">
    <field x="7"/>
  </rowFields>
  <rowItems count="3">
    <i>
      <x/>
    </i>
    <i>
      <x v="1"/>
    </i>
    <i t="grand">
      <x/>
    </i>
  </rowItems>
  <colItems count="1">
    <i/>
  </colItems>
  <dataFields count="1">
    <dataField name="Sum of Quantity"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1F9702F-240E-41E8-ADB3-E12E6A5C3855}"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3:C18" firstHeaderRow="0" firstDataRow="1" firstDataCol="1"/>
  <pivotFields count="25">
    <pivotField showAll="0"/>
    <pivotField numFmtId="14" showAll="0"/>
    <pivotField showAll="0"/>
    <pivotField showAll="0"/>
    <pivotField showAll="0"/>
    <pivotField showAll="0"/>
    <pivotField axis="axisRow" showAll="0">
      <items count="5">
        <item x="2"/>
        <item x="1"/>
        <item x="3"/>
        <item x="0"/>
        <item t="default"/>
      </items>
    </pivotField>
    <pivotField showAll="0"/>
    <pivotField showAll="0"/>
    <pivotField showAll="0"/>
    <pivotField showAll="0"/>
    <pivotField numFmtId="2" showAll="0"/>
    <pivotField numFmtId="9" showAll="0"/>
    <pivotField numFmtId="2" showAll="0"/>
    <pivotField numFmtId="2" showAll="0"/>
    <pivotField dataField="1" numFmtId="2" showAll="0"/>
    <pivotField numFmtId="2" showAll="0"/>
    <pivotField numFmtId="2" showAll="0"/>
    <pivotField dataField="1" numFmtId="2" showAll="0"/>
    <pivotField numFmtId="9" showAll="0"/>
    <pivotField showAll="0"/>
    <pivotField numFmtId="1" showAll="0"/>
    <pivotField numFmtId="1" showAll="0"/>
    <pivotField numFmtId="1" showAll="0"/>
    <pivotField numFmtId="1" showAll="0"/>
  </pivotFields>
  <rowFields count="1">
    <field x="6"/>
  </rowFields>
  <rowItems count="5">
    <i>
      <x/>
    </i>
    <i>
      <x v="1"/>
    </i>
    <i>
      <x v="2"/>
    </i>
    <i>
      <x v="3"/>
    </i>
    <i t="grand">
      <x/>
    </i>
  </rowItems>
  <colFields count="1">
    <field x="-2"/>
  </colFields>
  <colItems count="2">
    <i>
      <x/>
    </i>
    <i i="1">
      <x v="1"/>
    </i>
  </colItems>
  <dataFields count="2">
    <dataField name="Net_Revenue  " fld="15" baseField="6" baseItem="0" numFmtId="2"/>
    <dataField name="Profit  " fld="18" baseField="6" baseItem="0" numFmtId="2"/>
  </dataFields>
  <chartFormats count="6">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6" count="1" selected="0">
            <x v="0"/>
          </reference>
        </references>
      </pivotArea>
    </chartFormat>
    <chartFormat chart="5" format="12">
      <pivotArea type="data" outline="0" fieldPosition="0">
        <references count="2">
          <reference field="4294967294" count="1" selected="0">
            <x v="0"/>
          </reference>
          <reference field="6" count="1" selected="0">
            <x v="2"/>
          </reference>
        </references>
      </pivotArea>
    </chartFormat>
    <chartFormat chart="5" format="13">
      <pivotArea type="data" outline="0" fieldPosition="0">
        <references count="2">
          <reference field="4294967294" count="1" selected="0">
            <x v="0"/>
          </reference>
          <reference field="6" count="1" selected="0">
            <x v="3"/>
          </reference>
        </references>
      </pivotArea>
    </chartFormat>
    <chartFormat chart="5" format="14">
      <pivotArea type="data" outline="0" fieldPosition="0">
        <references count="2">
          <reference field="4294967294" count="1" selected="0">
            <x v="0"/>
          </reference>
          <reference field="6" count="1" selected="0">
            <x v="1"/>
          </reference>
        </references>
      </pivotArea>
    </chartFormat>
    <chartFormat chart="5" format="1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A6FB471-CAB6-40D4-B926-FFE1FA3DE6B9}" name="PivotTable39" cacheId="1"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F18" firstHeaderRow="1" firstDataRow="1" firstDataCol="1"/>
  <pivotFields count="25">
    <pivotField showAll="0"/>
    <pivotField numFmtId="14" showAll="0"/>
    <pivotField showAll="0"/>
    <pivotField showAll="0"/>
    <pivotField showAll="0"/>
    <pivotField showAll="0"/>
    <pivotField showAll="0">
      <items count="5">
        <item x="2"/>
        <item x="1"/>
        <item x="3"/>
        <item x="0"/>
        <item t="default"/>
      </items>
    </pivotField>
    <pivotField showAll="0">
      <items count="3">
        <item x="0"/>
        <item x="1"/>
        <item t="default"/>
      </items>
    </pivotField>
    <pivotField showAll="0">
      <items count="5">
        <item x="1"/>
        <item x="3"/>
        <item x="0"/>
        <item x="2"/>
        <item t="default"/>
      </items>
    </pivotField>
    <pivotField showAll="0"/>
    <pivotField dataField="1" showAll="0"/>
    <pivotField numFmtId="2" showAll="0"/>
    <pivotField numFmtId="9" showAll="0"/>
    <pivotField numFmtId="2" showAll="0"/>
    <pivotField numFmtId="2" showAll="0"/>
    <pivotField dataField="1" numFmtId="2" showAll="0"/>
    <pivotField numFmtId="2" showAll="0"/>
    <pivotField numFmtId="2" showAll="0"/>
    <pivotField dataField="1" numFmtId="2" showAll="0"/>
    <pivotField numFmtId="9" showAll="0"/>
    <pivotField showAll="0"/>
    <pivotField numFmtId="1" showAll="0"/>
    <pivotField numFmtId="1" showAll="0"/>
    <pivotField numFmtId="1" showAll="0"/>
    <pivotField numFmtId="1" showAll="0"/>
  </pivotFields>
  <rowFields count="1">
    <field x="-2"/>
  </rowFields>
  <rowItems count="3">
    <i>
      <x/>
    </i>
    <i i="1">
      <x v="1"/>
    </i>
    <i i="2">
      <x v="2"/>
    </i>
  </rowItems>
  <colItems count="1">
    <i/>
  </colItems>
  <dataFields count="3">
    <dataField name="Sum of Quantity" fld="10" baseField="0" baseItem="0"/>
    <dataField name="Sum of Net_Revenue" fld="15" baseField="0" baseItem="0" numFmtId="2"/>
    <dataField name="Sum of Profit" fld="18" baseField="0" baseItem="0" numFmtId="2"/>
  </dataFields>
  <formats count="1">
    <format dxfId="0">
      <pivotArea collapsedLevelsAreSubtotals="1" fieldPosition="0">
        <references count="1">
          <reference field="4294967294" count="2">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1BD0DB7-EBF8-48D4-AD2D-DE19A993D4A7}" sourceName="Region">
  <pivotTables>
    <pivotTable tabId="3" name="PivotTable39"/>
    <pivotTable tabId="3" name="PivotTable37"/>
    <pivotTable tabId="3" name="PivotTable31"/>
    <pivotTable tabId="3" name="PivotTable32"/>
    <pivotTable tabId="3" name="PivotTable4"/>
    <pivotTable tabId="3" name="PivotTable9"/>
  </pivotTables>
  <data>
    <tabular pivotCacheId="1513708708">
      <items count="4">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B7971739-BFAA-41AD-A001-7E69A3B352DF}" sourceName="Product_Category">
  <pivotTables>
    <pivotTable tabId="3" name="PivotTable39"/>
    <pivotTable tabId="3" name="PivotTable37"/>
    <pivotTable tabId="3" name="PivotTable31"/>
    <pivotTable tabId="3" name="PivotTable32"/>
    <pivotTable tabId="3" name="PivotTable9"/>
  </pivotTables>
  <data>
    <tabular pivotCacheId="1513708708">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A0047439-9862-4774-9BE3-7E331D21844B}" sourceName="Channel">
  <pivotTables>
    <pivotTable tabId="3" name="PivotTable39"/>
    <pivotTable tabId="3" name="PivotTable31"/>
    <pivotTable tabId="3" name="PivotTable32"/>
    <pivotTable tabId="3" name="PivotTable4"/>
    <pivotTable tabId="3" name="PivotTable9"/>
  </pivotTables>
  <data>
    <tabular pivotCacheId="151370870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DB0F36E-3BE5-4601-BFFE-3907B7C17B83}" cache="Slicer_Region1" caption="Region" style="SlicerStyleDark2" rowHeight="241300"/>
  <slicer name="Product_Category 1" xr10:uid="{8A4C5E04-66DE-4E25-B7F2-7406EC271D55}" cache="Slicer_Product_Category1" caption="Product_Category" style="SlicerStyleDark2" rowHeight="241300"/>
  <slicer name="Channel 1" xr10:uid="{B42769DA-FAF0-43BB-AE0F-B15951C8B36E}" cache="Slicer_Channel" caption="Channel"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127CF7-202A-47D1-A47E-5CC2D2D1DF06}" name="Table1" displayName="Table1" ref="A1:X502" totalsRowCount="1">
  <autoFilter ref="A1:X501" xr:uid="{2B127CF7-202A-47D1-A47E-5CC2D2D1DF06}"/>
  <tableColumns count="24">
    <tableColumn id="1" xr3:uid="{C7F8969E-62EA-49C2-A399-87862E0AA5DD}" name="Order_ID"/>
    <tableColumn id="2" xr3:uid="{780C0A45-2A3A-4969-9AA1-5EED50CEAAD5}" name="Order_Date" dataDxfId="32" totalsRowDxfId="31"/>
    <tableColumn id="22" xr3:uid="{1FBB5FAE-45D7-41CB-95D3-5889512FF04E}" name="Day" dataDxfId="30" totalsRowDxfId="29">
      <calculatedColumnFormula>TEXT(Table1[[#This Row],[Order_Date]],"DD")</calculatedColumnFormula>
    </tableColumn>
    <tableColumn id="23" xr3:uid="{2463830D-0CB9-412C-8E00-68E3C79E7B99}" name="Month" dataDxfId="28" totalsRowDxfId="27">
      <calculatedColumnFormula>TEXT(Table1[[#This Row],[Order_Date]],"MMM")</calculatedColumnFormula>
    </tableColumn>
    <tableColumn id="24" xr3:uid="{FE326344-F751-47C5-AB4C-CCB9420678C8}" name="Year" dataDxfId="26" totalsRowDxfId="25">
      <calculatedColumnFormula>TEXT(Table1[[#This Row],[Order_Date]],"YYYY")</calculatedColumnFormula>
    </tableColumn>
    <tableColumn id="3" xr3:uid="{4E17EDA1-531A-4C3F-B2AB-B0F6F98DF1CB}" name="Customer_ID"/>
    <tableColumn id="4" xr3:uid="{52934CCF-E191-4AB1-90D8-2E3A5505D4EE}" name="Region"/>
    <tableColumn id="5" xr3:uid="{92073912-F6F0-4409-8A2F-047F962DE67E}" name="Channel"/>
    <tableColumn id="6" xr3:uid="{354B3CF4-720A-44F2-B345-DFC0AE1906E9}" name="Product_Category"/>
    <tableColumn id="7" xr3:uid="{A613E462-25B4-444E-8DD0-2A28AB7DE6CD}" name="Product_Name"/>
    <tableColumn id="8" xr3:uid="{0D249AE9-98A4-4019-8BEE-A1D04073CD8B}" name="Quantity"/>
    <tableColumn id="9" xr3:uid="{F90F21D0-DFC2-441A-8B7C-4B4811FF7402}" name="Unit_Price" dataDxfId="24" totalsRowDxfId="23"/>
    <tableColumn id="10" xr3:uid="{C1A1E1B4-FED2-4ECC-9B2B-A3E2926611CF}" name="Discount_Pct" dataDxfId="22" totalsRowDxfId="21"/>
    <tableColumn id="11" xr3:uid="{D6B43B34-355B-4E49-A79B-8DC55B40361A}" name="Gross_Revenue" dataDxfId="20" totalsRowDxfId="19"/>
    <tableColumn id="12" xr3:uid="{A5D7D532-1B04-4A41-98B5-BDC21A64CB46}" name="Discount_Amount" dataDxfId="18" totalsRowDxfId="17"/>
    <tableColumn id="13" xr3:uid="{7B16A4F4-12C8-4428-B0A3-AF7ED51783FF}" name="Net_Revenue" dataDxfId="16" totalsRowDxfId="15"/>
    <tableColumn id="14" xr3:uid="{A704927C-2B78-43FD-AAE1-19DDC99A25D3}" name="Cost_per_Unit" dataDxfId="14" totalsRowDxfId="13"/>
    <tableColumn id="15" xr3:uid="{9CCC62A1-7785-4ACA-8274-98060D19EA36}" name="Total_Cost" dataDxfId="12" totalsRowDxfId="11"/>
    <tableColumn id="16" xr3:uid="{5DEE35C7-55A8-4B89-BEC5-8DFD2EDA77CA}" name="Profit" dataDxfId="10" totalsRowDxfId="9"/>
    <tableColumn id="17" xr3:uid="{17F7D279-0F51-4E16-A9BD-7A42967DEC7D}" name="Profit_Margin_Pct" dataDxfId="8" totalsRowDxfId="7"/>
    <tableColumn id="19" xr3:uid="{E93B5F62-DC67-4188-9C8B-0A4A2749C7C8}" name="Gain/Loss" dataDxfId="6">
      <calculatedColumnFormula>IF(Table1[[#This Row],[Net_Revenue]]&lt;Table1[[#This Row],[Total_Cost]], "Loss", "Gain")</calculatedColumnFormula>
    </tableColumn>
    <tableColumn id="18" xr3:uid="{CAF5C448-39C1-4F06-81D3-30F3E90F20A2}" name="Products Gain" dataDxfId="5" totalsRowDxfId="4">
      <calculatedColumnFormula>IF(Table1[[#This Row],[Gain/Loss]]="Gain",Table1[[#This Row],[Quantity]], 0)</calculatedColumnFormula>
    </tableColumn>
    <tableColumn id="21" xr3:uid="{318C6B03-692A-4941-9EA6-620609246C7E}" name="Products Loss" dataDxfId="3" totalsRowDxfId="2">
      <calculatedColumnFormula>IF(Table1[[#This Row],[Gain/Loss]]="Loss",Table1[[#This Row],[Quantity]],0)</calculatedColumnFormula>
    </tableColumn>
    <tableColumn id="31" xr3:uid="{F7E1F7EF-8750-4F6A-BA7E-FED716CA7EF2}" name="Product Gain/Loss" dataDxfId="1">
      <calculatedColumnFormula>IF(OR(Table1[[#This Row],[Gain/Loss]]="Gain",Table1[[#This Row],[Gain/Loss]]="Loss"),Table1[[#This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6F90D-959F-4A68-B4BA-82D1854028BE}">
  <dimension ref="A1:Q501"/>
  <sheetViews>
    <sheetView workbookViewId="0">
      <selection activeCell="S27" sqref="S27"/>
    </sheetView>
  </sheetViews>
  <sheetFormatPr defaultRowHeight="15" x14ac:dyDescent="0.25"/>
  <cols>
    <col min="1" max="1" width="9" bestFit="1" customWidth="1"/>
    <col min="2" max="2" width="11.28515625" bestFit="1" customWidth="1"/>
    <col min="3" max="3" width="8.5703125" customWidth="1"/>
    <col min="4" max="4" width="10.28515625" customWidth="1"/>
    <col min="5" max="5" width="12.85546875" customWidth="1"/>
    <col min="6" max="6" width="15.7109375" customWidth="1"/>
    <col min="7" max="7" width="15.28515625" customWidth="1"/>
    <col min="8" max="8" width="7.5703125" customWidth="1"/>
    <col min="9" max="9" width="11.5703125" customWidth="1"/>
    <col min="10" max="10" width="8" customWidth="1"/>
    <col min="11" max="11" width="11.7109375" customWidth="1"/>
    <col min="12" max="12" width="11.5703125" customWidth="1"/>
    <col min="13" max="13" width="9.85546875" customWidth="1"/>
    <col min="14" max="14" width="10.28515625" customWidth="1"/>
    <col min="15" max="15" width="10.28515625" bestFit="1" customWidth="1"/>
    <col min="16" max="16" width="10" bestFit="1" customWidth="1"/>
    <col min="17" max="17" width="14.42578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10001</v>
      </c>
      <c r="B2" s="1">
        <v>45658</v>
      </c>
      <c r="C2">
        <v>3175</v>
      </c>
      <c r="D2" t="s">
        <v>17</v>
      </c>
      <c r="E2" t="s">
        <v>18</v>
      </c>
      <c r="F2" t="s">
        <v>19</v>
      </c>
      <c r="G2" t="s">
        <v>20</v>
      </c>
      <c r="H2">
        <v>2</v>
      </c>
      <c r="I2">
        <v>162.53</v>
      </c>
      <c r="J2">
        <v>15</v>
      </c>
      <c r="K2">
        <v>325.06</v>
      </c>
      <c r="L2">
        <v>48.759</v>
      </c>
      <c r="M2">
        <v>276.30099999999999</v>
      </c>
      <c r="N2">
        <v>24.3</v>
      </c>
      <c r="O2">
        <v>48.6</v>
      </c>
      <c r="P2">
        <v>227.70099999999999</v>
      </c>
      <c r="Q2">
        <v>82.410487113691204</v>
      </c>
    </row>
    <row r="3" spans="1:17" x14ac:dyDescent="0.25">
      <c r="A3">
        <v>10002</v>
      </c>
      <c r="B3" s="1">
        <v>45659</v>
      </c>
      <c r="C3">
        <v>3196</v>
      </c>
      <c r="D3" t="s">
        <v>21</v>
      </c>
      <c r="E3" t="s">
        <v>18</v>
      </c>
      <c r="F3" t="s">
        <v>19</v>
      </c>
      <c r="G3" t="s">
        <v>22</v>
      </c>
      <c r="H3">
        <v>5</v>
      </c>
      <c r="I3">
        <v>10.4</v>
      </c>
      <c r="J3">
        <v>20</v>
      </c>
      <c r="K3">
        <v>52</v>
      </c>
      <c r="L3">
        <v>10.4</v>
      </c>
      <c r="M3">
        <v>41.6</v>
      </c>
      <c r="N3">
        <v>33.71</v>
      </c>
      <c r="O3">
        <v>168.55</v>
      </c>
      <c r="P3">
        <v>-126.95</v>
      </c>
      <c r="Q3">
        <v>-305.168269230769</v>
      </c>
    </row>
    <row r="4" spans="1:17" x14ac:dyDescent="0.25">
      <c r="A4">
        <v>10003</v>
      </c>
      <c r="B4" s="1">
        <v>45660</v>
      </c>
      <c r="C4">
        <v>3537</v>
      </c>
      <c r="D4" t="s">
        <v>23</v>
      </c>
      <c r="E4" t="s">
        <v>24</v>
      </c>
      <c r="F4" t="s">
        <v>25</v>
      </c>
      <c r="G4" t="s">
        <v>22</v>
      </c>
      <c r="H4">
        <v>1</v>
      </c>
      <c r="I4">
        <v>211.65</v>
      </c>
      <c r="J4">
        <v>0</v>
      </c>
      <c r="K4">
        <v>211.65</v>
      </c>
      <c r="L4">
        <v>0</v>
      </c>
      <c r="M4">
        <v>211.65</v>
      </c>
      <c r="N4">
        <v>109.14</v>
      </c>
      <c r="O4">
        <v>109.14</v>
      </c>
      <c r="P4">
        <v>102.51</v>
      </c>
      <c r="Q4">
        <v>48.433734939758999</v>
      </c>
    </row>
    <row r="5" spans="1:17" x14ac:dyDescent="0.25">
      <c r="A5">
        <v>10004</v>
      </c>
      <c r="B5" s="1">
        <v>45661</v>
      </c>
      <c r="C5">
        <v>3502</v>
      </c>
      <c r="D5" t="s">
        <v>21</v>
      </c>
      <c r="E5" t="s">
        <v>18</v>
      </c>
      <c r="F5" t="s">
        <v>26</v>
      </c>
      <c r="G5" t="s">
        <v>27</v>
      </c>
      <c r="H5">
        <v>4</v>
      </c>
      <c r="I5">
        <v>63.72</v>
      </c>
      <c r="J5">
        <v>10</v>
      </c>
      <c r="K5">
        <v>254.88</v>
      </c>
      <c r="L5">
        <v>25.488</v>
      </c>
      <c r="M5">
        <v>229.392</v>
      </c>
      <c r="N5">
        <v>82.99</v>
      </c>
      <c r="O5">
        <v>331.96</v>
      </c>
      <c r="P5">
        <v>-102.567999999999</v>
      </c>
      <c r="Q5">
        <v>-44.712980400362603</v>
      </c>
    </row>
    <row r="6" spans="1:17" x14ac:dyDescent="0.25">
      <c r="A6">
        <v>10005</v>
      </c>
      <c r="B6" s="1">
        <v>45662</v>
      </c>
      <c r="C6">
        <v>3579</v>
      </c>
      <c r="D6" t="s">
        <v>23</v>
      </c>
      <c r="E6" t="s">
        <v>24</v>
      </c>
      <c r="F6" t="s">
        <v>25</v>
      </c>
      <c r="G6" t="s">
        <v>22</v>
      </c>
      <c r="H6">
        <v>9</v>
      </c>
      <c r="I6">
        <v>147.16</v>
      </c>
      <c r="J6">
        <v>15</v>
      </c>
      <c r="K6">
        <v>1324.44</v>
      </c>
      <c r="L6">
        <v>198.666</v>
      </c>
      <c r="M6">
        <v>1125.7739999999999</v>
      </c>
      <c r="N6">
        <v>107.51</v>
      </c>
      <c r="O6">
        <v>967.59</v>
      </c>
      <c r="P6">
        <v>158.184</v>
      </c>
      <c r="Q6">
        <v>14.051132820619401</v>
      </c>
    </row>
    <row r="7" spans="1:17" x14ac:dyDescent="0.25">
      <c r="A7">
        <v>10006</v>
      </c>
      <c r="B7" s="1">
        <v>45663</v>
      </c>
      <c r="C7">
        <v>3211</v>
      </c>
      <c r="D7" t="s">
        <v>23</v>
      </c>
      <c r="E7" t="s">
        <v>24</v>
      </c>
      <c r="F7" t="s">
        <v>26</v>
      </c>
      <c r="G7" t="s">
        <v>28</v>
      </c>
      <c r="H7">
        <v>2</v>
      </c>
      <c r="I7">
        <v>94.38</v>
      </c>
      <c r="J7">
        <v>5</v>
      </c>
      <c r="K7">
        <v>188.76</v>
      </c>
      <c r="L7">
        <v>9.4380000000000006</v>
      </c>
      <c r="M7">
        <v>179.322</v>
      </c>
      <c r="N7">
        <v>91.88</v>
      </c>
      <c r="O7">
        <v>183.76</v>
      </c>
      <c r="P7">
        <v>-4.4379999999999802</v>
      </c>
      <c r="Q7">
        <v>-2.47487759449481</v>
      </c>
    </row>
    <row r="8" spans="1:17" x14ac:dyDescent="0.25">
      <c r="A8">
        <v>10007</v>
      </c>
      <c r="B8" s="1">
        <v>45664</v>
      </c>
      <c r="C8">
        <v>3919</v>
      </c>
      <c r="D8" t="s">
        <v>29</v>
      </c>
      <c r="E8" t="s">
        <v>24</v>
      </c>
      <c r="F8" t="s">
        <v>26</v>
      </c>
      <c r="G8" t="s">
        <v>20</v>
      </c>
      <c r="H8">
        <v>3</v>
      </c>
      <c r="I8">
        <v>150.56</v>
      </c>
      <c r="J8">
        <v>10</v>
      </c>
      <c r="K8">
        <v>451.68</v>
      </c>
      <c r="L8">
        <v>45.167999999999999</v>
      </c>
      <c r="M8">
        <v>406.512</v>
      </c>
      <c r="N8">
        <v>86.16</v>
      </c>
      <c r="O8">
        <v>258.48</v>
      </c>
      <c r="P8">
        <v>148.03199999999899</v>
      </c>
      <c r="Q8">
        <v>36.4151611760538</v>
      </c>
    </row>
    <row r="9" spans="1:17" x14ac:dyDescent="0.25">
      <c r="A9">
        <v>10008</v>
      </c>
      <c r="B9" s="1">
        <v>45665</v>
      </c>
      <c r="C9">
        <v>3615</v>
      </c>
      <c r="D9" t="s">
        <v>23</v>
      </c>
      <c r="E9" t="s">
        <v>24</v>
      </c>
      <c r="F9" t="s">
        <v>19</v>
      </c>
      <c r="G9" t="s">
        <v>30</v>
      </c>
      <c r="H9">
        <v>1</v>
      </c>
      <c r="I9">
        <v>73.819999999999993</v>
      </c>
      <c r="J9">
        <v>0</v>
      </c>
      <c r="K9">
        <v>73.819999999999993</v>
      </c>
      <c r="L9">
        <v>0</v>
      </c>
      <c r="M9">
        <v>73.819999999999993</v>
      </c>
      <c r="N9">
        <v>31.93</v>
      </c>
      <c r="O9">
        <v>31.93</v>
      </c>
      <c r="P9">
        <v>41.889999999999901</v>
      </c>
      <c r="Q9">
        <v>56.746139257653702</v>
      </c>
    </row>
    <row r="10" spans="1:17" x14ac:dyDescent="0.25">
      <c r="A10">
        <v>10009</v>
      </c>
      <c r="B10" s="1">
        <v>45666</v>
      </c>
      <c r="C10">
        <v>3348</v>
      </c>
      <c r="D10" t="s">
        <v>23</v>
      </c>
      <c r="E10" t="s">
        <v>18</v>
      </c>
      <c r="F10" t="s">
        <v>26</v>
      </c>
      <c r="G10" t="s">
        <v>27</v>
      </c>
      <c r="H10">
        <v>6</v>
      </c>
      <c r="I10">
        <v>194.84</v>
      </c>
      <c r="J10">
        <v>15</v>
      </c>
      <c r="K10">
        <v>1169.04</v>
      </c>
      <c r="L10">
        <v>175.35599999999999</v>
      </c>
      <c r="M10">
        <v>993.68399999999997</v>
      </c>
      <c r="N10">
        <v>129.72999999999999</v>
      </c>
      <c r="O10">
        <v>778.37999999999897</v>
      </c>
      <c r="P10">
        <v>215.304</v>
      </c>
      <c r="Q10">
        <v>21.667250353231001</v>
      </c>
    </row>
    <row r="11" spans="1:17" x14ac:dyDescent="0.25">
      <c r="A11">
        <v>10010</v>
      </c>
      <c r="B11" s="1">
        <v>45667</v>
      </c>
      <c r="C11">
        <v>3185</v>
      </c>
      <c r="D11" t="s">
        <v>21</v>
      </c>
      <c r="E11" t="s">
        <v>24</v>
      </c>
      <c r="F11" t="s">
        <v>19</v>
      </c>
      <c r="G11" t="s">
        <v>31</v>
      </c>
      <c r="H11">
        <v>8</v>
      </c>
      <c r="I11">
        <v>187.47</v>
      </c>
      <c r="J11">
        <v>5</v>
      </c>
      <c r="K11">
        <v>1499.76</v>
      </c>
      <c r="L11">
        <v>74.988</v>
      </c>
      <c r="M11">
        <v>1424.7719999999999</v>
      </c>
      <c r="N11">
        <v>117.06</v>
      </c>
      <c r="O11">
        <v>936.48</v>
      </c>
      <c r="P11">
        <v>488.29199999999901</v>
      </c>
      <c r="Q11">
        <v>34.2715887173526</v>
      </c>
    </row>
    <row r="12" spans="1:17" x14ac:dyDescent="0.25">
      <c r="A12">
        <v>10011</v>
      </c>
      <c r="B12" s="1">
        <v>45668</v>
      </c>
      <c r="C12">
        <v>3398</v>
      </c>
      <c r="D12" t="s">
        <v>17</v>
      </c>
      <c r="E12" t="s">
        <v>24</v>
      </c>
      <c r="F12" t="s">
        <v>25</v>
      </c>
      <c r="G12" t="s">
        <v>30</v>
      </c>
      <c r="H12">
        <v>6</v>
      </c>
      <c r="I12">
        <v>184.63</v>
      </c>
      <c r="J12">
        <v>20</v>
      </c>
      <c r="K12">
        <v>1107.78</v>
      </c>
      <c r="L12">
        <v>221.55600000000001</v>
      </c>
      <c r="M12">
        <v>886.22399999999902</v>
      </c>
      <c r="N12">
        <v>114.62</v>
      </c>
      <c r="O12">
        <v>687.72</v>
      </c>
      <c r="P12">
        <v>198.503999999999</v>
      </c>
      <c r="Q12">
        <v>22.398851757569101</v>
      </c>
    </row>
    <row r="13" spans="1:17" x14ac:dyDescent="0.25">
      <c r="A13">
        <v>10012</v>
      </c>
      <c r="B13" s="1">
        <v>45669</v>
      </c>
      <c r="C13">
        <v>3535</v>
      </c>
      <c r="D13" t="s">
        <v>29</v>
      </c>
      <c r="E13" t="s">
        <v>24</v>
      </c>
      <c r="F13" t="s">
        <v>25</v>
      </c>
      <c r="G13" t="s">
        <v>31</v>
      </c>
      <c r="H13">
        <v>3</v>
      </c>
      <c r="I13">
        <v>55.41</v>
      </c>
      <c r="J13">
        <v>15</v>
      </c>
      <c r="K13">
        <v>166.23</v>
      </c>
      <c r="L13">
        <v>24.9344999999999</v>
      </c>
      <c r="M13">
        <v>141.2955</v>
      </c>
      <c r="N13">
        <v>140.11000000000001</v>
      </c>
      <c r="O13">
        <v>420.33</v>
      </c>
      <c r="P13">
        <v>-279.03449999999998</v>
      </c>
      <c r="Q13">
        <v>-197.48293470068</v>
      </c>
    </row>
    <row r="14" spans="1:17" x14ac:dyDescent="0.25">
      <c r="A14">
        <v>10013</v>
      </c>
      <c r="B14" s="1">
        <v>45670</v>
      </c>
      <c r="C14">
        <v>3584</v>
      </c>
      <c r="D14" t="s">
        <v>21</v>
      </c>
      <c r="E14" t="s">
        <v>18</v>
      </c>
      <c r="F14" t="s">
        <v>25</v>
      </c>
      <c r="G14" t="s">
        <v>32</v>
      </c>
      <c r="H14">
        <v>2</v>
      </c>
      <c r="I14">
        <v>19.73</v>
      </c>
      <c r="J14">
        <v>20</v>
      </c>
      <c r="K14">
        <v>39.46</v>
      </c>
      <c r="L14">
        <v>7.8920000000000003</v>
      </c>
      <c r="M14">
        <v>31.568000000000001</v>
      </c>
      <c r="N14">
        <v>62.34</v>
      </c>
      <c r="O14">
        <v>124.68</v>
      </c>
      <c r="P14">
        <v>-93.111999999999995</v>
      </c>
      <c r="Q14">
        <v>-294.95691839837798</v>
      </c>
    </row>
    <row r="15" spans="1:17" x14ac:dyDescent="0.25">
      <c r="A15">
        <v>10014</v>
      </c>
      <c r="B15" s="1">
        <v>45671</v>
      </c>
      <c r="C15">
        <v>3345</v>
      </c>
      <c r="D15" t="s">
        <v>29</v>
      </c>
      <c r="E15" t="s">
        <v>18</v>
      </c>
      <c r="F15" t="s">
        <v>33</v>
      </c>
      <c r="G15" t="s">
        <v>28</v>
      </c>
      <c r="H15">
        <v>8</v>
      </c>
      <c r="I15">
        <v>55.59</v>
      </c>
      <c r="J15">
        <v>0</v>
      </c>
      <c r="K15">
        <v>444.72</v>
      </c>
      <c r="L15">
        <v>0</v>
      </c>
      <c r="M15">
        <v>444.72</v>
      </c>
      <c r="N15">
        <v>66.17</v>
      </c>
      <c r="O15">
        <v>529.36</v>
      </c>
      <c r="P15">
        <v>-84.639999999999901</v>
      </c>
      <c r="Q15">
        <v>-19.032200035977599</v>
      </c>
    </row>
    <row r="16" spans="1:17" x14ac:dyDescent="0.25">
      <c r="A16">
        <v>10015</v>
      </c>
      <c r="B16" s="1">
        <v>45672</v>
      </c>
      <c r="C16">
        <v>3366</v>
      </c>
      <c r="D16" t="s">
        <v>17</v>
      </c>
      <c r="E16" t="s">
        <v>18</v>
      </c>
      <c r="F16" t="s">
        <v>25</v>
      </c>
      <c r="G16" t="s">
        <v>31</v>
      </c>
      <c r="H16">
        <v>7</v>
      </c>
      <c r="I16">
        <v>138.84</v>
      </c>
      <c r="J16">
        <v>20</v>
      </c>
      <c r="K16">
        <v>971.88</v>
      </c>
      <c r="L16">
        <v>194.376</v>
      </c>
      <c r="M16">
        <v>777.50400000000002</v>
      </c>
      <c r="N16">
        <v>73.31</v>
      </c>
      <c r="O16">
        <v>513.16999999999996</v>
      </c>
      <c r="P16">
        <v>264.33399999999898</v>
      </c>
      <c r="Q16">
        <v>33.997767214059301</v>
      </c>
    </row>
    <row r="17" spans="1:17" x14ac:dyDescent="0.25">
      <c r="A17">
        <v>10016</v>
      </c>
      <c r="B17" s="1">
        <v>45673</v>
      </c>
      <c r="C17">
        <v>3554</v>
      </c>
      <c r="D17" t="s">
        <v>21</v>
      </c>
      <c r="E17" t="s">
        <v>24</v>
      </c>
      <c r="F17" t="s">
        <v>26</v>
      </c>
      <c r="G17" t="s">
        <v>28</v>
      </c>
      <c r="H17">
        <v>5</v>
      </c>
      <c r="I17">
        <v>93.91</v>
      </c>
      <c r="J17">
        <v>10</v>
      </c>
      <c r="K17">
        <v>469.54999999999899</v>
      </c>
      <c r="L17">
        <v>46.954999999999998</v>
      </c>
      <c r="M17">
        <v>422.594999999999</v>
      </c>
      <c r="N17">
        <v>55.71</v>
      </c>
      <c r="O17">
        <v>278.55</v>
      </c>
      <c r="P17">
        <v>144.04499999999899</v>
      </c>
      <c r="Q17">
        <v>34.085826855499903</v>
      </c>
    </row>
    <row r="18" spans="1:17" x14ac:dyDescent="0.25">
      <c r="A18">
        <v>10017</v>
      </c>
      <c r="B18" s="1">
        <v>45674</v>
      </c>
      <c r="C18">
        <v>3730</v>
      </c>
      <c r="D18" t="s">
        <v>29</v>
      </c>
      <c r="E18" t="s">
        <v>24</v>
      </c>
      <c r="F18" t="s">
        <v>33</v>
      </c>
      <c r="G18" t="s">
        <v>31</v>
      </c>
      <c r="H18">
        <v>7</v>
      </c>
      <c r="I18">
        <v>148.75</v>
      </c>
      <c r="J18">
        <v>15</v>
      </c>
      <c r="K18">
        <v>1041.25</v>
      </c>
      <c r="L18">
        <v>156.1875</v>
      </c>
      <c r="M18">
        <v>885.0625</v>
      </c>
      <c r="N18">
        <v>79.13</v>
      </c>
      <c r="O18">
        <v>553.91</v>
      </c>
      <c r="P18">
        <v>331.15249999999997</v>
      </c>
      <c r="Q18">
        <v>37.415719228867999</v>
      </c>
    </row>
    <row r="19" spans="1:17" x14ac:dyDescent="0.25">
      <c r="A19">
        <v>10018</v>
      </c>
      <c r="B19" s="1">
        <v>45675</v>
      </c>
      <c r="C19">
        <v>3904</v>
      </c>
      <c r="D19" t="s">
        <v>23</v>
      </c>
      <c r="E19" t="s">
        <v>24</v>
      </c>
      <c r="F19" t="s">
        <v>26</v>
      </c>
      <c r="G19" t="s">
        <v>22</v>
      </c>
      <c r="H19">
        <v>4</v>
      </c>
      <c r="I19">
        <v>54.52</v>
      </c>
      <c r="J19">
        <v>20</v>
      </c>
      <c r="K19">
        <v>218.08</v>
      </c>
      <c r="L19">
        <v>43.616</v>
      </c>
      <c r="M19">
        <v>174.464</v>
      </c>
      <c r="N19">
        <v>95.8</v>
      </c>
      <c r="O19">
        <v>383.2</v>
      </c>
      <c r="P19">
        <v>-208.73599999999999</v>
      </c>
      <c r="Q19">
        <v>-119.64416727806299</v>
      </c>
    </row>
    <row r="20" spans="1:17" x14ac:dyDescent="0.25">
      <c r="A20">
        <v>10019</v>
      </c>
      <c r="B20" s="1">
        <v>45676</v>
      </c>
      <c r="C20">
        <v>3167</v>
      </c>
      <c r="D20" t="s">
        <v>29</v>
      </c>
      <c r="E20" t="s">
        <v>24</v>
      </c>
      <c r="F20" t="s">
        <v>26</v>
      </c>
      <c r="G20" t="s">
        <v>32</v>
      </c>
      <c r="H20">
        <v>8</v>
      </c>
      <c r="I20">
        <v>14.55</v>
      </c>
      <c r="J20">
        <v>5</v>
      </c>
      <c r="K20">
        <v>116.4</v>
      </c>
      <c r="L20">
        <v>5.82</v>
      </c>
      <c r="M20">
        <v>110.58</v>
      </c>
      <c r="N20">
        <v>90.18</v>
      </c>
      <c r="O20">
        <v>721.44</v>
      </c>
      <c r="P20">
        <v>-610.86</v>
      </c>
      <c r="Q20">
        <v>-552.41454150841003</v>
      </c>
    </row>
    <row r="21" spans="1:17" x14ac:dyDescent="0.25">
      <c r="A21">
        <v>10020</v>
      </c>
      <c r="B21" s="1">
        <v>45677</v>
      </c>
      <c r="C21">
        <v>3998</v>
      </c>
      <c r="D21" t="s">
        <v>29</v>
      </c>
      <c r="E21" t="s">
        <v>24</v>
      </c>
      <c r="F21" t="s">
        <v>19</v>
      </c>
      <c r="G21" t="s">
        <v>30</v>
      </c>
      <c r="H21">
        <v>3</v>
      </c>
      <c r="I21">
        <v>26.48</v>
      </c>
      <c r="J21">
        <v>15</v>
      </c>
      <c r="K21">
        <v>79.44</v>
      </c>
      <c r="L21">
        <v>11.915999999999899</v>
      </c>
      <c r="M21">
        <v>67.524000000000001</v>
      </c>
      <c r="N21">
        <v>30.58</v>
      </c>
      <c r="O21">
        <v>91.74</v>
      </c>
      <c r="P21">
        <v>-24.215999999999902</v>
      </c>
      <c r="Q21">
        <v>-35.862804336235897</v>
      </c>
    </row>
    <row r="22" spans="1:17" x14ac:dyDescent="0.25">
      <c r="A22">
        <v>10021</v>
      </c>
      <c r="B22" s="1">
        <v>45678</v>
      </c>
      <c r="C22">
        <v>3068</v>
      </c>
      <c r="D22" t="s">
        <v>29</v>
      </c>
      <c r="E22" t="s">
        <v>24</v>
      </c>
      <c r="F22" t="s">
        <v>25</v>
      </c>
      <c r="G22" t="s">
        <v>22</v>
      </c>
      <c r="H22">
        <v>7</v>
      </c>
      <c r="I22">
        <v>16.45</v>
      </c>
      <c r="J22">
        <v>0</v>
      </c>
      <c r="K22">
        <v>115.149999999999</v>
      </c>
      <c r="L22">
        <v>0</v>
      </c>
      <c r="M22">
        <v>115.149999999999</v>
      </c>
      <c r="N22">
        <v>110.15</v>
      </c>
      <c r="O22">
        <v>771.05</v>
      </c>
      <c r="P22">
        <v>-655.9</v>
      </c>
      <c r="Q22">
        <v>-569.60486322188399</v>
      </c>
    </row>
    <row r="23" spans="1:17" x14ac:dyDescent="0.25">
      <c r="A23">
        <v>10022</v>
      </c>
      <c r="B23" s="1">
        <v>45679</v>
      </c>
      <c r="C23">
        <v>3432</v>
      </c>
      <c r="D23" t="s">
        <v>21</v>
      </c>
      <c r="E23" t="s">
        <v>24</v>
      </c>
      <c r="F23" t="s">
        <v>25</v>
      </c>
      <c r="G23" t="s">
        <v>27</v>
      </c>
      <c r="H23">
        <v>3</v>
      </c>
      <c r="I23">
        <v>136.85</v>
      </c>
      <c r="J23">
        <v>10</v>
      </c>
      <c r="K23">
        <v>410.54999999999899</v>
      </c>
      <c r="L23">
        <v>41.055</v>
      </c>
      <c r="M23">
        <v>369.49499999999898</v>
      </c>
      <c r="N23">
        <v>15.24</v>
      </c>
      <c r="O23">
        <v>45.72</v>
      </c>
      <c r="P23">
        <v>323.77499999999998</v>
      </c>
      <c r="Q23">
        <v>87.626354889781993</v>
      </c>
    </row>
    <row r="24" spans="1:17" x14ac:dyDescent="0.25">
      <c r="A24">
        <v>10023</v>
      </c>
      <c r="B24" s="1">
        <v>45680</v>
      </c>
      <c r="C24">
        <v>3895</v>
      </c>
      <c r="D24" t="s">
        <v>21</v>
      </c>
      <c r="E24" t="s">
        <v>18</v>
      </c>
      <c r="F24" t="s">
        <v>33</v>
      </c>
      <c r="G24" t="s">
        <v>27</v>
      </c>
      <c r="H24">
        <v>7</v>
      </c>
      <c r="I24">
        <v>43.39</v>
      </c>
      <c r="J24">
        <v>10</v>
      </c>
      <c r="K24">
        <v>303.73</v>
      </c>
      <c r="L24">
        <v>30.373000000000001</v>
      </c>
      <c r="M24">
        <v>273.35700000000003</v>
      </c>
      <c r="N24">
        <v>35.049999999999997</v>
      </c>
      <c r="O24">
        <v>245.349999999999</v>
      </c>
      <c r="P24">
        <v>28.007000000000001</v>
      </c>
      <c r="Q24">
        <v>10.245576297662</v>
      </c>
    </row>
    <row r="25" spans="1:17" x14ac:dyDescent="0.25">
      <c r="A25">
        <v>10024</v>
      </c>
      <c r="B25" s="1">
        <v>45681</v>
      </c>
      <c r="C25">
        <v>3391</v>
      </c>
      <c r="D25" t="s">
        <v>21</v>
      </c>
      <c r="E25" t="s">
        <v>18</v>
      </c>
      <c r="F25" t="s">
        <v>25</v>
      </c>
      <c r="G25" t="s">
        <v>31</v>
      </c>
      <c r="H25">
        <v>6</v>
      </c>
      <c r="I25">
        <v>213.46</v>
      </c>
      <c r="J25">
        <v>0</v>
      </c>
      <c r="K25">
        <v>1280.76</v>
      </c>
      <c r="L25">
        <v>0</v>
      </c>
      <c r="M25">
        <v>1280.76</v>
      </c>
      <c r="N25">
        <v>62.52</v>
      </c>
      <c r="O25">
        <v>375.12</v>
      </c>
      <c r="P25">
        <v>905.64</v>
      </c>
      <c r="Q25">
        <v>70.711140260470302</v>
      </c>
    </row>
    <row r="26" spans="1:17" x14ac:dyDescent="0.25">
      <c r="A26">
        <v>10025</v>
      </c>
      <c r="B26" s="1">
        <v>45682</v>
      </c>
      <c r="C26">
        <v>3940</v>
      </c>
      <c r="D26" t="s">
        <v>23</v>
      </c>
      <c r="E26" t="s">
        <v>18</v>
      </c>
      <c r="F26" t="s">
        <v>19</v>
      </c>
      <c r="G26" t="s">
        <v>20</v>
      </c>
      <c r="H26">
        <v>3</v>
      </c>
      <c r="I26">
        <v>133.80000000000001</v>
      </c>
      <c r="J26">
        <v>15</v>
      </c>
      <c r="K26">
        <v>401.4</v>
      </c>
      <c r="L26">
        <v>60.21</v>
      </c>
      <c r="M26">
        <v>341.19</v>
      </c>
      <c r="N26">
        <v>124.88</v>
      </c>
      <c r="O26">
        <v>374.64</v>
      </c>
      <c r="P26">
        <v>-33.449999999999903</v>
      </c>
      <c r="Q26">
        <v>-9.8039215686274304</v>
      </c>
    </row>
    <row r="27" spans="1:17" x14ac:dyDescent="0.25">
      <c r="A27">
        <v>10026</v>
      </c>
      <c r="B27" s="1">
        <v>45683</v>
      </c>
      <c r="C27">
        <v>3512</v>
      </c>
      <c r="D27" t="s">
        <v>21</v>
      </c>
      <c r="E27" t="s">
        <v>24</v>
      </c>
      <c r="F27" t="s">
        <v>26</v>
      </c>
      <c r="G27" t="s">
        <v>27</v>
      </c>
      <c r="H27">
        <v>5</v>
      </c>
      <c r="I27">
        <v>124.51</v>
      </c>
      <c r="J27">
        <v>0</v>
      </c>
      <c r="K27">
        <v>622.54999999999995</v>
      </c>
      <c r="L27">
        <v>0</v>
      </c>
      <c r="M27">
        <v>622.54999999999995</v>
      </c>
      <c r="N27">
        <v>41.55</v>
      </c>
      <c r="O27">
        <v>207.75</v>
      </c>
      <c r="P27">
        <v>414.8</v>
      </c>
      <c r="Q27">
        <v>66.62918641073</v>
      </c>
    </row>
    <row r="28" spans="1:17" x14ac:dyDescent="0.25">
      <c r="A28">
        <v>10027</v>
      </c>
      <c r="B28" s="1">
        <v>45684</v>
      </c>
      <c r="C28">
        <v>3075</v>
      </c>
      <c r="D28" t="s">
        <v>23</v>
      </c>
      <c r="E28" t="s">
        <v>24</v>
      </c>
      <c r="F28" t="s">
        <v>33</v>
      </c>
      <c r="G28" t="s">
        <v>31</v>
      </c>
      <c r="H28">
        <v>8</v>
      </c>
      <c r="I28">
        <v>19.399999999999999</v>
      </c>
      <c r="J28">
        <v>0</v>
      </c>
      <c r="K28">
        <v>155.19999999999999</v>
      </c>
      <c r="L28">
        <v>0</v>
      </c>
      <c r="M28">
        <v>155.19999999999999</v>
      </c>
      <c r="N28">
        <v>124.98</v>
      </c>
      <c r="O28">
        <v>999.84</v>
      </c>
      <c r="P28">
        <v>-844.64</v>
      </c>
      <c r="Q28">
        <v>-544.22680412371096</v>
      </c>
    </row>
    <row r="29" spans="1:17" x14ac:dyDescent="0.25">
      <c r="A29">
        <v>10028</v>
      </c>
      <c r="B29" s="1">
        <v>45685</v>
      </c>
      <c r="C29">
        <v>3823</v>
      </c>
      <c r="D29" t="s">
        <v>29</v>
      </c>
      <c r="E29" t="s">
        <v>18</v>
      </c>
      <c r="F29" t="s">
        <v>33</v>
      </c>
      <c r="G29" t="s">
        <v>27</v>
      </c>
      <c r="H29">
        <v>4</v>
      </c>
      <c r="I29">
        <v>223.15</v>
      </c>
      <c r="J29">
        <v>10</v>
      </c>
      <c r="K29">
        <v>892.6</v>
      </c>
      <c r="L29">
        <v>89.26</v>
      </c>
      <c r="M29">
        <v>803.34</v>
      </c>
      <c r="N29">
        <v>89.19</v>
      </c>
      <c r="O29">
        <v>356.76</v>
      </c>
      <c r="P29">
        <v>446.58</v>
      </c>
      <c r="Q29">
        <v>55.590410038090901</v>
      </c>
    </row>
    <row r="30" spans="1:17" x14ac:dyDescent="0.25">
      <c r="A30">
        <v>10029</v>
      </c>
      <c r="B30" s="1">
        <v>45686</v>
      </c>
      <c r="C30">
        <v>3250</v>
      </c>
      <c r="D30" t="s">
        <v>17</v>
      </c>
      <c r="E30" t="s">
        <v>24</v>
      </c>
      <c r="F30" t="s">
        <v>26</v>
      </c>
      <c r="G30" t="s">
        <v>32</v>
      </c>
      <c r="H30">
        <v>4</v>
      </c>
      <c r="I30">
        <v>96.56</v>
      </c>
      <c r="J30">
        <v>5</v>
      </c>
      <c r="K30">
        <v>386.24</v>
      </c>
      <c r="L30">
        <v>19.312000000000001</v>
      </c>
      <c r="M30">
        <v>366.928</v>
      </c>
      <c r="N30">
        <v>106.37</v>
      </c>
      <c r="O30">
        <v>425.48</v>
      </c>
      <c r="P30">
        <v>-58.552</v>
      </c>
      <c r="Q30">
        <v>-15.957354031308601</v>
      </c>
    </row>
    <row r="31" spans="1:17" x14ac:dyDescent="0.25">
      <c r="A31">
        <v>10030</v>
      </c>
      <c r="B31" s="1">
        <v>45687</v>
      </c>
      <c r="C31">
        <v>3006</v>
      </c>
      <c r="D31" t="s">
        <v>17</v>
      </c>
      <c r="E31" t="s">
        <v>24</v>
      </c>
      <c r="F31" t="s">
        <v>25</v>
      </c>
      <c r="G31" t="s">
        <v>28</v>
      </c>
      <c r="H31">
        <v>8</v>
      </c>
      <c r="I31">
        <v>242.64</v>
      </c>
      <c r="J31">
        <v>15</v>
      </c>
      <c r="K31">
        <v>1941.12</v>
      </c>
      <c r="L31">
        <v>291.16799999999898</v>
      </c>
      <c r="M31">
        <v>1649.952</v>
      </c>
      <c r="N31">
        <v>47.97</v>
      </c>
      <c r="O31">
        <v>383.76</v>
      </c>
      <c r="P31">
        <v>1266.192</v>
      </c>
      <c r="Q31">
        <v>76.741141560481694</v>
      </c>
    </row>
    <row r="32" spans="1:17" x14ac:dyDescent="0.25">
      <c r="A32">
        <v>10031</v>
      </c>
      <c r="B32" s="1">
        <v>45688</v>
      </c>
      <c r="C32">
        <v>3787</v>
      </c>
      <c r="D32" t="s">
        <v>17</v>
      </c>
      <c r="E32" t="s">
        <v>24</v>
      </c>
      <c r="F32" t="s">
        <v>33</v>
      </c>
      <c r="G32" t="s">
        <v>30</v>
      </c>
      <c r="H32">
        <v>7</v>
      </c>
      <c r="I32">
        <v>67.45</v>
      </c>
      <c r="J32">
        <v>0</v>
      </c>
      <c r="K32">
        <v>472.15</v>
      </c>
      <c r="L32">
        <v>0</v>
      </c>
      <c r="M32">
        <v>472.15</v>
      </c>
      <c r="N32">
        <v>145.80000000000001</v>
      </c>
      <c r="O32">
        <v>1020.6</v>
      </c>
      <c r="P32">
        <v>-548.45000000000005</v>
      </c>
      <c r="Q32">
        <v>-116.16011860637499</v>
      </c>
    </row>
    <row r="33" spans="1:17" x14ac:dyDescent="0.25">
      <c r="A33">
        <v>10032</v>
      </c>
      <c r="B33" s="1">
        <v>45689</v>
      </c>
      <c r="C33">
        <v>3444</v>
      </c>
      <c r="D33" t="s">
        <v>29</v>
      </c>
      <c r="E33" t="s">
        <v>18</v>
      </c>
      <c r="F33" t="s">
        <v>19</v>
      </c>
      <c r="G33" t="s">
        <v>20</v>
      </c>
      <c r="H33">
        <v>1</v>
      </c>
      <c r="I33">
        <v>220.99</v>
      </c>
      <c r="J33">
        <v>10</v>
      </c>
      <c r="K33">
        <v>220.99</v>
      </c>
      <c r="L33">
        <v>22.099</v>
      </c>
      <c r="M33">
        <v>198.89099999999999</v>
      </c>
      <c r="N33">
        <v>99.39</v>
      </c>
      <c r="O33">
        <v>99.39</v>
      </c>
      <c r="P33">
        <v>99.501000000000005</v>
      </c>
      <c r="Q33">
        <v>50.027904731737401</v>
      </c>
    </row>
    <row r="34" spans="1:17" x14ac:dyDescent="0.25">
      <c r="A34">
        <v>10033</v>
      </c>
      <c r="B34" s="1">
        <v>45690</v>
      </c>
      <c r="C34">
        <v>3044</v>
      </c>
      <c r="D34" t="s">
        <v>23</v>
      </c>
      <c r="E34" t="s">
        <v>24</v>
      </c>
      <c r="F34" t="s">
        <v>26</v>
      </c>
      <c r="G34" t="s">
        <v>27</v>
      </c>
      <c r="H34">
        <v>1</v>
      </c>
      <c r="I34">
        <v>16.010000000000002</v>
      </c>
      <c r="J34">
        <v>10</v>
      </c>
      <c r="K34">
        <v>16.010000000000002</v>
      </c>
      <c r="L34">
        <v>1.601</v>
      </c>
      <c r="M34">
        <v>14.409000000000001</v>
      </c>
      <c r="N34">
        <v>16.670000000000002</v>
      </c>
      <c r="O34">
        <v>16.670000000000002</v>
      </c>
      <c r="P34">
        <v>-2.2610000000000001</v>
      </c>
      <c r="Q34">
        <v>-15.691581650357399</v>
      </c>
    </row>
    <row r="35" spans="1:17" x14ac:dyDescent="0.25">
      <c r="A35">
        <v>10034</v>
      </c>
      <c r="B35" s="1">
        <v>45691</v>
      </c>
      <c r="C35">
        <v>3703</v>
      </c>
      <c r="D35" t="s">
        <v>23</v>
      </c>
      <c r="E35" t="s">
        <v>18</v>
      </c>
      <c r="F35" t="s">
        <v>19</v>
      </c>
      <c r="G35" t="s">
        <v>20</v>
      </c>
      <c r="H35">
        <v>8</v>
      </c>
      <c r="I35">
        <v>150.65</v>
      </c>
      <c r="J35">
        <v>10</v>
      </c>
      <c r="K35">
        <v>1205.2</v>
      </c>
      <c r="L35">
        <v>120.52</v>
      </c>
      <c r="M35">
        <v>1084.68</v>
      </c>
      <c r="N35">
        <v>121.92</v>
      </c>
      <c r="O35">
        <v>975.36</v>
      </c>
      <c r="P35">
        <v>109.32</v>
      </c>
      <c r="Q35">
        <v>10.078548512003501</v>
      </c>
    </row>
    <row r="36" spans="1:17" x14ac:dyDescent="0.25">
      <c r="A36">
        <v>10035</v>
      </c>
      <c r="B36" s="1">
        <v>45692</v>
      </c>
      <c r="C36">
        <v>3325</v>
      </c>
      <c r="D36" t="s">
        <v>23</v>
      </c>
      <c r="E36" t="s">
        <v>18</v>
      </c>
      <c r="F36" t="s">
        <v>25</v>
      </c>
      <c r="G36" t="s">
        <v>27</v>
      </c>
      <c r="H36">
        <v>3</v>
      </c>
      <c r="I36">
        <v>64.239999999999995</v>
      </c>
      <c r="J36">
        <v>15</v>
      </c>
      <c r="K36">
        <v>192.719999999999</v>
      </c>
      <c r="L36">
        <v>28.907999999999902</v>
      </c>
      <c r="M36">
        <v>163.81199999999899</v>
      </c>
      <c r="N36">
        <v>72.760000000000005</v>
      </c>
      <c r="O36">
        <v>218.28</v>
      </c>
      <c r="P36">
        <v>-54.468000000000004</v>
      </c>
      <c r="Q36">
        <v>-33.250311332503102</v>
      </c>
    </row>
    <row r="37" spans="1:17" x14ac:dyDescent="0.25">
      <c r="A37">
        <v>10036</v>
      </c>
      <c r="B37" s="1">
        <v>45693</v>
      </c>
      <c r="C37">
        <v>3824</v>
      </c>
      <c r="D37" t="s">
        <v>23</v>
      </c>
      <c r="E37" t="s">
        <v>18</v>
      </c>
      <c r="F37" t="s">
        <v>33</v>
      </c>
      <c r="G37" t="s">
        <v>20</v>
      </c>
      <c r="H37">
        <v>7</v>
      </c>
      <c r="I37">
        <v>241.53</v>
      </c>
      <c r="J37">
        <v>0</v>
      </c>
      <c r="K37">
        <v>1690.71</v>
      </c>
      <c r="L37">
        <v>0</v>
      </c>
      <c r="M37">
        <v>1690.71</v>
      </c>
      <c r="N37">
        <v>126.04</v>
      </c>
      <c r="O37">
        <v>882.28</v>
      </c>
      <c r="P37">
        <v>808.43</v>
      </c>
      <c r="Q37">
        <v>47.816006293214002</v>
      </c>
    </row>
    <row r="38" spans="1:17" x14ac:dyDescent="0.25">
      <c r="A38">
        <v>10037</v>
      </c>
      <c r="B38" s="1">
        <v>45694</v>
      </c>
      <c r="C38">
        <v>3152</v>
      </c>
      <c r="D38" t="s">
        <v>21</v>
      </c>
      <c r="E38" t="s">
        <v>24</v>
      </c>
      <c r="F38" t="s">
        <v>33</v>
      </c>
      <c r="G38" t="s">
        <v>30</v>
      </c>
      <c r="H38">
        <v>1</v>
      </c>
      <c r="I38">
        <v>172.55</v>
      </c>
      <c r="J38">
        <v>0</v>
      </c>
      <c r="K38">
        <v>172.55</v>
      </c>
      <c r="L38">
        <v>0</v>
      </c>
      <c r="M38">
        <v>172.55</v>
      </c>
      <c r="N38">
        <v>106.58</v>
      </c>
      <c r="O38">
        <v>106.58</v>
      </c>
      <c r="P38">
        <v>65.97</v>
      </c>
      <c r="Q38">
        <v>38.232396406838603</v>
      </c>
    </row>
    <row r="39" spans="1:17" x14ac:dyDescent="0.25">
      <c r="A39">
        <v>10038</v>
      </c>
      <c r="B39" s="1">
        <v>45695</v>
      </c>
      <c r="C39">
        <v>3183</v>
      </c>
      <c r="D39" t="s">
        <v>17</v>
      </c>
      <c r="E39" t="s">
        <v>18</v>
      </c>
      <c r="F39" t="s">
        <v>33</v>
      </c>
      <c r="G39" t="s">
        <v>22</v>
      </c>
      <c r="H39">
        <v>1</v>
      </c>
      <c r="I39">
        <v>95.42</v>
      </c>
      <c r="J39">
        <v>0</v>
      </c>
      <c r="K39">
        <v>95.42</v>
      </c>
      <c r="L39">
        <v>0</v>
      </c>
      <c r="M39">
        <v>95.42</v>
      </c>
      <c r="N39">
        <v>145.1</v>
      </c>
      <c r="O39">
        <v>145.1</v>
      </c>
      <c r="P39">
        <v>-49.6799999999999</v>
      </c>
      <c r="Q39">
        <v>-52.064556696709197</v>
      </c>
    </row>
    <row r="40" spans="1:17" x14ac:dyDescent="0.25">
      <c r="A40">
        <v>10039</v>
      </c>
      <c r="B40" s="1">
        <v>45696</v>
      </c>
      <c r="C40">
        <v>3949</v>
      </c>
      <c r="D40" t="s">
        <v>23</v>
      </c>
      <c r="E40" t="s">
        <v>24</v>
      </c>
      <c r="F40" t="s">
        <v>25</v>
      </c>
      <c r="G40" t="s">
        <v>27</v>
      </c>
      <c r="H40">
        <v>5</v>
      </c>
      <c r="I40">
        <v>49.03</v>
      </c>
      <c r="J40">
        <v>5</v>
      </c>
      <c r="K40">
        <v>245.15</v>
      </c>
      <c r="L40">
        <v>12.2575</v>
      </c>
      <c r="M40">
        <v>232.89250000000001</v>
      </c>
      <c r="N40">
        <v>136.83000000000001</v>
      </c>
      <c r="O40">
        <v>684.15</v>
      </c>
      <c r="P40">
        <v>-451.25749999999999</v>
      </c>
      <c r="Q40">
        <v>-193.762143478214</v>
      </c>
    </row>
    <row r="41" spans="1:17" x14ac:dyDescent="0.25">
      <c r="A41">
        <v>10040</v>
      </c>
      <c r="B41" s="1">
        <v>45697</v>
      </c>
      <c r="C41">
        <v>3112</v>
      </c>
      <c r="D41" t="s">
        <v>21</v>
      </c>
      <c r="E41" t="s">
        <v>24</v>
      </c>
      <c r="F41" t="s">
        <v>19</v>
      </c>
      <c r="G41" t="s">
        <v>22</v>
      </c>
      <c r="H41">
        <v>8</v>
      </c>
      <c r="I41">
        <v>237.55</v>
      </c>
      <c r="J41">
        <v>0</v>
      </c>
      <c r="K41">
        <v>1900.4</v>
      </c>
      <c r="L41">
        <v>0</v>
      </c>
      <c r="M41">
        <v>1900.4</v>
      </c>
      <c r="N41">
        <v>101.64</v>
      </c>
      <c r="O41">
        <v>813.12</v>
      </c>
      <c r="P41">
        <v>1087.28</v>
      </c>
      <c r="Q41">
        <v>57.213218269837903</v>
      </c>
    </row>
    <row r="42" spans="1:17" x14ac:dyDescent="0.25">
      <c r="A42">
        <v>10041</v>
      </c>
      <c r="B42" s="1">
        <v>45698</v>
      </c>
      <c r="C42">
        <v>3763</v>
      </c>
      <c r="D42" t="s">
        <v>29</v>
      </c>
      <c r="E42" t="s">
        <v>24</v>
      </c>
      <c r="F42" t="s">
        <v>19</v>
      </c>
      <c r="G42" t="s">
        <v>30</v>
      </c>
      <c r="H42">
        <v>9</v>
      </c>
      <c r="I42">
        <v>124.49</v>
      </c>
      <c r="J42">
        <v>15</v>
      </c>
      <c r="K42">
        <v>1120.4099999999901</v>
      </c>
      <c r="L42">
        <v>168.061499999999</v>
      </c>
      <c r="M42">
        <v>952.34849999999904</v>
      </c>
      <c r="N42">
        <v>115.99</v>
      </c>
      <c r="O42">
        <v>1043.9099999999901</v>
      </c>
      <c r="P42">
        <v>-91.561499999999995</v>
      </c>
      <c r="Q42">
        <v>-9.6142851067650099</v>
      </c>
    </row>
    <row r="43" spans="1:17" x14ac:dyDescent="0.25">
      <c r="A43">
        <v>10042</v>
      </c>
      <c r="B43" s="1">
        <v>45699</v>
      </c>
      <c r="C43">
        <v>3189</v>
      </c>
      <c r="D43" t="s">
        <v>29</v>
      </c>
      <c r="E43" t="s">
        <v>18</v>
      </c>
      <c r="F43" t="s">
        <v>25</v>
      </c>
      <c r="G43" t="s">
        <v>20</v>
      </c>
      <c r="H43">
        <v>1</v>
      </c>
      <c r="I43">
        <v>235.01</v>
      </c>
      <c r="J43">
        <v>20</v>
      </c>
      <c r="K43">
        <v>235.01</v>
      </c>
      <c r="L43">
        <v>47.002000000000002</v>
      </c>
      <c r="M43">
        <v>188.00799999999899</v>
      </c>
      <c r="N43">
        <v>13.71</v>
      </c>
      <c r="O43">
        <v>13.71</v>
      </c>
      <c r="P43">
        <v>174.29799999999901</v>
      </c>
      <c r="Q43">
        <v>92.707757116718398</v>
      </c>
    </row>
    <row r="44" spans="1:17" x14ac:dyDescent="0.25">
      <c r="A44">
        <v>10043</v>
      </c>
      <c r="B44" s="1">
        <v>45700</v>
      </c>
      <c r="C44">
        <v>3960</v>
      </c>
      <c r="D44" t="s">
        <v>23</v>
      </c>
      <c r="E44" t="s">
        <v>24</v>
      </c>
      <c r="F44" t="s">
        <v>26</v>
      </c>
      <c r="G44" t="s">
        <v>32</v>
      </c>
      <c r="H44">
        <v>3</v>
      </c>
      <c r="I44">
        <v>17.63</v>
      </c>
      <c r="J44">
        <v>0</v>
      </c>
      <c r="K44">
        <v>52.89</v>
      </c>
      <c r="L44">
        <v>0</v>
      </c>
      <c r="M44">
        <v>52.89</v>
      </c>
      <c r="N44">
        <v>120.26</v>
      </c>
      <c r="O44">
        <v>360.78</v>
      </c>
      <c r="P44">
        <v>-307.89</v>
      </c>
      <c r="Q44">
        <v>-582.13272830402695</v>
      </c>
    </row>
    <row r="45" spans="1:17" x14ac:dyDescent="0.25">
      <c r="A45">
        <v>10044</v>
      </c>
      <c r="B45" s="1">
        <v>45701</v>
      </c>
      <c r="C45">
        <v>3290</v>
      </c>
      <c r="D45" t="s">
        <v>17</v>
      </c>
      <c r="E45" t="s">
        <v>18</v>
      </c>
      <c r="F45" t="s">
        <v>25</v>
      </c>
      <c r="G45" t="s">
        <v>30</v>
      </c>
      <c r="H45">
        <v>2</v>
      </c>
      <c r="I45">
        <v>181.06</v>
      </c>
      <c r="J45">
        <v>15</v>
      </c>
      <c r="K45">
        <v>362.12</v>
      </c>
      <c r="L45">
        <v>54.317999999999998</v>
      </c>
      <c r="M45">
        <v>307.80200000000002</v>
      </c>
      <c r="N45">
        <v>111.61</v>
      </c>
      <c r="O45">
        <v>223.22</v>
      </c>
      <c r="P45">
        <v>84.581999999999994</v>
      </c>
      <c r="Q45">
        <v>27.479353610437801</v>
      </c>
    </row>
    <row r="46" spans="1:17" x14ac:dyDescent="0.25">
      <c r="A46">
        <v>10045</v>
      </c>
      <c r="B46" s="1">
        <v>45702</v>
      </c>
      <c r="C46">
        <v>3312</v>
      </c>
      <c r="D46" t="s">
        <v>29</v>
      </c>
      <c r="E46" t="s">
        <v>24</v>
      </c>
      <c r="F46" t="s">
        <v>25</v>
      </c>
      <c r="G46" t="s">
        <v>28</v>
      </c>
      <c r="H46">
        <v>5</v>
      </c>
      <c r="I46">
        <v>158.69</v>
      </c>
      <c r="J46">
        <v>0</v>
      </c>
      <c r="K46">
        <v>793.45</v>
      </c>
      <c r="L46">
        <v>0</v>
      </c>
      <c r="M46">
        <v>793.45</v>
      </c>
      <c r="N46">
        <v>141.78</v>
      </c>
      <c r="O46">
        <v>708.9</v>
      </c>
      <c r="P46">
        <v>84.55</v>
      </c>
      <c r="Q46">
        <v>10.655995966979599</v>
      </c>
    </row>
    <row r="47" spans="1:17" x14ac:dyDescent="0.25">
      <c r="A47">
        <v>10046</v>
      </c>
      <c r="B47" s="1">
        <v>45703</v>
      </c>
      <c r="C47">
        <v>3201</v>
      </c>
      <c r="D47" t="s">
        <v>21</v>
      </c>
      <c r="E47" t="s">
        <v>18</v>
      </c>
      <c r="F47" t="s">
        <v>33</v>
      </c>
      <c r="G47" t="s">
        <v>32</v>
      </c>
      <c r="H47">
        <v>6</v>
      </c>
      <c r="I47">
        <v>137.56</v>
      </c>
      <c r="J47">
        <v>15</v>
      </c>
      <c r="K47">
        <v>825.36</v>
      </c>
      <c r="L47">
        <v>123.804</v>
      </c>
      <c r="M47">
        <v>701.55600000000004</v>
      </c>
      <c r="N47">
        <v>114.49</v>
      </c>
      <c r="O47">
        <v>686.93999999999903</v>
      </c>
      <c r="P47">
        <v>14.616000000000099</v>
      </c>
      <c r="Q47">
        <v>2.0833689684073802</v>
      </c>
    </row>
    <row r="48" spans="1:17" x14ac:dyDescent="0.25">
      <c r="A48">
        <v>10047</v>
      </c>
      <c r="B48" s="1">
        <v>45704</v>
      </c>
      <c r="C48">
        <v>3462</v>
      </c>
      <c r="D48" t="s">
        <v>17</v>
      </c>
      <c r="E48" t="s">
        <v>18</v>
      </c>
      <c r="F48" t="s">
        <v>33</v>
      </c>
      <c r="G48" t="s">
        <v>28</v>
      </c>
      <c r="H48">
        <v>2</v>
      </c>
      <c r="I48">
        <v>118.3</v>
      </c>
      <c r="J48">
        <v>10</v>
      </c>
      <c r="K48">
        <v>236.6</v>
      </c>
      <c r="L48">
        <v>23.66</v>
      </c>
      <c r="M48">
        <v>212.94</v>
      </c>
      <c r="N48">
        <v>94.46</v>
      </c>
      <c r="O48">
        <v>188.92</v>
      </c>
      <c r="P48">
        <v>24.02</v>
      </c>
      <c r="Q48">
        <v>11.2801728186343</v>
      </c>
    </row>
    <row r="49" spans="1:17" x14ac:dyDescent="0.25">
      <c r="A49">
        <v>10048</v>
      </c>
      <c r="B49" s="1">
        <v>45705</v>
      </c>
      <c r="C49">
        <v>3550</v>
      </c>
      <c r="D49" t="s">
        <v>23</v>
      </c>
      <c r="E49" t="s">
        <v>24</v>
      </c>
      <c r="F49" t="s">
        <v>33</v>
      </c>
      <c r="G49" t="s">
        <v>20</v>
      </c>
      <c r="H49">
        <v>1</v>
      </c>
      <c r="I49">
        <v>245.1</v>
      </c>
      <c r="J49">
        <v>10</v>
      </c>
      <c r="K49">
        <v>245.1</v>
      </c>
      <c r="L49">
        <v>24.51</v>
      </c>
      <c r="M49">
        <v>220.59</v>
      </c>
      <c r="N49">
        <v>117.87</v>
      </c>
      <c r="O49">
        <v>117.87</v>
      </c>
      <c r="P49">
        <v>102.72</v>
      </c>
      <c r="Q49">
        <v>46.566027471780203</v>
      </c>
    </row>
    <row r="50" spans="1:17" x14ac:dyDescent="0.25">
      <c r="A50">
        <v>10049</v>
      </c>
      <c r="B50" s="1">
        <v>45706</v>
      </c>
      <c r="C50">
        <v>3772</v>
      </c>
      <c r="D50" t="s">
        <v>29</v>
      </c>
      <c r="E50" t="s">
        <v>24</v>
      </c>
      <c r="F50" t="s">
        <v>19</v>
      </c>
      <c r="G50" t="s">
        <v>27</v>
      </c>
      <c r="H50">
        <v>6</v>
      </c>
      <c r="I50">
        <v>225.09</v>
      </c>
      <c r="J50">
        <v>5</v>
      </c>
      <c r="K50">
        <v>1350.54</v>
      </c>
      <c r="L50">
        <v>67.527000000000001</v>
      </c>
      <c r="M50">
        <v>1283.0129999999999</v>
      </c>
      <c r="N50">
        <v>92.35</v>
      </c>
      <c r="O50">
        <v>554.099999999999</v>
      </c>
      <c r="P50">
        <v>728.91300000000001</v>
      </c>
      <c r="Q50">
        <v>56.812596598787302</v>
      </c>
    </row>
    <row r="51" spans="1:17" x14ac:dyDescent="0.25">
      <c r="A51">
        <v>10050</v>
      </c>
      <c r="B51" s="1">
        <v>45707</v>
      </c>
      <c r="C51">
        <v>3494</v>
      </c>
      <c r="D51" t="s">
        <v>23</v>
      </c>
      <c r="E51" t="s">
        <v>18</v>
      </c>
      <c r="F51" t="s">
        <v>33</v>
      </c>
      <c r="G51" t="s">
        <v>32</v>
      </c>
      <c r="H51">
        <v>1</v>
      </c>
      <c r="I51">
        <v>57.3</v>
      </c>
      <c r="J51">
        <v>5</v>
      </c>
      <c r="K51">
        <v>57.3</v>
      </c>
      <c r="L51">
        <v>2.8650000000000002</v>
      </c>
      <c r="M51">
        <v>54.434999999999903</v>
      </c>
      <c r="N51">
        <v>74.989999999999995</v>
      </c>
      <c r="O51">
        <v>74.989999999999995</v>
      </c>
      <c r="P51">
        <v>-20.555</v>
      </c>
      <c r="Q51">
        <v>-37.760631946357996</v>
      </c>
    </row>
    <row r="52" spans="1:17" x14ac:dyDescent="0.25">
      <c r="A52">
        <v>10051</v>
      </c>
      <c r="B52" s="1">
        <v>45708</v>
      </c>
      <c r="C52">
        <v>3137</v>
      </c>
      <c r="D52" t="s">
        <v>21</v>
      </c>
      <c r="E52" t="s">
        <v>24</v>
      </c>
      <c r="F52" t="s">
        <v>33</v>
      </c>
      <c r="G52" t="s">
        <v>28</v>
      </c>
      <c r="H52">
        <v>7</v>
      </c>
      <c r="I52">
        <v>169.17</v>
      </c>
      <c r="J52">
        <v>5</v>
      </c>
      <c r="K52">
        <v>1184.1899999999901</v>
      </c>
      <c r="L52">
        <v>59.209499999999899</v>
      </c>
      <c r="M52">
        <v>1124.9804999999999</v>
      </c>
      <c r="N52">
        <v>147.07</v>
      </c>
      <c r="O52">
        <v>1029.49</v>
      </c>
      <c r="P52">
        <v>95.490499999999798</v>
      </c>
      <c r="Q52">
        <v>8.4881915730983692</v>
      </c>
    </row>
    <row r="53" spans="1:17" x14ac:dyDescent="0.25">
      <c r="A53">
        <v>10052</v>
      </c>
      <c r="B53" s="1">
        <v>45709</v>
      </c>
      <c r="C53">
        <v>3855</v>
      </c>
      <c r="D53" t="s">
        <v>29</v>
      </c>
      <c r="E53" t="s">
        <v>24</v>
      </c>
      <c r="F53" t="s">
        <v>26</v>
      </c>
      <c r="G53" t="s">
        <v>30</v>
      </c>
      <c r="H53">
        <v>7</v>
      </c>
      <c r="I53">
        <v>235.75</v>
      </c>
      <c r="J53">
        <v>10</v>
      </c>
      <c r="K53">
        <v>1650.25</v>
      </c>
      <c r="L53">
        <v>165.02500000000001</v>
      </c>
      <c r="M53">
        <v>1485.2249999999999</v>
      </c>
      <c r="N53">
        <v>76.66</v>
      </c>
      <c r="O53">
        <v>536.62</v>
      </c>
      <c r="P53">
        <v>948.604999999999</v>
      </c>
      <c r="Q53">
        <v>63.869447390125998</v>
      </c>
    </row>
    <row r="54" spans="1:17" x14ac:dyDescent="0.25">
      <c r="A54">
        <v>10053</v>
      </c>
      <c r="B54" s="1">
        <v>45710</v>
      </c>
      <c r="C54">
        <v>3483</v>
      </c>
      <c r="D54" t="s">
        <v>17</v>
      </c>
      <c r="E54" t="s">
        <v>18</v>
      </c>
      <c r="F54" t="s">
        <v>26</v>
      </c>
      <c r="G54" t="s">
        <v>27</v>
      </c>
      <c r="H54">
        <v>6</v>
      </c>
      <c r="I54">
        <v>104.09</v>
      </c>
      <c r="J54">
        <v>20</v>
      </c>
      <c r="K54">
        <v>624.54</v>
      </c>
      <c r="L54">
        <v>124.908</v>
      </c>
      <c r="M54">
        <v>499.63199999999898</v>
      </c>
      <c r="N54">
        <v>19.649999999999999</v>
      </c>
      <c r="O54">
        <v>117.899999999999</v>
      </c>
      <c r="P54">
        <v>381.731999999999</v>
      </c>
      <c r="Q54">
        <v>76.402632337400306</v>
      </c>
    </row>
    <row r="55" spans="1:17" x14ac:dyDescent="0.25">
      <c r="A55">
        <v>10054</v>
      </c>
      <c r="B55" s="1">
        <v>45711</v>
      </c>
      <c r="C55">
        <v>3195</v>
      </c>
      <c r="D55" t="s">
        <v>23</v>
      </c>
      <c r="E55" t="s">
        <v>24</v>
      </c>
      <c r="F55" t="s">
        <v>19</v>
      </c>
      <c r="G55" t="s">
        <v>30</v>
      </c>
      <c r="H55">
        <v>7</v>
      </c>
      <c r="I55">
        <v>133.44</v>
      </c>
      <c r="J55">
        <v>20</v>
      </c>
      <c r="K55">
        <v>934.07999999999902</v>
      </c>
      <c r="L55">
        <v>186.816</v>
      </c>
      <c r="M55">
        <v>747.26399999999899</v>
      </c>
      <c r="N55">
        <v>11.62</v>
      </c>
      <c r="O55">
        <v>81.339999999999904</v>
      </c>
      <c r="P55">
        <v>665.92399999999895</v>
      </c>
      <c r="Q55">
        <v>89.114958033573103</v>
      </c>
    </row>
    <row r="56" spans="1:17" x14ac:dyDescent="0.25">
      <c r="A56">
        <v>10055</v>
      </c>
      <c r="B56" s="1">
        <v>45712</v>
      </c>
      <c r="C56">
        <v>3072</v>
      </c>
      <c r="D56" t="s">
        <v>17</v>
      </c>
      <c r="E56" t="s">
        <v>24</v>
      </c>
      <c r="F56" t="s">
        <v>26</v>
      </c>
      <c r="G56" t="s">
        <v>31</v>
      </c>
      <c r="H56">
        <v>2</v>
      </c>
      <c r="I56">
        <v>147.02000000000001</v>
      </c>
      <c r="J56">
        <v>15</v>
      </c>
      <c r="K56">
        <v>294.04000000000002</v>
      </c>
      <c r="L56">
        <v>44.106000000000002</v>
      </c>
      <c r="M56">
        <v>249.934</v>
      </c>
      <c r="N56">
        <v>58.49</v>
      </c>
      <c r="O56">
        <v>116.98</v>
      </c>
      <c r="P56">
        <v>132.95400000000001</v>
      </c>
      <c r="Q56">
        <v>53.195643649923497</v>
      </c>
    </row>
    <row r="57" spans="1:17" x14ac:dyDescent="0.25">
      <c r="A57">
        <v>10056</v>
      </c>
      <c r="B57" s="1">
        <v>45713</v>
      </c>
      <c r="C57">
        <v>3851</v>
      </c>
      <c r="D57" t="s">
        <v>23</v>
      </c>
      <c r="E57" t="s">
        <v>24</v>
      </c>
      <c r="F57" t="s">
        <v>19</v>
      </c>
      <c r="G57" t="s">
        <v>28</v>
      </c>
      <c r="H57">
        <v>9</v>
      </c>
      <c r="I57">
        <v>230.04</v>
      </c>
      <c r="J57">
        <v>10</v>
      </c>
      <c r="K57">
        <v>2070.36</v>
      </c>
      <c r="L57">
        <v>207.036</v>
      </c>
      <c r="M57">
        <v>1863.3240000000001</v>
      </c>
      <c r="N57">
        <v>71.16</v>
      </c>
      <c r="O57">
        <v>640.43999999999903</v>
      </c>
      <c r="P57">
        <v>1222.884</v>
      </c>
      <c r="Q57">
        <v>65.629165942154899</v>
      </c>
    </row>
    <row r="58" spans="1:17" x14ac:dyDescent="0.25">
      <c r="A58">
        <v>10057</v>
      </c>
      <c r="B58" s="1">
        <v>45714</v>
      </c>
      <c r="C58">
        <v>3944</v>
      </c>
      <c r="D58" t="s">
        <v>23</v>
      </c>
      <c r="E58" t="s">
        <v>18</v>
      </c>
      <c r="F58" t="s">
        <v>25</v>
      </c>
      <c r="G58" t="s">
        <v>28</v>
      </c>
      <c r="H58">
        <v>6</v>
      </c>
      <c r="I58">
        <v>69.81</v>
      </c>
      <c r="J58">
        <v>5</v>
      </c>
      <c r="K58">
        <v>418.86</v>
      </c>
      <c r="L58">
        <v>20.943000000000001</v>
      </c>
      <c r="M58">
        <v>397.91699999999997</v>
      </c>
      <c r="N58">
        <v>85.66</v>
      </c>
      <c r="O58">
        <v>513.96</v>
      </c>
      <c r="P58">
        <v>-116.04300000000001</v>
      </c>
      <c r="Q58">
        <v>-29.162614314040301</v>
      </c>
    </row>
    <row r="59" spans="1:17" x14ac:dyDescent="0.25">
      <c r="A59">
        <v>10058</v>
      </c>
      <c r="B59" s="1">
        <v>45715</v>
      </c>
      <c r="C59">
        <v>3257</v>
      </c>
      <c r="D59" t="s">
        <v>21</v>
      </c>
      <c r="E59" t="s">
        <v>24</v>
      </c>
      <c r="F59" t="s">
        <v>26</v>
      </c>
      <c r="G59" t="s">
        <v>28</v>
      </c>
      <c r="H59">
        <v>8</v>
      </c>
      <c r="I59">
        <v>183.72</v>
      </c>
      <c r="J59">
        <v>0</v>
      </c>
      <c r="K59">
        <v>1469.76</v>
      </c>
      <c r="L59">
        <v>0</v>
      </c>
      <c r="M59">
        <v>1469.76</v>
      </c>
      <c r="N59">
        <v>15.1</v>
      </c>
      <c r="O59">
        <v>120.8</v>
      </c>
      <c r="P59">
        <v>1348.96</v>
      </c>
      <c r="Q59">
        <v>91.780971042891295</v>
      </c>
    </row>
    <row r="60" spans="1:17" x14ac:dyDescent="0.25">
      <c r="A60">
        <v>10059</v>
      </c>
      <c r="B60" s="1">
        <v>45716</v>
      </c>
      <c r="C60">
        <v>3704</v>
      </c>
      <c r="D60" t="s">
        <v>17</v>
      </c>
      <c r="E60" t="s">
        <v>18</v>
      </c>
      <c r="F60" t="s">
        <v>26</v>
      </c>
      <c r="G60" t="s">
        <v>27</v>
      </c>
      <c r="H60">
        <v>4</v>
      </c>
      <c r="I60">
        <v>84.23</v>
      </c>
      <c r="J60">
        <v>0</v>
      </c>
      <c r="K60">
        <v>336.92</v>
      </c>
      <c r="L60">
        <v>0</v>
      </c>
      <c r="M60">
        <v>336.92</v>
      </c>
      <c r="N60">
        <v>84.81</v>
      </c>
      <c r="O60">
        <v>339.24</v>
      </c>
      <c r="P60">
        <v>-2.3199999999999901</v>
      </c>
      <c r="Q60">
        <v>-0.68859076338596503</v>
      </c>
    </row>
    <row r="61" spans="1:17" x14ac:dyDescent="0.25">
      <c r="A61">
        <v>10060</v>
      </c>
      <c r="B61" s="1">
        <v>45717</v>
      </c>
      <c r="C61">
        <v>3400</v>
      </c>
      <c r="D61" t="s">
        <v>21</v>
      </c>
      <c r="E61" t="s">
        <v>18</v>
      </c>
      <c r="F61" t="s">
        <v>26</v>
      </c>
      <c r="G61" t="s">
        <v>20</v>
      </c>
      <c r="H61">
        <v>6</v>
      </c>
      <c r="I61">
        <v>135.97</v>
      </c>
      <c r="J61">
        <v>15</v>
      </c>
      <c r="K61">
        <v>815.81999999999903</v>
      </c>
      <c r="L61">
        <v>122.372999999999</v>
      </c>
      <c r="M61">
        <v>693.44699999999898</v>
      </c>
      <c r="N61">
        <v>143.99</v>
      </c>
      <c r="O61">
        <v>863.94</v>
      </c>
      <c r="P61">
        <v>-170.49299999999999</v>
      </c>
      <c r="Q61">
        <v>-24.586305802750601</v>
      </c>
    </row>
    <row r="62" spans="1:17" x14ac:dyDescent="0.25">
      <c r="A62">
        <v>10061</v>
      </c>
      <c r="B62" s="1">
        <v>45718</v>
      </c>
      <c r="C62">
        <v>3374</v>
      </c>
      <c r="D62" t="s">
        <v>21</v>
      </c>
      <c r="E62" t="s">
        <v>24</v>
      </c>
      <c r="F62" t="s">
        <v>26</v>
      </c>
      <c r="G62" t="s">
        <v>32</v>
      </c>
      <c r="H62">
        <v>9</v>
      </c>
      <c r="I62">
        <v>171.9</v>
      </c>
      <c r="J62">
        <v>10</v>
      </c>
      <c r="K62">
        <v>1547.1</v>
      </c>
      <c r="L62">
        <v>154.71</v>
      </c>
      <c r="M62">
        <v>1392.39</v>
      </c>
      <c r="N62">
        <v>114</v>
      </c>
      <c r="O62">
        <v>1026</v>
      </c>
      <c r="P62">
        <v>366.39</v>
      </c>
      <c r="Q62">
        <v>26.313748303277102</v>
      </c>
    </row>
    <row r="63" spans="1:17" x14ac:dyDescent="0.25">
      <c r="A63">
        <v>10062</v>
      </c>
      <c r="B63" s="1">
        <v>45719</v>
      </c>
      <c r="C63">
        <v>3927</v>
      </c>
      <c r="D63" t="s">
        <v>17</v>
      </c>
      <c r="E63" t="s">
        <v>18</v>
      </c>
      <c r="F63" t="s">
        <v>33</v>
      </c>
      <c r="G63" t="s">
        <v>28</v>
      </c>
      <c r="H63">
        <v>8</v>
      </c>
      <c r="I63">
        <v>106.78</v>
      </c>
      <c r="J63">
        <v>0</v>
      </c>
      <c r="K63">
        <v>854.24</v>
      </c>
      <c r="L63">
        <v>0</v>
      </c>
      <c r="M63">
        <v>854.24</v>
      </c>
      <c r="N63">
        <v>106.99</v>
      </c>
      <c r="O63">
        <v>855.92</v>
      </c>
      <c r="P63">
        <v>-1.67999999999995</v>
      </c>
      <c r="Q63">
        <v>-0.196666042330018</v>
      </c>
    </row>
    <row r="64" spans="1:17" x14ac:dyDescent="0.25">
      <c r="A64">
        <v>10063</v>
      </c>
      <c r="B64" s="1">
        <v>45720</v>
      </c>
      <c r="C64">
        <v>3349</v>
      </c>
      <c r="D64" t="s">
        <v>23</v>
      </c>
      <c r="E64" t="s">
        <v>18</v>
      </c>
      <c r="F64" t="s">
        <v>25</v>
      </c>
      <c r="G64" t="s">
        <v>31</v>
      </c>
      <c r="H64">
        <v>1</v>
      </c>
      <c r="I64">
        <v>55.42</v>
      </c>
      <c r="J64">
        <v>15</v>
      </c>
      <c r="K64">
        <v>55.42</v>
      </c>
      <c r="L64">
        <v>8.3130000000000006</v>
      </c>
      <c r="M64">
        <v>47.106999999999999</v>
      </c>
      <c r="N64">
        <v>79.709999999999994</v>
      </c>
      <c r="O64">
        <v>79.709999999999994</v>
      </c>
      <c r="P64">
        <v>-32.602999999999902</v>
      </c>
      <c r="Q64">
        <v>-69.2105207294032</v>
      </c>
    </row>
    <row r="65" spans="1:17" x14ac:dyDescent="0.25">
      <c r="A65">
        <v>10064</v>
      </c>
      <c r="B65" s="1">
        <v>45721</v>
      </c>
      <c r="C65">
        <v>3940</v>
      </c>
      <c r="D65" t="s">
        <v>23</v>
      </c>
      <c r="E65" t="s">
        <v>24</v>
      </c>
      <c r="F65" t="s">
        <v>33</v>
      </c>
      <c r="G65" t="s">
        <v>30</v>
      </c>
      <c r="H65">
        <v>6</v>
      </c>
      <c r="I65">
        <v>69.5</v>
      </c>
      <c r="J65">
        <v>0</v>
      </c>
      <c r="K65">
        <v>417</v>
      </c>
      <c r="L65">
        <v>0</v>
      </c>
      <c r="M65">
        <v>417</v>
      </c>
      <c r="N65">
        <v>133.22999999999999</v>
      </c>
      <c r="O65">
        <v>799.37999999999897</v>
      </c>
      <c r="P65">
        <v>-382.37999999999897</v>
      </c>
      <c r="Q65">
        <v>-91.697841726618606</v>
      </c>
    </row>
    <row r="66" spans="1:17" x14ac:dyDescent="0.25">
      <c r="A66">
        <v>10065</v>
      </c>
      <c r="B66" s="1">
        <v>45722</v>
      </c>
      <c r="C66">
        <v>3604</v>
      </c>
      <c r="D66" t="s">
        <v>21</v>
      </c>
      <c r="E66" t="s">
        <v>24</v>
      </c>
      <c r="F66" t="s">
        <v>33</v>
      </c>
      <c r="G66" t="s">
        <v>20</v>
      </c>
      <c r="H66">
        <v>1</v>
      </c>
      <c r="I66">
        <v>170.57</v>
      </c>
      <c r="J66">
        <v>10</v>
      </c>
      <c r="K66">
        <v>170.57</v>
      </c>
      <c r="L66">
        <v>17.056999999999999</v>
      </c>
      <c r="M66">
        <v>153.51300000000001</v>
      </c>
      <c r="N66">
        <v>18.18</v>
      </c>
      <c r="O66">
        <v>18.18</v>
      </c>
      <c r="P66">
        <v>135.333</v>
      </c>
      <c r="Q66">
        <v>88.157354751714806</v>
      </c>
    </row>
    <row r="67" spans="1:17" x14ac:dyDescent="0.25">
      <c r="A67">
        <v>10066</v>
      </c>
      <c r="B67" s="1">
        <v>45723</v>
      </c>
      <c r="C67">
        <v>3764</v>
      </c>
      <c r="D67" t="s">
        <v>23</v>
      </c>
      <c r="E67" t="s">
        <v>24</v>
      </c>
      <c r="F67" t="s">
        <v>25</v>
      </c>
      <c r="G67" t="s">
        <v>28</v>
      </c>
      <c r="H67">
        <v>5</v>
      </c>
      <c r="I67">
        <v>27.83</v>
      </c>
      <c r="J67">
        <v>10</v>
      </c>
      <c r="K67">
        <v>139.14999999999901</v>
      </c>
      <c r="L67">
        <v>13.914999999999999</v>
      </c>
      <c r="M67">
        <v>125.234999999999</v>
      </c>
      <c r="N67">
        <v>117.73</v>
      </c>
      <c r="O67">
        <v>588.65</v>
      </c>
      <c r="P67">
        <v>-463.414999999999</v>
      </c>
      <c r="Q67">
        <v>-370.03633169641</v>
      </c>
    </row>
    <row r="68" spans="1:17" x14ac:dyDescent="0.25">
      <c r="A68">
        <v>10067</v>
      </c>
      <c r="B68" s="1">
        <v>45724</v>
      </c>
      <c r="C68">
        <v>3583</v>
      </c>
      <c r="D68" t="s">
        <v>17</v>
      </c>
      <c r="E68" t="s">
        <v>18</v>
      </c>
      <c r="F68" t="s">
        <v>33</v>
      </c>
      <c r="G68" t="s">
        <v>32</v>
      </c>
      <c r="H68">
        <v>7</v>
      </c>
      <c r="I68">
        <v>39.97</v>
      </c>
      <c r="J68">
        <v>5</v>
      </c>
      <c r="K68">
        <v>279.789999999999</v>
      </c>
      <c r="L68">
        <v>13.9895</v>
      </c>
      <c r="M68">
        <v>265.80049999999898</v>
      </c>
      <c r="N68">
        <v>108.42</v>
      </c>
      <c r="O68">
        <v>758.94</v>
      </c>
      <c r="P68">
        <v>-493.1395</v>
      </c>
      <c r="Q68">
        <v>-185.52993692637901</v>
      </c>
    </row>
    <row r="69" spans="1:17" x14ac:dyDescent="0.25">
      <c r="A69">
        <v>10068</v>
      </c>
      <c r="B69" s="1">
        <v>45725</v>
      </c>
      <c r="C69">
        <v>3279</v>
      </c>
      <c r="D69" t="s">
        <v>21</v>
      </c>
      <c r="E69" t="s">
        <v>24</v>
      </c>
      <c r="F69" t="s">
        <v>26</v>
      </c>
      <c r="G69" t="s">
        <v>32</v>
      </c>
      <c r="H69">
        <v>9</v>
      </c>
      <c r="I69">
        <v>55.79</v>
      </c>
      <c r="J69">
        <v>5</v>
      </c>
      <c r="K69">
        <v>502.11</v>
      </c>
      <c r="L69">
        <v>25.105499999999999</v>
      </c>
      <c r="M69">
        <v>477.00450000000001</v>
      </c>
      <c r="N69">
        <v>59.85</v>
      </c>
      <c r="O69">
        <v>538.65</v>
      </c>
      <c r="P69">
        <v>-61.645499999999899</v>
      </c>
      <c r="Q69">
        <v>-12.923462986198199</v>
      </c>
    </row>
    <row r="70" spans="1:17" x14ac:dyDescent="0.25">
      <c r="A70">
        <v>10069</v>
      </c>
      <c r="B70" s="1">
        <v>45726</v>
      </c>
      <c r="C70">
        <v>3522</v>
      </c>
      <c r="D70" t="s">
        <v>23</v>
      </c>
      <c r="E70" t="s">
        <v>24</v>
      </c>
      <c r="F70" t="s">
        <v>33</v>
      </c>
      <c r="G70" t="s">
        <v>31</v>
      </c>
      <c r="H70">
        <v>2</v>
      </c>
      <c r="I70">
        <v>178.92</v>
      </c>
      <c r="J70">
        <v>10</v>
      </c>
      <c r="K70">
        <v>357.84</v>
      </c>
      <c r="L70">
        <v>35.783999999999999</v>
      </c>
      <c r="M70">
        <v>322.05599999999998</v>
      </c>
      <c r="N70">
        <v>76.13</v>
      </c>
      <c r="O70">
        <v>152.26</v>
      </c>
      <c r="P70">
        <v>169.79599999999999</v>
      </c>
      <c r="Q70">
        <v>52.722507886827103</v>
      </c>
    </row>
    <row r="71" spans="1:17" x14ac:dyDescent="0.25">
      <c r="A71">
        <v>10070</v>
      </c>
      <c r="B71" s="1">
        <v>45727</v>
      </c>
      <c r="C71">
        <v>3745</v>
      </c>
      <c r="D71" t="s">
        <v>21</v>
      </c>
      <c r="E71" t="s">
        <v>18</v>
      </c>
      <c r="F71" t="s">
        <v>33</v>
      </c>
      <c r="G71" t="s">
        <v>27</v>
      </c>
      <c r="H71">
        <v>9</v>
      </c>
      <c r="I71">
        <v>165.76</v>
      </c>
      <c r="J71">
        <v>0</v>
      </c>
      <c r="K71">
        <v>1491.84</v>
      </c>
      <c r="L71">
        <v>0</v>
      </c>
      <c r="M71">
        <v>1491.84</v>
      </c>
      <c r="N71">
        <v>27.04</v>
      </c>
      <c r="O71">
        <v>243.35999999999899</v>
      </c>
      <c r="P71">
        <v>1248.48</v>
      </c>
      <c r="Q71">
        <v>83.687258687258606</v>
      </c>
    </row>
    <row r="72" spans="1:17" x14ac:dyDescent="0.25">
      <c r="A72">
        <v>10071</v>
      </c>
      <c r="B72" s="1">
        <v>45728</v>
      </c>
      <c r="C72">
        <v>3803</v>
      </c>
      <c r="D72" t="s">
        <v>29</v>
      </c>
      <c r="E72" t="s">
        <v>24</v>
      </c>
      <c r="F72" t="s">
        <v>25</v>
      </c>
      <c r="G72" t="s">
        <v>28</v>
      </c>
      <c r="H72">
        <v>6</v>
      </c>
      <c r="I72">
        <v>203.3</v>
      </c>
      <c r="J72">
        <v>15</v>
      </c>
      <c r="K72">
        <v>1219.8</v>
      </c>
      <c r="L72">
        <v>182.97</v>
      </c>
      <c r="M72">
        <v>1036.83</v>
      </c>
      <c r="N72">
        <v>5.9</v>
      </c>
      <c r="O72">
        <v>35.4</v>
      </c>
      <c r="P72">
        <v>1001.43</v>
      </c>
      <c r="Q72">
        <v>96.585746940192706</v>
      </c>
    </row>
    <row r="73" spans="1:17" x14ac:dyDescent="0.25">
      <c r="A73">
        <v>10072</v>
      </c>
      <c r="B73" s="1">
        <v>45729</v>
      </c>
      <c r="C73">
        <v>3448</v>
      </c>
      <c r="D73" t="s">
        <v>21</v>
      </c>
      <c r="E73" t="s">
        <v>18</v>
      </c>
      <c r="F73" t="s">
        <v>26</v>
      </c>
      <c r="G73" t="s">
        <v>22</v>
      </c>
      <c r="H73">
        <v>9</v>
      </c>
      <c r="I73">
        <v>236.67</v>
      </c>
      <c r="J73">
        <v>0</v>
      </c>
      <c r="K73">
        <v>2130.0299999999902</v>
      </c>
      <c r="L73">
        <v>0</v>
      </c>
      <c r="M73">
        <v>2130.0299999999902</v>
      </c>
      <c r="N73">
        <v>53.68</v>
      </c>
      <c r="O73">
        <v>483.12</v>
      </c>
      <c r="P73">
        <v>1646.9099999999901</v>
      </c>
      <c r="Q73">
        <v>77.318629315080003</v>
      </c>
    </row>
    <row r="74" spans="1:17" x14ac:dyDescent="0.25">
      <c r="A74">
        <v>10073</v>
      </c>
      <c r="B74" s="1">
        <v>45730</v>
      </c>
      <c r="C74">
        <v>3317</v>
      </c>
      <c r="D74" t="s">
        <v>21</v>
      </c>
      <c r="E74" t="s">
        <v>24</v>
      </c>
      <c r="F74" t="s">
        <v>19</v>
      </c>
      <c r="G74" t="s">
        <v>27</v>
      </c>
      <c r="H74">
        <v>2</v>
      </c>
      <c r="I74">
        <v>158.13999999999999</v>
      </c>
      <c r="J74">
        <v>10</v>
      </c>
      <c r="K74">
        <v>316.27999999999997</v>
      </c>
      <c r="L74">
        <v>31.628</v>
      </c>
      <c r="M74">
        <v>284.65199999999999</v>
      </c>
      <c r="N74">
        <v>54.02</v>
      </c>
      <c r="O74">
        <v>108.04</v>
      </c>
      <c r="P74">
        <v>176.611999999999</v>
      </c>
      <c r="Q74">
        <v>62.044882874527403</v>
      </c>
    </row>
    <row r="75" spans="1:17" x14ac:dyDescent="0.25">
      <c r="A75">
        <v>10074</v>
      </c>
      <c r="B75" s="1">
        <v>45731</v>
      </c>
      <c r="C75">
        <v>3391</v>
      </c>
      <c r="D75" t="s">
        <v>21</v>
      </c>
      <c r="E75" t="s">
        <v>18</v>
      </c>
      <c r="F75" t="s">
        <v>26</v>
      </c>
      <c r="G75" t="s">
        <v>32</v>
      </c>
      <c r="H75">
        <v>3</v>
      </c>
      <c r="I75">
        <v>201.41</v>
      </c>
      <c r="J75">
        <v>10</v>
      </c>
      <c r="K75">
        <v>604.23</v>
      </c>
      <c r="L75">
        <v>60.423000000000002</v>
      </c>
      <c r="M75">
        <v>543.80700000000002</v>
      </c>
      <c r="N75">
        <v>80.48</v>
      </c>
      <c r="O75">
        <v>241.44</v>
      </c>
      <c r="P75">
        <v>302.36700000000002</v>
      </c>
      <c r="Q75">
        <v>55.6018955254345</v>
      </c>
    </row>
    <row r="76" spans="1:17" x14ac:dyDescent="0.25">
      <c r="A76">
        <v>10075</v>
      </c>
      <c r="B76" s="1">
        <v>45732</v>
      </c>
      <c r="C76">
        <v>3151</v>
      </c>
      <c r="D76" t="s">
        <v>29</v>
      </c>
      <c r="E76" t="s">
        <v>18</v>
      </c>
      <c r="F76" t="s">
        <v>25</v>
      </c>
      <c r="G76" t="s">
        <v>20</v>
      </c>
      <c r="H76">
        <v>2</v>
      </c>
      <c r="I76">
        <v>208.14</v>
      </c>
      <c r="J76">
        <v>15</v>
      </c>
      <c r="K76">
        <v>416.28</v>
      </c>
      <c r="L76">
        <v>62.441999999999901</v>
      </c>
      <c r="M76">
        <v>353.837999999999</v>
      </c>
      <c r="N76">
        <v>55.15</v>
      </c>
      <c r="O76">
        <v>110.3</v>
      </c>
      <c r="P76">
        <v>243.53799999999899</v>
      </c>
      <c r="Q76">
        <v>68.827542547719503</v>
      </c>
    </row>
    <row r="77" spans="1:17" x14ac:dyDescent="0.25">
      <c r="A77">
        <v>10076</v>
      </c>
      <c r="B77" s="1">
        <v>45733</v>
      </c>
      <c r="C77">
        <v>3092</v>
      </c>
      <c r="D77" t="s">
        <v>17</v>
      </c>
      <c r="E77" t="s">
        <v>18</v>
      </c>
      <c r="F77" t="s">
        <v>25</v>
      </c>
      <c r="G77" t="s">
        <v>30</v>
      </c>
      <c r="H77">
        <v>4</v>
      </c>
      <c r="I77">
        <v>145.72</v>
      </c>
      <c r="J77">
        <v>20</v>
      </c>
      <c r="K77">
        <v>582.88</v>
      </c>
      <c r="L77">
        <v>116.57599999999999</v>
      </c>
      <c r="M77">
        <v>466.30399999999997</v>
      </c>
      <c r="N77">
        <v>133.94999999999999</v>
      </c>
      <c r="O77">
        <v>535.79999999999995</v>
      </c>
      <c r="P77">
        <v>-69.495999999999896</v>
      </c>
      <c r="Q77">
        <v>-14.903582212462201</v>
      </c>
    </row>
    <row r="78" spans="1:17" x14ac:dyDescent="0.25">
      <c r="A78">
        <v>10077</v>
      </c>
      <c r="B78" s="1">
        <v>45734</v>
      </c>
      <c r="C78">
        <v>3759</v>
      </c>
      <c r="D78" t="s">
        <v>21</v>
      </c>
      <c r="E78" t="s">
        <v>24</v>
      </c>
      <c r="F78" t="s">
        <v>26</v>
      </c>
      <c r="G78" t="s">
        <v>20</v>
      </c>
      <c r="H78">
        <v>8</v>
      </c>
      <c r="I78">
        <v>103.05</v>
      </c>
      <c r="J78">
        <v>20</v>
      </c>
      <c r="K78">
        <v>824.4</v>
      </c>
      <c r="L78">
        <v>164.88</v>
      </c>
      <c r="M78">
        <v>659.52</v>
      </c>
      <c r="N78">
        <v>25.93</v>
      </c>
      <c r="O78">
        <v>207.44</v>
      </c>
      <c r="P78">
        <v>452.08</v>
      </c>
      <c r="Q78">
        <v>68.546821931101405</v>
      </c>
    </row>
    <row r="79" spans="1:17" x14ac:dyDescent="0.25">
      <c r="A79">
        <v>10078</v>
      </c>
      <c r="B79" s="1">
        <v>45735</v>
      </c>
      <c r="C79">
        <v>3224</v>
      </c>
      <c r="D79" t="s">
        <v>21</v>
      </c>
      <c r="E79" t="s">
        <v>24</v>
      </c>
      <c r="F79" t="s">
        <v>19</v>
      </c>
      <c r="G79" t="s">
        <v>31</v>
      </c>
      <c r="H79">
        <v>4</v>
      </c>
      <c r="I79">
        <v>205.71</v>
      </c>
      <c r="J79">
        <v>5</v>
      </c>
      <c r="K79">
        <v>822.84</v>
      </c>
      <c r="L79">
        <v>41.142000000000003</v>
      </c>
      <c r="M79">
        <v>781.69799999999998</v>
      </c>
      <c r="N79">
        <v>124.47</v>
      </c>
      <c r="O79">
        <v>497.88</v>
      </c>
      <c r="P79">
        <v>283.81799999999998</v>
      </c>
      <c r="Q79">
        <v>36.307883607224198</v>
      </c>
    </row>
    <row r="80" spans="1:17" x14ac:dyDescent="0.25">
      <c r="A80">
        <v>10079</v>
      </c>
      <c r="B80" s="1">
        <v>45736</v>
      </c>
      <c r="C80">
        <v>3661</v>
      </c>
      <c r="D80" t="s">
        <v>29</v>
      </c>
      <c r="E80" t="s">
        <v>24</v>
      </c>
      <c r="F80" t="s">
        <v>33</v>
      </c>
      <c r="G80" t="s">
        <v>22</v>
      </c>
      <c r="H80">
        <v>5</v>
      </c>
      <c r="I80">
        <v>93.31</v>
      </c>
      <c r="J80">
        <v>0</v>
      </c>
      <c r="K80">
        <v>466.55</v>
      </c>
      <c r="L80">
        <v>0</v>
      </c>
      <c r="M80">
        <v>466.55</v>
      </c>
      <c r="N80">
        <v>83.93</v>
      </c>
      <c r="O80">
        <v>419.65</v>
      </c>
      <c r="P80">
        <v>46.899999999999899</v>
      </c>
      <c r="Q80">
        <v>10.052513128281999</v>
      </c>
    </row>
    <row r="81" spans="1:17" x14ac:dyDescent="0.25">
      <c r="A81">
        <v>10080</v>
      </c>
      <c r="B81" s="1">
        <v>45737</v>
      </c>
      <c r="C81">
        <v>3356</v>
      </c>
      <c r="D81" t="s">
        <v>29</v>
      </c>
      <c r="E81" t="s">
        <v>18</v>
      </c>
      <c r="F81" t="s">
        <v>33</v>
      </c>
      <c r="G81" t="s">
        <v>27</v>
      </c>
      <c r="H81">
        <v>9</v>
      </c>
      <c r="I81">
        <v>159.57</v>
      </c>
      <c r="J81">
        <v>5</v>
      </c>
      <c r="K81">
        <v>1436.1299999999901</v>
      </c>
      <c r="L81">
        <v>71.8065</v>
      </c>
      <c r="M81">
        <v>1364.3235</v>
      </c>
      <c r="N81">
        <v>37.08</v>
      </c>
      <c r="O81">
        <v>333.719999999999</v>
      </c>
      <c r="P81">
        <v>1030.6034999999999</v>
      </c>
      <c r="Q81">
        <v>75.539525633033506</v>
      </c>
    </row>
    <row r="82" spans="1:17" x14ac:dyDescent="0.25">
      <c r="A82">
        <v>10081</v>
      </c>
      <c r="B82" s="1">
        <v>45738</v>
      </c>
      <c r="C82">
        <v>3931</v>
      </c>
      <c r="D82" t="s">
        <v>17</v>
      </c>
      <c r="E82" t="s">
        <v>24</v>
      </c>
      <c r="F82" t="s">
        <v>26</v>
      </c>
      <c r="G82" t="s">
        <v>28</v>
      </c>
      <c r="H82">
        <v>9</v>
      </c>
      <c r="I82">
        <v>113.49</v>
      </c>
      <c r="J82">
        <v>20</v>
      </c>
      <c r="K82">
        <v>1021.41</v>
      </c>
      <c r="L82">
        <v>204.28200000000001</v>
      </c>
      <c r="M82">
        <v>817.12799999999902</v>
      </c>
      <c r="N82">
        <v>132.03</v>
      </c>
      <c r="O82">
        <v>1188.27</v>
      </c>
      <c r="P82">
        <v>-371.142</v>
      </c>
      <c r="Q82">
        <v>-45.420301348136398</v>
      </c>
    </row>
    <row r="83" spans="1:17" x14ac:dyDescent="0.25">
      <c r="A83">
        <v>10082</v>
      </c>
      <c r="B83" s="1">
        <v>45739</v>
      </c>
      <c r="C83">
        <v>3481</v>
      </c>
      <c r="D83" t="s">
        <v>21</v>
      </c>
      <c r="E83" t="s">
        <v>18</v>
      </c>
      <c r="F83" t="s">
        <v>33</v>
      </c>
      <c r="G83" t="s">
        <v>30</v>
      </c>
      <c r="H83">
        <v>6</v>
      </c>
      <c r="I83">
        <v>39</v>
      </c>
      <c r="J83">
        <v>0</v>
      </c>
      <c r="K83">
        <v>234</v>
      </c>
      <c r="L83">
        <v>0</v>
      </c>
      <c r="M83">
        <v>234</v>
      </c>
      <c r="N83">
        <v>85.2</v>
      </c>
      <c r="O83">
        <v>511.2</v>
      </c>
      <c r="P83">
        <v>-277.2</v>
      </c>
      <c r="Q83">
        <v>-118.461538461538</v>
      </c>
    </row>
    <row r="84" spans="1:17" x14ac:dyDescent="0.25">
      <c r="A84">
        <v>10083</v>
      </c>
      <c r="B84" s="1">
        <v>45740</v>
      </c>
      <c r="C84">
        <v>3579</v>
      </c>
      <c r="D84" t="s">
        <v>29</v>
      </c>
      <c r="E84" t="s">
        <v>24</v>
      </c>
      <c r="F84" t="s">
        <v>26</v>
      </c>
      <c r="G84" t="s">
        <v>31</v>
      </c>
      <c r="H84">
        <v>3</v>
      </c>
      <c r="I84">
        <v>34.11</v>
      </c>
      <c r="J84">
        <v>10</v>
      </c>
      <c r="K84">
        <v>102.33</v>
      </c>
      <c r="L84">
        <v>10.233000000000001</v>
      </c>
      <c r="M84">
        <v>92.096999999999994</v>
      </c>
      <c r="N84">
        <v>19.010000000000002</v>
      </c>
      <c r="O84">
        <v>57.03</v>
      </c>
      <c r="P84">
        <v>35.066999999999901</v>
      </c>
      <c r="Q84">
        <v>38.076158832535199</v>
      </c>
    </row>
    <row r="85" spans="1:17" x14ac:dyDescent="0.25">
      <c r="A85">
        <v>10084</v>
      </c>
      <c r="B85" s="1">
        <v>45741</v>
      </c>
      <c r="C85">
        <v>3891</v>
      </c>
      <c r="D85" t="s">
        <v>21</v>
      </c>
      <c r="E85" t="s">
        <v>24</v>
      </c>
      <c r="F85" t="s">
        <v>26</v>
      </c>
      <c r="G85" t="s">
        <v>20</v>
      </c>
      <c r="H85">
        <v>4</v>
      </c>
      <c r="I85">
        <v>35.19</v>
      </c>
      <c r="J85">
        <v>5</v>
      </c>
      <c r="K85">
        <v>140.76</v>
      </c>
      <c r="L85">
        <v>7.0380000000000003</v>
      </c>
      <c r="M85">
        <v>133.72199999999901</v>
      </c>
      <c r="N85">
        <v>130.66</v>
      </c>
      <c r="O85">
        <v>522.64</v>
      </c>
      <c r="P85">
        <v>-388.91800000000001</v>
      </c>
      <c r="Q85">
        <v>-290.84069936136098</v>
      </c>
    </row>
    <row r="86" spans="1:17" x14ac:dyDescent="0.25">
      <c r="A86">
        <v>10085</v>
      </c>
      <c r="B86" s="1">
        <v>45742</v>
      </c>
      <c r="C86">
        <v>3219</v>
      </c>
      <c r="D86" t="s">
        <v>23</v>
      </c>
      <c r="E86" t="s">
        <v>24</v>
      </c>
      <c r="F86" t="s">
        <v>25</v>
      </c>
      <c r="G86" t="s">
        <v>31</v>
      </c>
      <c r="H86">
        <v>3</v>
      </c>
      <c r="I86">
        <v>66.459999999999994</v>
      </c>
      <c r="J86">
        <v>20</v>
      </c>
      <c r="K86">
        <v>199.38</v>
      </c>
      <c r="L86">
        <v>39.875999999999998</v>
      </c>
      <c r="M86">
        <v>159.50399999999999</v>
      </c>
      <c r="N86">
        <v>44.51</v>
      </c>
      <c r="O86">
        <v>133.53</v>
      </c>
      <c r="P86">
        <v>25.973999999999901</v>
      </c>
      <c r="Q86">
        <v>16.284231116461001</v>
      </c>
    </row>
    <row r="87" spans="1:17" x14ac:dyDescent="0.25">
      <c r="A87">
        <v>10086</v>
      </c>
      <c r="B87" s="1">
        <v>45743</v>
      </c>
      <c r="C87">
        <v>3481</v>
      </c>
      <c r="D87" t="s">
        <v>23</v>
      </c>
      <c r="E87" t="s">
        <v>18</v>
      </c>
      <c r="F87" t="s">
        <v>33</v>
      </c>
      <c r="G87" t="s">
        <v>30</v>
      </c>
      <c r="H87">
        <v>1</v>
      </c>
      <c r="I87">
        <v>26.83</v>
      </c>
      <c r="J87">
        <v>0</v>
      </c>
      <c r="K87">
        <v>26.83</v>
      </c>
      <c r="L87">
        <v>0</v>
      </c>
      <c r="M87">
        <v>26.83</v>
      </c>
      <c r="N87">
        <v>87.88</v>
      </c>
      <c r="O87">
        <v>87.88</v>
      </c>
      <c r="P87">
        <v>-61.05</v>
      </c>
      <c r="Q87">
        <v>-227.54379426015601</v>
      </c>
    </row>
    <row r="88" spans="1:17" x14ac:dyDescent="0.25">
      <c r="A88">
        <v>10087</v>
      </c>
      <c r="B88" s="1">
        <v>45744</v>
      </c>
      <c r="C88">
        <v>3019</v>
      </c>
      <c r="D88" t="s">
        <v>23</v>
      </c>
      <c r="E88" t="s">
        <v>24</v>
      </c>
      <c r="F88" t="s">
        <v>33</v>
      </c>
      <c r="G88" t="s">
        <v>27</v>
      </c>
      <c r="H88">
        <v>8</v>
      </c>
      <c r="I88">
        <v>180.66</v>
      </c>
      <c r="J88">
        <v>10</v>
      </c>
      <c r="K88">
        <v>1445.28</v>
      </c>
      <c r="L88">
        <v>144.52799999999999</v>
      </c>
      <c r="M88">
        <v>1300.752</v>
      </c>
      <c r="N88">
        <v>103.44</v>
      </c>
      <c r="O88">
        <v>827.52</v>
      </c>
      <c r="P88">
        <v>473.231999999999</v>
      </c>
      <c r="Q88">
        <v>36.3814162884239</v>
      </c>
    </row>
    <row r="89" spans="1:17" x14ac:dyDescent="0.25">
      <c r="A89">
        <v>10088</v>
      </c>
      <c r="B89" s="1">
        <v>45745</v>
      </c>
      <c r="C89">
        <v>3923</v>
      </c>
      <c r="D89" t="s">
        <v>23</v>
      </c>
      <c r="E89" t="s">
        <v>18</v>
      </c>
      <c r="F89" t="s">
        <v>25</v>
      </c>
      <c r="G89" t="s">
        <v>31</v>
      </c>
      <c r="H89">
        <v>4</v>
      </c>
      <c r="I89">
        <v>80.98</v>
      </c>
      <c r="J89">
        <v>0</v>
      </c>
      <c r="K89">
        <v>323.92</v>
      </c>
      <c r="L89">
        <v>0</v>
      </c>
      <c r="M89">
        <v>323.92</v>
      </c>
      <c r="N89">
        <v>112.88</v>
      </c>
      <c r="O89">
        <v>451.52</v>
      </c>
      <c r="P89">
        <v>-127.599999999999</v>
      </c>
      <c r="Q89">
        <v>-39.392442578414403</v>
      </c>
    </row>
    <row r="90" spans="1:17" x14ac:dyDescent="0.25">
      <c r="A90">
        <v>10089</v>
      </c>
      <c r="B90" s="1">
        <v>45746</v>
      </c>
      <c r="C90">
        <v>3516</v>
      </c>
      <c r="D90" t="s">
        <v>21</v>
      </c>
      <c r="E90" t="s">
        <v>18</v>
      </c>
      <c r="F90" t="s">
        <v>33</v>
      </c>
      <c r="G90" t="s">
        <v>22</v>
      </c>
      <c r="H90">
        <v>5</v>
      </c>
      <c r="I90">
        <v>173.7</v>
      </c>
      <c r="J90">
        <v>0</v>
      </c>
      <c r="K90">
        <v>868.5</v>
      </c>
      <c r="L90">
        <v>0</v>
      </c>
      <c r="M90">
        <v>868.5</v>
      </c>
      <c r="N90">
        <v>108.9</v>
      </c>
      <c r="O90">
        <v>544.5</v>
      </c>
      <c r="P90">
        <v>324</v>
      </c>
      <c r="Q90">
        <v>37.305699481865197</v>
      </c>
    </row>
    <row r="91" spans="1:17" x14ac:dyDescent="0.25">
      <c r="A91">
        <v>10090</v>
      </c>
      <c r="B91" s="1">
        <v>45747</v>
      </c>
      <c r="C91">
        <v>3787</v>
      </c>
      <c r="D91" t="s">
        <v>23</v>
      </c>
      <c r="E91" t="s">
        <v>24</v>
      </c>
      <c r="F91" t="s">
        <v>26</v>
      </c>
      <c r="G91" t="s">
        <v>20</v>
      </c>
      <c r="H91">
        <v>4</v>
      </c>
      <c r="I91">
        <v>180.1</v>
      </c>
      <c r="J91">
        <v>15</v>
      </c>
      <c r="K91">
        <v>720.4</v>
      </c>
      <c r="L91">
        <v>108.05999999999899</v>
      </c>
      <c r="M91">
        <v>612.34</v>
      </c>
      <c r="N91">
        <v>125.58</v>
      </c>
      <c r="O91">
        <v>502.32</v>
      </c>
      <c r="P91">
        <v>110.02</v>
      </c>
      <c r="Q91">
        <v>17.967142437208</v>
      </c>
    </row>
    <row r="92" spans="1:17" x14ac:dyDescent="0.25">
      <c r="A92">
        <v>10091</v>
      </c>
      <c r="B92" s="1">
        <v>45748</v>
      </c>
      <c r="C92">
        <v>3033</v>
      </c>
      <c r="D92" t="s">
        <v>21</v>
      </c>
      <c r="E92" t="s">
        <v>24</v>
      </c>
      <c r="F92" t="s">
        <v>33</v>
      </c>
      <c r="G92" t="s">
        <v>28</v>
      </c>
      <c r="H92">
        <v>7</v>
      </c>
      <c r="I92">
        <v>174.32</v>
      </c>
      <c r="J92">
        <v>5</v>
      </c>
      <c r="K92">
        <v>1220.24</v>
      </c>
      <c r="L92">
        <v>61.012</v>
      </c>
      <c r="M92">
        <v>1159.2280000000001</v>
      </c>
      <c r="N92">
        <v>116.72</v>
      </c>
      <c r="O92">
        <v>817.04</v>
      </c>
      <c r="P92">
        <v>342.18799999999999</v>
      </c>
      <c r="Q92">
        <v>29.518610661578201</v>
      </c>
    </row>
    <row r="93" spans="1:17" x14ac:dyDescent="0.25">
      <c r="A93">
        <v>10092</v>
      </c>
      <c r="B93" s="1">
        <v>45749</v>
      </c>
      <c r="C93">
        <v>3123</v>
      </c>
      <c r="D93" t="s">
        <v>17</v>
      </c>
      <c r="E93" t="s">
        <v>18</v>
      </c>
      <c r="F93" t="s">
        <v>33</v>
      </c>
      <c r="G93" t="s">
        <v>32</v>
      </c>
      <c r="H93">
        <v>8</v>
      </c>
      <c r="I93">
        <v>195.37</v>
      </c>
      <c r="J93">
        <v>0</v>
      </c>
      <c r="K93">
        <v>1562.96</v>
      </c>
      <c r="L93">
        <v>0</v>
      </c>
      <c r="M93">
        <v>1562.96</v>
      </c>
      <c r="N93">
        <v>32.36</v>
      </c>
      <c r="O93">
        <v>258.88</v>
      </c>
      <c r="P93">
        <v>1304.08</v>
      </c>
      <c r="Q93">
        <v>83.436556277831798</v>
      </c>
    </row>
    <row r="94" spans="1:17" x14ac:dyDescent="0.25">
      <c r="A94">
        <v>10093</v>
      </c>
      <c r="B94" s="1">
        <v>45750</v>
      </c>
      <c r="C94">
        <v>3286</v>
      </c>
      <c r="D94" t="s">
        <v>21</v>
      </c>
      <c r="E94" t="s">
        <v>24</v>
      </c>
      <c r="F94" t="s">
        <v>26</v>
      </c>
      <c r="G94" t="s">
        <v>28</v>
      </c>
      <c r="H94">
        <v>1</v>
      </c>
      <c r="I94">
        <v>134.16</v>
      </c>
      <c r="J94">
        <v>0</v>
      </c>
      <c r="K94">
        <v>134.16</v>
      </c>
      <c r="L94">
        <v>0</v>
      </c>
      <c r="M94">
        <v>134.16</v>
      </c>
      <c r="N94">
        <v>85.78</v>
      </c>
      <c r="O94">
        <v>85.78</v>
      </c>
      <c r="P94">
        <v>48.379999999999903</v>
      </c>
      <c r="Q94">
        <v>36.061419200953999</v>
      </c>
    </row>
    <row r="95" spans="1:17" x14ac:dyDescent="0.25">
      <c r="A95">
        <v>10094</v>
      </c>
      <c r="B95" s="1">
        <v>45751</v>
      </c>
      <c r="C95">
        <v>3697</v>
      </c>
      <c r="D95" t="s">
        <v>29</v>
      </c>
      <c r="E95" t="s">
        <v>24</v>
      </c>
      <c r="F95" t="s">
        <v>33</v>
      </c>
      <c r="G95" t="s">
        <v>32</v>
      </c>
      <c r="H95">
        <v>1</v>
      </c>
      <c r="I95">
        <v>178.48</v>
      </c>
      <c r="J95">
        <v>15</v>
      </c>
      <c r="K95">
        <v>178.48</v>
      </c>
      <c r="L95">
        <v>26.771999999999998</v>
      </c>
      <c r="M95">
        <v>151.708</v>
      </c>
      <c r="N95">
        <v>76.59</v>
      </c>
      <c r="O95">
        <v>76.59</v>
      </c>
      <c r="P95">
        <v>75.117999999999995</v>
      </c>
      <c r="Q95">
        <v>49.514857489387502</v>
      </c>
    </row>
    <row r="96" spans="1:17" x14ac:dyDescent="0.25">
      <c r="A96">
        <v>10095</v>
      </c>
      <c r="B96" s="1">
        <v>45752</v>
      </c>
      <c r="C96">
        <v>3741</v>
      </c>
      <c r="D96" t="s">
        <v>23</v>
      </c>
      <c r="E96" t="s">
        <v>24</v>
      </c>
      <c r="F96" t="s">
        <v>19</v>
      </c>
      <c r="G96" t="s">
        <v>32</v>
      </c>
      <c r="H96">
        <v>7</v>
      </c>
      <c r="I96">
        <v>220.63</v>
      </c>
      <c r="J96">
        <v>20</v>
      </c>
      <c r="K96">
        <v>1544.4099999999901</v>
      </c>
      <c r="L96">
        <v>308.88200000000001</v>
      </c>
      <c r="M96">
        <v>1235.52799999999</v>
      </c>
      <c r="N96">
        <v>24.32</v>
      </c>
      <c r="O96">
        <v>170.24</v>
      </c>
      <c r="P96">
        <v>1065.28799999999</v>
      </c>
      <c r="Q96">
        <v>86.221275438516898</v>
      </c>
    </row>
    <row r="97" spans="1:17" x14ac:dyDescent="0.25">
      <c r="A97">
        <v>10096</v>
      </c>
      <c r="B97" s="1">
        <v>45753</v>
      </c>
      <c r="C97">
        <v>3841</v>
      </c>
      <c r="D97" t="s">
        <v>21</v>
      </c>
      <c r="E97" t="s">
        <v>24</v>
      </c>
      <c r="F97" t="s">
        <v>25</v>
      </c>
      <c r="G97" t="s">
        <v>20</v>
      </c>
      <c r="H97">
        <v>3</v>
      </c>
      <c r="I97">
        <v>36.07</v>
      </c>
      <c r="J97">
        <v>15</v>
      </c>
      <c r="K97">
        <v>108.21</v>
      </c>
      <c r="L97">
        <v>16.2315</v>
      </c>
      <c r="M97">
        <v>91.978499999999997</v>
      </c>
      <c r="N97">
        <v>67.83</v>
      </c>
      <c r="O97">
        <v>203.49</v>
      </c>
      <c r="P97">
        <v>-111.5115</v>
      </c>
      <c r="Q97">
        <v>-121.23648461325099</v>
      </c>
    </row>
    <row r="98" spans="1:17" x14ac:dyDescent="0.25">
      <c r="A98">
        <v>10097</v>
      </c>
      <c r="B98" s="1">
        <v>45754</v>
      </c>
      <c r="C98">
        <v>3989</v>
      </c>
      <c r="D98" t="s">
        <v>21</v>
      </c>
      <c r="E98" t="s">
        <v>18</v>
      </c>
      <c r="F98" t="s">
        <v>25</v>
      </c>
      <c r="G98" t="s">
        <v>27</v>
      </c>
      <c r="H98">
        <v>3</v>
      </c>
      <c r="I98">
        <v>76.55</v>
      </c>
      <c r="J98">
        <v>20</v>
      </c>
      <c r="K98">
        <v>229.64999999999901</v>
      </c>
      <c r="L98">
        <v>45.93</v>
      </c>
      <c r="M98">
        <v>183.719999999999</v>
      </c>
      <c r="N98">
        <v>117.62</v>
      </c>
      <c r="O98">
        <v>352.86</v>
      </c>
      <c r="P98">
        <v>-169.14</v>
      </c>
      <c r="Q98">
        <v>-92.064010450685799</v>
      </c>
    </row>
    <row r="99" spans="1:17" x14ac:dyDescent="0.25">
      <c r="A99">
        <v>10098</v>
      </c>
      <c r="B99" s="1">
        <v>45755</v>
      </c>
      <c r="C99">
        <v>3977</v>
      </c>
      <c r="D99" t="s">
        <v>23</v>
      </c>
      <c r="E99" t="s">
        <v>24</v>
      </c>
      <c r="F99" t="s">
        <v>25</v>
      </c>
      <c r="G99" t="s">
        <v>20</v>
      </c>
      <c r="H99">
        <v>2</v>
      </c>
      <c r="I99">
        <v>153.44</v>
      </c>
      <c r="J99">
        <v>10</v>
      </c>
      <c r="K99">
        <v>306.88</v>
      </c>
      <c r="L99">
        <v>30.687999999999999</v>
      </c>
      <c r="M99">
        <v>276.19200000000001</v>
      </c>
      <c r="N99">
        <v>69.459999999999994</v>
      </c>
      <c r="O99">
        <v>138.91999999999999</v>
      </c>
      <c r="P99">
        <v>137.27199999999999</v>
      </c>
      <c r="Q99">
        <v>49.701656818445102</v>
      </c>
    </row>
    <row r="100" spans="1:17" x14ac:dyDescent="0.25">
      <c r="A100">
        <v>10099</v>
      </c>
      <c r="B100" s="1">
        <v>45756</v>
      </c>
      <c r="C100">
        <v>3895</v>
      </c>
      <c r="D100" t="s">
        <v>17</v>
      </c>
      <c r="E100" t="s">
        <v>18</v>
      </c>
      <c r="F100" t="s">
        <v>19</v>
      </c>
      <c r="G100" t="s">
        <v>27</v>
      </c>
      <c r="H100">
        <v>4</v>
      </c>
      <c r="I100">
        <v>233.97</v>
      </c>
      <c r="J100">
        <v>10</v>
      </c>
      <c r="K100">
        <v>935.88</v>
      </c>
      <c r="L100">
        <v>93.587999999999994</v>
      </c>
      <c r="M100">
        <v>842.29200000000003</v>
      </c>
      <c r="N100">
        <v>61.86</v>
      </c>
      <c r="O100">
        <v>247.44</v>
      </c>
      <c r="P100">
        <v>594.85199999999998</v>
      </c>
      <c r="Q100">
        <v>70.623014346568596</v>
      </c>
    </row>
    <row r="101" spans="1:17" x14ac:dyDescent="0.25">
      <c r="A101">
        <v>10100</v>
      </c>
      <c r="B101" s="1">
        <v>45757</v>
      </c>
      <c r="C101">
        <v>3415</v>
      </c>
      <c r="D101" t="s">
        <v>17</v>
      </c>
      <c r="E101" t="s">
        <v>18</v>
      </c>
      <c r="F101" t="s">
        <v>19</v>
      </c>
      <c r="G101" t="s">
        <v>20</v>
      </c>
      <c r="H101">
        <v>4</v>
      </c>
      <c r="I101">
        <v>45.06</v>
      </c>
      <c r="J101">
        <v>5</v>
      </c>
      <c r="K101">
        <v>180.24</v>
      </c>
      <c r="L101">
        <v>9.0120000000000005</v>
      </c>
      <c r="M101">
        <v>171.22800000000001</v>
      </c>
      <c r="N101">
        <v>74.069999999999993</v>
      </c>
      <c r="O101">
        <v>296.27999999999997</v>
      </c>
      <c r="P101">
        <v>-125.051999999999</v>
      </c>
      <c r="Q101">
        <v>-73.032447964117907</v>
      </c>
    </row>
    <row r="102" spans="1:17" x14ac:dyDescent="0.25">
      <c r="A102">
        <v>10101</v>
      </c>
      <c r="B102" s="1">
        <v>45758</v>
      </c>
      <c r="C102">
        <v>3130</v>
      </c>
      <c r="D102" t="s">
        <v>23</v>
      </c>
      <c r="E102" t="s">
        <v>18</v>
      </c>
      <c r="F102" t="s">
        <v>33</v>
      </c>
      <c r="G102" t="s">
        <v>31</v>
      </c>
      <c r="H102">
        <v>2</v>
      </c>
      <c r="I102">
        <v>102.24</v>
      </c>
      <c r="J102">
        <v>15</v>
      </c>
      <c r="K102">
        <v>204.48</v>
      </c>
      <c r="L102">
        <v>30.671999999999901</v>
      </c>
      <c r="M102">
        <v>173.80799999999999</v>
      </c>
      <c r="N102">
        <v>86.92</v>
      </c>
      <c r="O102">
        <v>173.84</v>
      </c>
      <c r="P102">
        <v>-3.2000000000010603E-2</v>
      </c>
      <c r="Q102">
        <v>-1.8411120316677399E-2</v>
      </c>
    </row>
    <row r="103" spans="1:17" x14ac:dyDescent="0.25">
      <c r="A103">
        <v>10102</v>
      </c>
      <c r="B103" s="1">
        <v>45759</v>
      </c>
      <c r="C103">
        <v>3083</v>
      </c>
      <c r="D103" t="s">
        <v>21</v>
      </c>
      <c r="E103" t="s">
        <v>24</v>
      </c>
      <c r="F103" t="s">
        <v>33</v>
      </c>
      <c r="G103" t="s">
        <v>20</v>
      </c>
      <c r="H103">
        <v>2</v>
      </c>
      <c r="I103">
        <v>26.6</v>
      </c>
      <c r="J103">
        <v>20</v>
      </c>
      <c r="K103">
        <v>53.2</v>
      </c>
      <c r="L103">
        <v>10.64</v>
      </c>
      <c r="M103">
        <v>42.56</v>
      </c>
      <c r="N103">
        <v>115.91</v>
      </c>
      <c r="O103">
        <v>231.82</v>
      </c>
      <c r="P103">
        <v>-189.26</v>
      </c>
      <c r="Q103">
        <v>-444.68984962406</v>
      </c>
    </row>
    <row r="104" spans="1:17" x14ac:dyDescent="0.25">
      <c r="A104">
        <v>10103</v>
      </c>
      <c r="B104" s="1">
        <v>45760</v>
      </c>
      <c r="C104">
        <v>3946</v>
      </c>
      <c r="D104" t="s">
        <v>29</v>
      </c>
      <c r="E104" t="s">
        <v>24</v>
      </c>
      <c r="F104" t="s">
        <v>33</v>
      </c>
      <c r="G104" t="s">
        <v>20</v>
      </c>
      <c r="H104">
        <v>3</v>
      </c>
      <c r="I104">
        <v>234.16</v>
      </c>
      <c r="J104">
        <v>0</v>
      </c>
      <c r="K104">
        <v>702.48</v>
      </c>
      <c r="L104">
        <v>0</v>
      </c>
      <c r="M104">
        <v>702.48</v>
      </c>
      <c r="N104">
        <v>128.72</v>
      </c>
      <c r="O104">
        <v>386.159999999999</v>
      </c>
      <c r="P104">
        <v>316.32</v>
      </c>
      <c r="Q104">
        <v>45.029039972668201</v>
      </c>
    </row>
    <row r="105" spans="1:17" x14ac:dyDescent="0.25">
      <c r="A105">
        <v>10104</v>
      </c>
      <c r="B105" s="1">
        <v>45761</v>
      </c>
      <c r="C105">
        <v>3402</v>
      </c>
      <c r="D105" t="s">
        <v>17</v>
      </c>
      <c r="E105" t="s">
        <v>18</v>
      </c>
      <c r="F105" t="s">
        <v>25</v>
      </c>
      <c r="G105" t="s">
        <v>30</v>
      </c>
      <c r="H105">
        <v>3</v>
      </c>
      <c r="I105">
        <v>84.25</v>
      </c>
      <c r="J105">
        <v>5</v>
      </c>
      <c r="K105">
        <v>252.75</v>
      </c>
      <c r="L105">
        <v>12.637499999999999</v>
      </c>
      <c r="M105">
        <v>240.11250000000001</v>
      </c>
      <c r="N105">
        <v>46.91</v>
      </c>
      <c r="O105">
        <v>140.72999999999999</v>
      </c>
      <c r="P105">
        <v>99.382499999999993</v>
      </c>
      <c r="Q105">
        <v>41.389973449945302</v>
      </c>
    </row>
    <row r="106" spans="1:17" x14ac:dyDescent="0.25">
      <c r="A106">
        <v>10105</v>
      </c>
      <c r="B106" s="1">
        <v>45762</v>
      </c>
      <c r="C106">
        <v>3021</v>
      </c>
      <c r="D106" t="s">
        <v>29</v>
      </c>
      <c r="E106" t="s">
        <v>24</v>
      </c>
      <c r="F106" t="s">
        <v>19</v>
      </c>
      <c r="G106" t="s">
        <v>22</v>
      </c>
      <c r="H106">
        <v>2</v>
      </c>
      <c r="I106">
        <v>143.4</v>
      </c>
      <c r="J106">
        <v>15</v>
      </c>
      <c r="K106">
        <v>286.8</v>
      </c>
      <c r="L106">
        <v>43.02</v>
      </c>
      <c r="M106">
        <v>243.78</v>
      </c>
      <c r="N106">
        <v>43.23</v>
      </c>
      <c r="O106">
        <v>86.46</v>
      </c>
      <c r="P106">
        <v>157.32</v>
      </c>
      <c r="Q106">
        <v>64.533595865124298</v>
      </c>
    </row>
    <row r="107" spans="1:17" x14ac:dyDescent="0.25">
      <c r="A107">
        <v>10106</v>
      </c>
      <c r="B107" s="1">
        <v>45763</v>
      </c>
      <c r="C107">
        <v>3631</v>
      </c>
      <c r="D107" t="s">
        <v>23</v>
      </c>
      <c r="E107" t="s">
        <v>18</v>
      </c>
      <c r="F107" t="s">
        <v>33</v>
      </c>
      <c r="G107" t="s">
        <v>31</v>
      </c>
      <c r="H107">
        <v>7</v>
      </c>
      <c r="I107">
        <v>32.520000000000003</v>
      </c>
      <c r="J107">
        <v>20</v>
      </c>
      <c r="K107">
        <v>227.64</v>
      </c>
      <c r="L107">
        <v>45.527999999999999</v>
      </c>
      <c r="M107">
        <v>182.11199999999999</v>
      </c>
      <c r="N107">
        <v>50.82</v>
      </c>
      <c r="O107">
        <v>355.74</v>
      </c>
      <c r="P107">
        <v>-173.62799999999999</v>
      </c>
      <c r="Q107">
        <v>-95.341328413284103</v>
      </c>
    </row>
    <row r="108" spans="1:17" x14ac:dyDescent="0.25">
      <c r="A108">
        <v>10107</v>
      </c>
      <c r="B108" s="1">
        <v>45764</v>
      </c>
      <c r="C108">
        <v>3579</v>
      </c>
      <c r="D108" t="s">
        <v>29</v>
      </c>
      <c r="E108" t="s">
        <v>18</v>
      </c>
      <c r="F108" t="s">
        <v>26</v>
      </c>
      <c r="G108" t="s">
        <v>20</v>
      </c>
      <c r="H108">
        <v>3</v>
      </c>
      <c r="I108">
        <v>202.18</v>
      </c>
      <c r="J108">
        <v>0</v>
      </c>
      <c r="K108">
        <v>606.54</v>
      </c>
      <c r="L108">
        <v>0</v>
      </c>
      <c r="M108">
        <v>606.54</v>
      </c>
      <c r="N108">
        <v>130.44</v>
      </c>
      <c r="O108">
        <v>391.32</v>
      </c>
      <c r="P108">
        <v>215.219999999999</v>
      </c>
      <c r="Q108">
        <v>35.483232762884498</v>
      </c>
    </row>
    <row r="109" spans="1:17" x14ac:dyDescent="0.25">
      <c r="A109">
        <v>10108</v>
      </c>
      <c r="B109" s="1">
        <v>45765</v>
      </c>
      <c r="C109">
        <v>3203</v>
      </c>
      <c r="D109" t="s">
        <v>21</v>
      </c>
      <c r="E109" t="s">
        <v>18</v>
      </c>
      <c r="F109" t="s">
        <v>19</v>
      </c>
      <c r="G109" t="s">
        <v>32</v>
      </c>
      <c r="H109">
        <v>6</v>
      </c>
      <c r="I109">
        <v>22.22</v>
      </c>
      <c r="J109">
        <v>15</v>
      </c>
      <c r="K109">
        <v>133.32</v>
      </c>
      <c r="L109">
        <v>19.997999999999902</v>
      </c>
      <c r="M109">
        <v>113.322</v>
      </c>
      <c r="N109">
        <v>135.58000000000001</v>
      </c>
      <c r="O109">
        <v>813.48</v>
      </c>
      <c r="P109">
        <v>-700.15800000000002</v>
      </c>
      <c r="Q109">
        <v>-617.84825541377597</v>
      </c>
    </row>
    <row r="110" spans="1:17" x14ac:dyDescent="0.25">
      <c r="A110">
        <v>10109</v>
      </c>
      <c r="B110" s="1">
        <v>45766</v>
      </c>
      <c r="C110">
        <v>3954</v>
      </c>
      <c r="D110" t="s">
        <v>21</v>
      </c>
      <c r="E110" t="s">
        <v>18</v>
      </c>
      <c r="F110" t="s">
        <v>19</v>
      </c>
      <c r="G110" t="s">
        <v>22</v>
      </c>
      <c r="H110">
        <v>9</v>
      </c>
      <c r="I110">
        <v>62.15</v>
      </c>
      <c r="J110">
        <v>5</v>
      </c>
      <c r="K110">
        <v>559.35</v>
      </c>
      <c r="L110">
        <v>27.967500000000001</v>
      </c>
      <c r="M110">
        <v>531.38250000000005</v>
      </c>
      <c r="N110">
        <v>54.57</v>
      </c>
      <c r="O110">
        <v>491.13</v>
      </c>
      <c r="P110">
        <v>40.252499999999998</v>
      </c>
      <c r="Q110">
        <v>7.5750518694161002</v>
      </c>
    </row>
    <row r="111" spans="1:17" x14ac:dyDescent="0.25">
      <c r="A111">
        <v>10110</v>
      </c>
      <c r="B111" s="1">
        <v>45767</v>
      </c>
      <c r="C111">
        <v>3047</v>
      </c>
      <c r="D111" t="s">
        <v>23</v>
      </c>
      <c r="E111" t="s">
        <v>18</v>
      </c>
      <c r="F111" t="s">
        <v>33</v>
      </c>
      <c r="G111" t="s">
        <v>31</v>
      </c>
      <c r="H111">
        <v>3</v>
      </c>
      <c r="I111">
        <v>18.04</v>
      </c>
      <c r="J111">
        <v>5</v>
      </c>
      <c r="K111">
        <v>54.12</v>
      </c>
      <c r="L111">
        <v>2.706</v>
      </c>
      <c r="M111">
        <v>51.413999999999902</v>
      </c>
      <c r="N111">
        <v>125.85</v>
      </c>
      <c r="O111">
        <v>377.54999999999899</v>
      </c>
      <c r="P111">
        <v>-326.135999999999</v>
      </c>
      <c r="Q111">
        <v>-634.33306103395898</v>
      </c>
    </row>
    <row r="112" spans="1:17" x14ac:dyDescent="0.25">
      <c r="A112">
        <v>10111</v>
      </c>
      <c r="B112" s="1">
        <v>45768</v>
      </c>
      <c r="C112">
        <v>3784</v>
      </c>
      <c r="D112" t="s">
        <v>17</v>
      </c>
      <c r="E112" t="s">
        <v>18</v>
      </c>
      <c r="F112" t="s">
        <v>25</v>
      </c>
      <c r="G112" t="s">
        <v>32</v>
      </c>
      <c r="H112">
        <v>2</v>
      </c>
      <c r="I112">
        <v>34.81</v>
      </c>
      <c r="J112">
        <v>15</v>
      </c>
      <c r="K112">
        <v>69.62</v>
      </c>
      <c r="L112">
        <v>10.443</v>
      </c>
      <c r="M112">
        <v>59.177</v>
      </c>
      <c r="N112">
        <v>83.93</v>
      </c>
      <c r="O112">
        <v>167.86</v>
      </c>
      <c r="P112">
        <v>-108.68300000000001</v>
      </c>
      <c r="Q112">
        <v>-183.65750207005999</v>
      </c>
    </row>
    <row r="113" spans="1:17" x14ac:dyDescent="0.25">
      <c r="A113">
        <v>10112</v>
      </c>
      <c r="B113" s="1">
        <v>45769</v>
      </c>
      <c r="C113">
        <v>3524</v>
      </c>
      <c r="D113" t="s">
        <v>21</v>
      </c>
      <c r="E113" t="s">
        <v>18</v>
      </c>
      <c r="F113" t="s">
        <v>26</v>
      </c>
      <c r="G113" t="s">
        <v>31</v>
      </c>
      <c r="H113">
        <v>1</v>
      </c>
      <c r="I113">
        <v>171.18</v>
      </c>
      <c r="J113">
        <v>5</v>
      </c>
      <c r="K113">
        <v>171.18</v>
      </c>
      <c r="L113">
        <v>8.5589999999999993</v>
      </c>
      <c r="M113">
        <v>162.62100000000001</v>
      </c>
      <c r="N113">
        <v>143.9</v>
      </c>
      <c r="O113">
        <v>143.9</v>
      </c>
      <c r="P113">
        <v>18.721</v>
      </c>
      <c r="Q113">
        <v>11.512043340036</v>
      </c>
    </row>
    <row r="114" spans="1:17" x14ac:dyDescent="0.25">
      <c r="A114">
        <v>10113</v>
      </c>
      <c r="B114" s="1">
        <v>45770</v>
      </c>
      <c r="C114">
        <v>3349</v>
      </c>
      <c r="D114" t="s">
        <v>17</v>
      </c>
      <c r="E114" t="s">
        <v>24</v>
      </c>
      <c r="F114" t="s">
        <v>26</v>
      </c>
      <c r="G114" t="s">
        <v>30</v>
      </c>
      <c r="H114">
        <v>9</v>
      </c>
      <c r="I114">
        <v>76.13</v>
      </c>
      <c r="J114">
        <v>15</v>
      </c>
      <c r="K114">
        <v>685.17</v>
      </c>
      <c r="L114">
        <v>102.77549999999999</v>
      </c>
      <c r="M114">
        <v>582.39449999999999</v>
      </c>
      <c r="N114">
        <v>87.65</v>
      </c>
      <c r="O114">
        <v>788.85</v>
      </c>
      <c r="P114">
        <v>-206.4555</v>
      </c>
      <c r="Q114">
        <v>-35.449424745597703</v>
      </c>
    </row>
    <row r="115" spans="1:17" x14ac:dyDescent="0.25">
      <c r="A115">
        <v>10114</v>
      </c>
      <c r="B115" s="1">
        <v>45771</v>
      </c>
      <c r="C115">
        <v>3107</v>
      </c>
      <c r="D115" t="s">
        <v>17</v>
      </c>
      <c r="E115" t="s">
        <v>24</v>
      </c>
      <c r="F115" t="s">
        <v>19</v>
      </c>
      <c r="G115" t="s">
        <v>27</v>
      </c>
      <c r="H115">
        <v>2</v>
      </c>
      <c r="I115">
        <v>127.73</v>
      </c>
      <c r="J115">
        <v>15</v>
      </c>
      <c r="K115">
        <v>255.46</v>
      </c>
      <c r="L115">
        <v>38.319000000000003</v>
      </c>
      <c r="M115">
        <v>217.14099999999999</v>
      </c>
      <c r="N115">
        <v>136.1</v>
      </c>
      <c r="O115">
        <v>272.2</v>
      </c>
      <c r="P115">
        <v>-55.058999999999898</v>
      </c>
      <c r="Q115">
        <v>-25.356335284446399</v>
      </c>
    </row>
    <row r="116" spans="1:17" x14ac:dyDescent="0.25">
      <c r="A116">
        <v>10115</v>
      </c>
      <c r="B116" s="1">
        <v>45772</v>
      </c>
      <c r="C116">
        <v>3745</v>
      </c>
      <c r="D116" t="s">
        <v>21</v>
      </c>
      <c r="E116" t="s">
        <v>24</v>
      </c>
      <c r="F116" t="s">
        <v>33</v>
      </c>
      <c r="G116" t="s">
        <v>31</v>
      </c>
      <c r="H116">
        <v>7</v>
      </c>
      <c r="I116">
        <v>161.69999999999999</v>
      </c>
      <c r="J116">
        <v>10</v>
      </c>
      <c r="K116">
        <v>1131.8999999999901</v>
      </c>
      <c r="L116">
        <v>113.19</v>
      </c>
      <c r="M116">
        <v>1018.70999999999</v>
      </c>
      <c r="N116">
        <v>85.4</v>
      </c>
      <c r="O116">
        <v>597.79999999999995</v>
      </c>
      <c r="P116">
        <v>420.909999999999</v>
      </c>
      <c r="Q116">
        <v>41.317941317941298</v>
      </c>
    </row>
    <row r="117" spans="1:17" x14ac:dyDescent="0.25">
      <c r="A117">
        <v>10116</v>
      </c>
      <c r="B117" s="1">
        <v>45773</v>
      </c>
      <c r="C117">
        <v>3393</v>
      </c>
      <c r="D117" t="s">
        <v>17</v>
      </c>
      <c r="E117" t="s">
        <v>24</v>
      </c>
      <c r="F117" t="s">
        <v>26</v>
      </c>
      <c r="G117" t="s">
        <v>22</v>
      </c>
      <c r="H117">
        <v>2</v>
      </c>
      <c r="I117">
        <v>125.96</v>
      </c>
      <c r="J117">
        <v>20</v>
      </c>
      <c r="K117">
        <v>251.92</v>
      </c>
      <c r="L117">
        <v>50.384</v>
      </c>
      <c r="M117">
        <v>201.536</v>
      </c>
      <c r="N117">
        <v>55.63</v>
      </c>
      <c r="O117">
        <v>111.26</v>
      </c>
      <c r="P117">
        <v>90.275999999999996</v>
      </c>
      <c r="Q117">
        <v>44.793982216576602</v>
      </c>
    </row>
    <row r="118" spans="1:17" x14ac:dyDescent="0.25">
      <c r="A118">
        <v>10117</v>
      </c>
      <c r="B118" s="1">
        <v>45774</v>
      </c>
      <c r="C118">
        <v>3844</v>
      </c>
      <c r="D118" t="s">
        <v>29</v>
      </c>
      <c r="E118" t="s">
        <v>24</v>
      </c>
      <c r="F118" t="s">
        <v>26</v>
      </c>
      <c r="G118" t="s">
        <v>30</v>
      </c>
      <c r="H118">
        <v>1</v>
      </c>
      <c r="I118">
        <v>95.44</v>
      </c>
      <c r="J118">
        <v>10</v>
      </c>
      <c r="K118">
        <v>95.44</v>
      </c>
      <c r="L118">
        <v>9.5440000000000005</v>
      </c>
      <c r="M118">
        <v>85.896000000000001</v>
      </c>
      <c r="N118">
        <v>128.13</v>
      </c>
      <c r="O118">
        <v>128.13</v>
      </c>
      <c r="P118">
        <v>-42.233999999999902</v>
      </c>
      <c r="Q118">
        <v>-49.168762224084901</v>
      </c>
    </row>
    <row r="119" spans="1:17" x14ac:dyDescent="0.25">
      <c r="A119">
        <v>10118</v>
      </c>
      <c r="B119" s="1">
        <v>45775</v>
      </c>
      <c r="C119">
        <v>3835</v>
      </c>
      <c r="D119" t="s">
        <v>23</v>
      </c>
      <c r="E119" t="s">
        <v>24</v>
      </c>
      <c r="F119" t="s">
        <v>26</v>
      </c>
      <c r="G119" t="s">
        <v>30</v>
      </c>
      <c r="H119">
        <v>6</v>
      </c>
      <c r="I119">
        <v>239.43</v>
      </c>
      <c r="J119">
        <v>15</v>
      </c>
      <c r="K119">
        <v>1436.58</v>
      </c>
      <c r="L119">
        <v>215.48699999999999</v>
      </c>
      <c r="M119">
        <v>1221.0929999999901</v>
      </c>
      <c r="N119">
        <v>53.92</v>
      </c>
      <c r="O119">
        <v>323.52</v>
      </c>
      <c r="P119">
        <v>897.57299999999896</v>
      </c>
      <c r="Q119">
        <v>73.505703496785202</v>
      </c>
    </row>
    <row r="120" spans="1:17" x14ac:dyDescent="0.25">
      <c r="A120">
        <v>10119</v>
      </c>
      <c r="B120" s="1">
        <v>45776</v>
      </c>
      <c r="C120">
        <v>3622</v>
      </c>
      <c r="D120" t="s">
        <v>21</v>
      </c>
      <c r="E120" t="s">
        <v>18</v>
      </c>
      <c r="F120" t="s">
        <v>33</v>
      </c>
      <c r="G120" t="s">
        <v>31</v>
      </c>
      <c r="H120">
        <v>7</v>
      </c>
      <c r="I120">
        <v>202.86</v>
      </c>
      <c r="J120">
        <v>10</v>
      </c>
      <c r="K120">
        <v>1420.02</v>
      </c>
      <c r="L120">
        <v>142.00200000000001</v>
      </c>
      <c r="M120">
        <v>1278.018</v>
      </c>
      <c r="N120">
        <v>119.35</v>
      </c>
      <c r="O120">
        <v>835.44999999999902</v>
      </c>
      <c r="P120">
        <v>442.56799999999998</v>
      </c>
      <c r="Q120">
        <v>34.629246223449101</v>
      </c>
    </row>
    <row r="121" spans="1:17" x14ac:dyDescent="0.25">
      <c r="A121">
        <v>10120</v>
      </c>
      <c r="B121" s="1">
        <v>45777</v>
      </c>
      <c r="C121">
        <v>3654</v>
      </c>
      <c r="D121" t="s">
        <v>21</v>
      </c>
      <c r="E121" t="s">
        <v>18</v>
      </c>
      <c r="F121" t="s">
        <v>19</v>
      </c>
      <c r="G121" t="s">
        <v>22</v>
      </c>
      <c r="H121">
        <v>3</v>
      </c>
      <c r="I121">
        <v>55.81</v>
      </c>
      <c r="J121">
        <v>15</v>
      </c>
      <c r="K121">
        <v>167.43</v>
      </c>
      <c r="L121">
        <v>25.1145</v>
      </c>
      <c r="M121">
        <v>142.31549999999999</v>
      </c>
      <c r="N121">
        <v>81.95</v>
      </c>
      <c r="O121">
        <v>245.85</v>
      </c>
      <c r="P121">
        <v>-103.53449999999999</v>
      </c>
      <c r="Q121">
        <v>-72.749981555066</v>
      </c>
    </row>
    <row r="122" spans="1:17" x14ac:dyDescent="0.25">
      <c r="A122">
        <v>10121</v>
      </c>
      <c r="B122" s="1">
        <v>45778</v>
      </c>
      <c r="C122">
        <v>3636</v>
      </c>
      <c r="D122" t="s">
        <v>23</v>
      </c>
      <c r="E122" t="s">
        <v>24</v>
      </c>
      <c r="F122" t="s">
        <v>33</v>
      </c>
      <c r="G122" t="s">
        <v>22</v>
      </c>
      <c r="H122">
        <v>3</v>
      </c>
      <c r="I122">
        <v>198.38</v>
      </c>
      <c r="J122">
        <v>0</v>
      </c>
      <c r="K122">
        <v>595.14</v>
      </c>
      <c r="L122">
        <v>0</v>
      </c>
      <c r="M122">
        <v>595.14</v>
      </c>
      <c r="N122">
        <v>51.92</v>
      </c>
      <c r="O122">
        <v>155.76</v>
      </c>
      <c r="P122">
        <v>439.38</v>
      </c>
      <c r="Q122">
        <v>73.828006855529793</v>
      </c>
    </row>
    <row r="123" spans="1:17" x14ac:dyDescent="0.25">
      <c r="A123">
        <v>10122</v>
      </c>
      <c r="B123" s="1">
        <v>45779</v>
      </c>
      <c r="C123">
        <v>3276</v>
      </c>
      <c r="D123" t="s">
        <v>29</v>
      </c>
      <c r="E123" t="s">
        <v>24</v>
      </c>
      <c r="F123" t="s">
        <v>19</v>
      </c>
      <c r="G123" t="s">
        <v>28</v>
      </c>
      <c r="H123">
        <v>7</v>
      </c>
      <c r="I123">
        <v>102.6</v>
      </c>
      <c r="J123">
        <v>10</v>
      </c>
      <c r="K123">
        <v>718.19999999999902</v>
      </c>
      <c r="L123">
        <v>71.819999999999993</v>
      </c>
      <c r="M123">
        <v>646.37999999999897</v>
      </c>
      <c r="N123">
        <v>74.05</v>
      </c>
      <c r="O123">
        <v>518.35</v>
      </c>
      <c r="P123">
        <v>128.02999999999901</v>
      </c>
      <c r="Q123">
        <v>19.807234134719401</v>
      </c>
    </row>
    <row r="124" spans="1:17" x14ac:dyDescent="0.25">
      <c r="A124">
        <v>10123</v>
      </c>
      <c r="B124" s="1">
        <v>45780</v>
      </c>
      <c r="C124">
        <v>3309</v>
      </c>
      <c r="D124" t="s">
        <v>17</v>
      </c>
      <c r="E124" t="s">
        <v>24</v>
      </c>
      <c r="F124" t="s">
        <v>33</v>
      </c>
      <c r="G124" t="s">
        <v>28</v>
      </c>
      <c r="H124">
        <v>8</v>
      </c>
      <c r="I124">
        <v>22.64</v>
      </c>
      <c r="J124">
        <v>0</v>
      </c>
      <c r="K124">
        <v>181.12</v>
      </c>
      <c r="L124">
        <v>0</v>
      </c>
      <c r="M124">
        <v>181.12</v>
      </c>
      <c r="N124">
        <v>136.38</v>
      </c>
      <c r="O124">
        <v>1091.04</v>
      </c>
      <c r="P124">
        <v>-909.92</v>
      </c>
      <c r="Q124">
        <v>-502.38515901059998</v>
      </c>
    </row>
    <row r="125" spans="1:17" x14ac:dyDescent="0.25">
      <c r="A125">
        <v>10124</v>
      </c>
      <c r="B125" s="1">
        <v>45781</v>
      </c>
      <c r="C125">
        <v>3911</v>
      </c>
      <c r="D125" t="s">
        <v>29</v>
      </c>
      <c r="E125" t="s">
        <v>18</v>
      </c>
      <c r="F125" t="s">
        <v>19</v>
      </c>
      <c r="G125" t="s">
        <v>28</v>
      </c>
      <c r="H125">
        <v>8</v>
      </c>
      <c r="I125">
        <v>102.57</v>
      </c>
      <c r="J125">
        <v>10</v>
      </c>
      <c r="K125">
        <v>820.56</v>
      </c>
      <c r="L125">
        <v>82.055999999999997</v>
      </c>
      <c r="M125">
        <v>738.503999999999</v>
      </c>
      <c r="N125">
        <v>48.12</v>
      </c>
      <c r="O125">
        <v>384.96</v>
      </c>
      <c r="P125">
        <v>353.54399999999902</v>
      </c>
      <c r="Q125">
        <v>47.872997302655001</v>
      </c>
    </row>
    <row r="126" spans="1:17" x14ac:dyDescent="0.25">
      <c r="A126">
        <v>10125</v>
      </c>
      <c r="B126" s="1">
        <v>45782</v>
      </c>
      <c r="C126">
        <v>3827</v>
      </c>
      <c r="D126" t="s">
        <v>23</v>
      </c>
      <c r="E126" t="s">
        <v>24</v>
      </c>
      <c r="F126" t="s">
        <v>33</v>
      </c>
      <c r="G126" t="s">
        <v>31</v>
      </c>
      <c r="H126">
        <v>6</v>
      </c>
      <c r="I126">
        <v>50.12</v>
      </c>
      <c r="J126">
        <v>15</v>
      </c>
      <c r="K126">
        <v>300.719999999999</v>
      </c>
      <c r="L126">
        <v>45.107999999999997</v>
      </c>
      <c r="M126">
        <v>255.611999999999</v>
      </c>
      <c r="N126">
        <v>17.52</v>
      </c>
      <c r="O126">
        <v>105.12</v>
      </c>
      <c r="P126">
        <v>150.491999999999</v>
      </c>
      <c r="Q126">
        <v>58.875170179803703</v>
      </c>
    </row>
    <row r="127" spans="1:17" x14ac:dyDescent="0.25">
      <c r="A127">
        <v>10126</v>
      </c>
      <c r="B127" s="1">
        <v>45783</v>
      </c>
      <c r="C127">
        <v>3035</v>
      </c>
      <c r="D127" t="s">
        <v>23</v>
      </c>
      <c r="E127" t="s">
        <v>24</v>
      </c>
      <c r="F127" t="s">
        <v>25</v>
      </c>
      <c r="G127" t="s">
        <v>32</v>
      </c>
      <c r="H127">
        <v>8</v>
      </c>
      <c r="I127">
        <v>185.61</v>
      </c>
      <c r="J127">
        <v>20</v>
      </c>
      <c r="K127">
        <v>1484.88</v>
      </c>
      <c r="L127">
        <v>296.976</v>
      </c>
      <c r="M127">
        <v>1187.904</v>
      </c>
      <c r="N127">
        <v>136.06</v>
      </c>
      <c r="O127">
        <v>1088.48</v>
      </c>
      <c r="P127">
        <v>99.423999999999893</v>
      </c>
      <c r="Q127">
        <v>8.3696999084100998</v>
      </c>
    </row>
    <row r="128" spans="1:17" x14ac:dyDescent="0.25">
      <c r="A128">
        <v>10127</v>
      </c>
      <c r="B128" s="1">
        <v>45784</v>
      </c>
      <c r="C128">
        <v>3816</v>
      </c>
      <c r="D128" t="s">
        <v>23</v>
      </c>
      <c r="E128" t="s">
        <v>18</v>
      </c>
      <c r="F128" t="s">
        <v>25</v>
      </c>
      <c r="G128" t="s">
        <v>32</v>
      </c>
      <c r="H128">
        <v>3</v>
      </c>
      <c r="I128">
        <v>108.15</v>
      </c>
      <c r="J128">
        <v>5</v>
      </c>
      <c r="K128">
        <v>324.45</v>
      </c>
      <c r="L128">
        <v>16.2225</v>
      </c>
      <c r="M128">
        <v>308.22750000000002</v>
      </c>
      <c r="N128">
        <v>22.11</v>
      </c>
      <c r="O128">
        <v>66.33</v>
      </c>
      <c r="P128">
        <v>241.89750000000001</v>
      </c>
      <c r="Q128">
        <v>78.480181035111997</v>
      </c>
    </row>
    <row r="129" spans="1:17" x14ac:dyDescent="0.25">
      <c r="A129">
        <v>10128</v>
      </c>
      <c r="B129" s="1">
        <v>45785</v>
      </c>
      <c r="C129">
        <v>3260</v>
      </c>
      <c r="D129" t="s">
        <v>21</v>
      </c>
      <c r="E129" t="s">
        <v>24</v>
      </c>
      <c r="F129" t="s">
        <v>26</v>
      </c>
      <c r="G129" t="s">
        <v>20</v>
      </c>
      <c r="H129">
        <v>9</v>
      </c>
      <c r="I129">
        <v>201.38</v>
      </c>
      <c r="J129">
        <v>5</v>
      </c>
      <c r="K129">
        <v>1812.42</v>
      </c>
      <c r="L129">
        <v>90.620999999999995</v>
      </c>
      <c r="M129">
        <v>1721.799</v>
      </c>
      <c r="N129">
        <v>38.479999999999997</v>
      </c>
      <c r="O129">
        <v>346.32</v>
      </c>
      <c r="P129">
        <v>1375.479</v>
      </c>
      <c r="Q129">
        <v>79.886153958737296</v>
      </c>
    </row>
    <row r="130" spans="1:17" x14ac:dyDescent="0.25">
      <c r="A130">
        <v>10129</v>
      </c>
      <c r="B130" s="1">
        <v>45786</v>
      </c>
      <c r="C130">
        <v>3811</v>
      </c>
      <c r="D130" t="s">
        <v>23</v>
      </c>
      <c r="E130" t="s">
        <v>24</v>
      </c>
      <c r="F130" t="s">
        <v>25</v>
      </c>
      <c r="G130" t="s">
        <v>28</v>
      </c>
      <c r="H130">
        <v>9</v>
      </c>
      <c r="I130">
        <v>241.44</v>
      </c>
      <c r="J130">
        <v>0</v>
      </c>
      <c r="K130">
        <v>2172.96</v>
      </c>
      <c r="L130">
        <v>0</v>
      </c>
      <c r="M130">
        <v>2172.96</v>
      </c>
      <c r="N130">
        <v>74.56</v>
      </c>
      <c r="O130">
        <v>671.04</v>
      </c>
      <c r="P130">
        <v>1501.92</v>
      </c>
      <c r="Q130">
        <v>69.118621603711006</v>
      </c>
    </row>
    <row r="131" spans="1:17" x14ac:dyDescent="0.25">
      <c r="A131">
        <v>10130</v>
      </c>
      <c r="B131" s="1">
        <v>45787</v>
      </c>
      <c r="C131">
        <v>3456</v>
      </c>
      <c r="D131" t="s">
        <v>23</v>
      </c>
      <c r="E131" t="s">
        <v>24</v>
      </c>
      <c r="F131" t="s">
        <v>19</v>
      </c>
      <c r="G131" t="s">
        <v>28</v>
      </c>
      <c r="H131">
        <v>3</v>
      </c>
      <c r="I131">
        <v>121.2</v>
      </c>
      <c r="J131">
        <v>10</v>
      </c>
      <c r="K131">
        <v>363.6</v>
      </c>
      <c r="L131">
        <v>36.36</v>
      </c>
      <c r="M131">
        <v>327.24</v>
      </c>
      <c r="N131">
        <v>118.08</v>
      </c>
      <c r="O131">
        <v>354.24</v>
      </c>
      <c r="P131">
        <v>-27</v>
      </c>
      <c r="Q131">
        <v>-8.2508250825082499</v>
      </c>
    </row>
    <row r="132" spans="1:17" x14ac:dyDescent="0.25">
      <c r="A132">
        <v>10131</v>
      </c>
      <c r="B132" s="1">
        <v>45788</v>
      </c>
      <c r="C132">
        <v>3474</v>
      </c>
      <c r="D132" t="s">
        <v>29</v>
      </c>
      <c r="E132" t="s">
        <v>24</v>
      </c>
      <c r="F132" t="s">
        <v>26</v>
      </c>
      <c r="G132" t="s">
        <v>22</v>
      </c>
      <c r="H132">
        <v>4</v>
      </c>
      <c r="I132">
        <v>77.569999999999993</v>
      </c>
      <c r="J132">
        <v>0</v>
      </c>
      <c r="K132">
        <v>310.27999999999997</v>
      </c>
      <c r="L132">
        <v>0</v>
      </c>
      <c r="M132">
        <v>310.27999999999997</v>
      </c>
      <c r="N132">
        <v>146.74</v>
      </c>
      <c r="O132">
        <v>586.96</v>
      </c>
      <c r="P132">
        <v>-276.68</v>
      </c>
      <c r="Q132">
        <v>-89.171071290447301</v>
      </c>
    </row>
    <row r="133" spans="1:17" x14ac:dyDescent="0.25">
      <c r="A133">
        <v>10132</v>
      </c>
      <c r="B133" s="1">
        <v>45789</v>
      </c>
      <c r="C133">
        <v>3762</v>
      </c>
      <c r="D133" t="s">
        <v>21</v>
      </c>
      <c r="E133" t="s">
        <v>18</v>
      </c>
      <c r="F133" t="s">
        <v>33</v>
      </c>
      <c r="G133" t="s">
        <v>28</v>
      </c>
      <c r="H133">
        <v>5</v>
      </c>
      <c r="I133">
        <v>155.15</v>
      </c>
      <c r="J133">
        <v>20</v>
      </c>
      <c r="K133">
        <v>775.75</v>
      </c>
      <c r="L133">
        <v>155.15</v>
      </c>
      <c r="M133">
        <v>620.6</v>
      </c>
      <c r="N133">
        <v>32.090000000000003</v>
      </c>
      <c r="O133">
        <v>160.44999999999999</v>
      </c>
      <c r="P133">
        <v>460.15</v>
      </c>
      <c r="Q133">
        <v>74.145987753786599</v>
      </c>
    </row>
    <row r="134" spans="1:17" x14ac:dyDescent="0.25">
      <c r="A134">
        <v>10133</v>
      </c>
      <c r="B134" s="1">
        <v>45790</v>
      </c>
      <c r="C134">
        <v>3566</v>
      </c>
      <c r="D134" t="s">
        <v>17</v>
      </c>
      <c r="E134" t="s">
        <v>18</v>
      </c>
      <c r="F134" t="s">
        <v>26</v>
      </c>
      <c r="G134" t="s">
        <v>30</v>
      </c>
      <c r="H134">
        <v>2</v>
      </c>
      <c r="I134">
        <v>135.62</v>
      </c>
      <c r="J134">
        <v>10</v>
      </c>
      <c r="K134">
        <v>271.24</v>
      </c>
      <c r="L134">
        <v>27.123999999999999</v>
      </c>
      <c r="M134">
        <v>244.11600000000001</v>
      </c>
      <c r="N134">
        <v>38.71</v>
      </c>
      <c r="O134">
        <v>77.42</v>
      </c>
      <c r="P134">
        <v>166.696</v>
      </c>
      <c r="Q134">
        <v>68.285569155647295</v>
      </c>
    </row>
    <row r="135" spans="1:17" x14ac:dyDescent="0.25">
      <c r="A135">
        <v>10134</v>
      </c>
      <c r="B135" s="1">
        <v>45791</v>
      </c>
      <c r="C135">
        <v>3555</v>
      </c>
      <c r="D135" t="s">
        <v>23</v>
      </c>
      <c r="E135" t="s">
        <v>18</v>
      </c>
      <c r="F135" t="s">
        <v>25</v>
      </c>
      <c r="G135" t="s">
        <v>27</v>
      </c>
      <c r="H135">
        <v>8</v>
      </c>
      <c r="I135">
        <v>141.35</v>
      </c>
      <c r="J135">
        <v>5</v>
      </c>
      <c r="K135">
        <v>1130.8</v>
      </c>
      <c r="L135">
        <v>56.54</v>
      </c>
      <c r="M135">
        <v>1074.26</v>
      </c>
      <c r="N135">
        <v>149.44</v>
      </c>
      <c r="O135">
        <v>1195.52</v>
      </c>
      <c r="P135">
        <v>-121.259999999999</v>
      </c>
      <c r="Q135">
        <v>-11.2877701859884</v>
      </c>
    </row>
    <row r="136" spans="1:17" x14ac:dyDescent="0.25">
      <c r="A136">
        <v>10135</v>
      </c>
      <c r="B136" s="1">
        <v>45792</v>
      </c>
      <c r="C136">
        <v>3215</v>
      </c>
      <c r="D136" t="s">
        <v>21</v>
      </c>
      <c r="E136" t="s">
        <v>18</v>
      </c>
      <c r="F136" t="s">
        <v>26</v>
      </c>
      <c r="G136" t="s">
        <v>31</v>
      </c>
      <c r="H136">
        <v>5</v>
      </c>
      <c r="I136">
        <v>111.97</v>
      </c>
      <c r="J136">
        <v>20</v>
      </c>
      <c r="K136">
        <v>559.85</v>
      </c>
      <c r="L136">
        <v>111.97</v>
      </c>
      <c r="M136">
        <v>447.88</v>
      </c>
      <c r="N136">
        <v>86.6</v>
      </c>
      <c r="O136">
        <v>433</v>
      </c>
      <c r="P136">
        <v>14.8799999999999</v>
      </c>
      <c r="Q136">
        <v>3.32231847816379</v>
      </c>
    </row>
    <row r="137" spans="1:17" x14ac:dyDescent="0.25">
      <c r="A137">
        <v>10136</v>
      </c>
      <c r="B137" s="1">
        <v>45793</v>
      </c>
      <c r="C137">
        <v>3973</v>
      </c>
      <c r="D137" t="s">
        <v>29</v>
      </c>
      <c r="E137" t="s">
        <v>18</v>
      </c>
      <c r="F137" t="s">
        <v>33</v>
      </c>
      <c r="G137" t="s">
        <v>31</v>
      </c>
      <c r="H137">
        <v>6</v>
      </c>
      <c r="I137">
        <v>105.69</v>
      </c>
      <c r="J137">
        <v>15</v>
      </c>
      <c r="K137">
        <v>634.14</v>
      </c>
      <c r="L137">
        <v>95.120999999999995</v>
      </c>
      <c r="M137">
        <v>539.01900000000001</v>
      </c>
      <c r="N137">
        <v>129.94999999999999</v>
      </c>
      <c r="O137">
        <v>779.69999999999902</v>
      </c>
      <c r="P137">
        <v>-240.68099999999899</v>
      </c>
      <c r="Q137">
        <v>-44.651672761071403</v>
      </c>
    </row>
    <row r="138" spans="1:17" x14ac:dyDescent="0.25">
      <c r="A138">
        <v>10137</v>
      </c>
      <c r="B138" s="1">
        <v>45794</v>
      </c>
      <c r="C138">
        <v>3434</v>
      </c>
      <c r="D138" t="s">
        <v>21</v>
      </c>
      <c r="E138" t="s">
        <v>18</v>
      </c>
      <c r="F138" t="s">
        <v>19</v>
      </c>
      <c r="G138" t="s">
        <v>28</v>
      </c>
      <c r="H138">
        <v>9</v>
      </c>
      <c r="I138">
        <v>84.23</v>
      </c>
      <c r="J138">
        <v>20</v>
      </c>
      <c r="K138">
        <v>758.07</v>
      </c>
      <c r="L138">
        <v>151.614</v>
      </c>
      <c r="M138">
        <v>606.45600000000002</v>
      </c>
      <c r="N138">
        <v>58</v>
      </c>
      <c r="O138">
        <v>522</v>
      </c>
      <c r="P138">
        <v>84.456000000000003</v>
      </c>
      <c r="Q138">
        <v>13.926154576754101</v>
      </c>
    </row>
    <row r="139" spans="1:17" x14ac:dyDescent="0.25">
      <c r="A139">
        <v>10138</v>
      </c>
      <c r="B139" s="1">
        <v>45795</v>
      </c>
      <c r="C139">
        <v>3039</v>
      </c>
      <c r="D139" t="s">
        <v>23</v>
      </c>
      <c r="E139" t="s">
        <v>18</v>
      </c>
      <c r="F139" t="s">
        <v>33</v>
      </c>
      <c r="G139" t="s">
        <v>30</v>
      </c>
      <c r="H139">
        <v>8</v>
      </c>
      <c r="I139">
        <v>229.29</v>
      </c>
      <c r="J139">
        <v>10</v>
      </c>
      <c r="K139">
        <v>1834.32</v>
      </c>
      <c r="L139">
        <v>183.43199999999999</v>
      </c>
      <c r="M139">
        <v>1650.8879999999999</v>
      </c>
      <c r="N139">
        <v>47.05</v>
      </c>
      <c r="O139">
        <v>376.4</v>
      </c>
      <c r="P139">
        <v>1274.4879999999901</v>
      </c>
      <c r="Q139">
        <v>77.200149253007993</v>
      </c>
    </row>
    <row r="140" spans="1:17" x14ac:dyDescent="0.25">
      <c r="A140">
        <v>10139</v>
      </c>
      <c r="B140" s="1">
        <v>45796</v>
      </c>
      <c r="C140">
        <v>3131</v>
      </c>
      <c r="D140" t="s">
        <v>23</v>
      </c>
      <c r="E140" t="s">
        <v>24</v>
      </c>
      <c r="F140" t="s">
        <v>25</v>
      </c>
      <c r="G140" t="s">
        <v>31</v>
      </c>
      <c r="H140">
        <v>9</v>
      </c>
      <c r="I140">
        <v>151.88</v>
      </c>
      <c r="J140">
        <v>10</v>
      </c>
      <c r="K140">
        <v>1366.92</v>
      </c>
      <c r="L140">
        <v>136.69200000000001</v>
      </c>
      <c r="M140">
        <v>1230.2280000000001</v>
      </c>
      <c r="N140">
        <v>131.88</v>
      </c>
      <c r="O140">
        <v>1186.92</v>
      </c>
      <c r="P140">
        <v>43.3079999999999</v>
      </c>
      <c r="Q140">
        <v>3.5203230620665402</v>
      </c>
    </row>
    <row r="141" spans="1:17" x14ac:dyDescent="0.25">
      <c r="A141">
        <v>10140</v>
      </c>
      <c r="B141" s="1">
        <v>45797</v>
      </c>
      <c r="C141">
        <v>3413</v>
      </c>
      <c r="D141" t="s">
        <v>17</v>
      </c>
      <c r="E141" t="s">
        <v>18</v>
      </c>
      <c r="F141" t="s">
        <v>25</v>
      </c>
      <c r="G141" t="s">
        <v>20</v>
      </c>
      <c r="H141">
        <v>1</v>
      </c>
      <c r="I141">
        <v>199.11</v>
      </c>
      <c r="J141">
        <v>5</v>
      </c>
      <c r="K141">
        <v>199.11</v>
      </c>
      <c r="L141">
        <v>9.9555000000000007</v>
      </c>
      <c r="M141">
        <v>189.15450000000001</v>
      </c>
      <c r="N141">
        <v>34.97</v>
      </c>
      <c r="O141">
        <v>34.97</v>
      </c>
      <c r="P141">
        <v>154.18450000000001</v>
      </c>
      <c r="Q141">
        <v>81.5124673216867</v>
      </c>
    </row>
    <row r="142" spans="1:17" x14ac:dyDescent="0.25">
      <c r="A142">
        <v>10141</v>
      </c>
      <c r="B142" s="1">
        <v>45798</v>
      </c>
      <c r="C142">
        <v>3908</v>
      </c>
      <c r="D142" t="s">
        <v>21</v>
      </c>
      <c r="E142" t="s">
        <v>24</v>
      </c>
      <c r="F142" t="s">
        <v>33</v>
      </c>
      <c r="G142" t="s">
        <v>27</v>
      </c>
      <c r="H142">
        <v>7</v>
      </c>
      <c r="I142">
        <v>114.4</v>
      </c>
      <c r="J142">
        <v>0</v>
      </c>
      <c r="K142">
        <v>800.8</v>
      </c>
      <c r="L142">
        <v>0</v>
      </c>
      <c r="M142">
        <v>800.8</v>
      </c>
      <c r="N142">
        <v>43.48</v>
      </c>
      <c r="O142">
        <v>304.35999999999899</v>
      </c>
      <c r="P142">
        <v>496.44</v>
      </c>
      <c r="Q142">
        <v>61.993006993007</v>
      </c>
    </row>
    <row r="143" spans="1:17" x14ac:dyDescent="0.25">
      <c r="A143">
        <v>10142</v>
      </c>
      <c r="B143" s="1">
        <v>45799</v>
      </c>
      <c r="C143">
        <v>3460</v>
      </c>
      <c r="D143" t="s">
        <v>17</v>
      </c>
      <c r="E143" t="s">
        <v>24</v>
      </c>
      <c r="F143" t="s">
        <v>33</v>
      </c>
      <c r="G143" t="s">
        <v>31</v>
      </c>
      <c r="H143">
        <v>1</v>
      </c>
      <c r="I143">
        <v>99.96</v>
      </c>
      <c r="J143">
        <v>20</v>
      </c>
      <c r="K143">
        <v>99.96</v>
      </c>
      <c r="L143">
        <v>19.992000000000001</v>
      </c>
      <c r="M143">
        <v>79.967999999999904</v>
      </c>
      <c r="N143">
        <v>58.42</v>
      </c>
      <c r="O143">
        <v>58.42</v>
      </c>
      <c r="P143">
        <v>21.547999999999899</v>
      </c>
      <c r="Q143">
        <v>26.945778311324499</v>
      </c>
    </row>
    <row r="144" spans="1:17" x14ac:dyDescent="0.25">
      <c r="A144">
        <v>10143</v>
      </c>
      <c r="B144" s="1">
        <v>45800</v>
      </c>
      <c r="C144">
        <v>3847</v>
      </c>
      <c r="D144" t="s">
        <v>23</v>
      </c>
      <c r="E144" t="s">
        <v>24</v>
      </c>
      <c r="F144" t="s">
        <v>33</v>
      </c>
      <c r="G144" t="s">
        <v>20</v>
      </c>
      <c r="H144">
        <v>9</v>
      </c>
      <c r="I144">
        <v>45.57</v>
      </c>
      <c r="J144">
        <v>15</v>
      </c>
      <c r="K144">
        <v>410.13</v>
      </c>
      <c r="L144">
        <v>61.519499999999901</v>
      </c>
      <c r="M144">
        <v>348.6105</v>
      </c>
      <c r="N144">
        <v>53.58</v>
      </c>
      <c r="O144">
        <v>482.219999999999</v>
      </c>
      <c r="P144">
        <v>-133.609499999999</v>
      </c>
      <c r="Q144">
        <v>-38.326298261239899</v>
      </c>
    </row>
    <row r="145" spans="1:17" x14ac:dyDescent="0.25">
      <c r="A145">
        <v>10144</v>
      </c>
      <c r="B145" s="1">
        <v>45801</v>
      </c>
      <c r="C145">
        <v>3797</v>
      </c>
      <c r="D145" t="s">
        <v>21</v>
      </c>
      <c r="E145" t="s">
        <v>18</v>
      </c>
      <c r="F145" t="s">
        <v>33</v>
      </c>
      <c r="G145" t="s">
        <v>30</v>
      </c>
      <c r="H145">
        <v>5</v>
      </c>
      <c r="I145">
        <v>126.95</v>
      </c>
      <c r="J145">
        <v>20</v>
      </c>
      <c r="K145">
        <v>634.75</v>
      </c>
      <c r="L145">
        <v>126.95</v>
      </c>
      <c r="M145">
        <v>507.8</v>
      </c>
      <c r="N145">
        <v>29.14</v>
      </c>
      <c r="O145">
        <v>145.69999999999999</v>
      </c>
      <c r="P145">
        <v>362.1</v>
      </c>
      <c r="Q145">
        <v>71.307601417881003</v>
      </c>
    </row>
    <row r="146" spans="1:17" x14ac:dyDescent="0.25">
      <c r="A146">
        <v>10145</v>
      </c>
      <c r="B146" s="1">
        <v>45802</v>
      </c>
      <c r="C146">
        <v>3648</v>
      </c>
      <c r="D146" t="s">
        <v>21</v>
      </c>
      <c r="E146" t="s">
        <v>18</v>
      </c>
      <c r="F146" t="s">
        <v>33</v>
      </c>
      <c r="G146" t="s">
        <v>30</v>
      </c>
      <c r="H146">
        <v>7</v>
      </c>
      <c r="I146">
        <v>138.72</v>
      </c>
      <c r="J146">
        <v>5</v>
      </c>
      <c r="K146">
        <v>971.04</v>
      </c>
      <c r="L146">
        <v>48.552</v>
      </c>
      <c r="M146">
        <v>922.48799999999903</v>
      </c>
      <c r="N146">
        <v>47.01</v>
      </c>
      <c r="O146">
        <v>329.07</v>
      </c>
      <c r="P146">
        <v>593.41799999999898</v>
      </c>
      <c r="Q146">
        <v>64.327991258422799</v>
      </c>
    </row>
    <row r="147" spans="1:17" x14ac:dyDescent="0.25">
      <c r="A147">
        <v>10146</v>
      </c>
      <c r="B147" s="1">
        <v>45803</v>
      </c>
      <c r="C147">
        <v>3566</v>
      </c>
      <c r="D147" t="s">
        <v>21</v>
      </c>
      <c r="E147" t="s">
        <v>18</v>
      </c>
      <c r="F147" t="s">
        <v>19</v>
      </c>
      <c r="G147" t="s">
        <v>28</v>
      </c>
      <c r="H147">
        <v>5</v>
      </c>
      <c r="I147">
        <v>63.43</v>
      </c>
      <c r="J147">
        <v>0</v>
      </c>
      <c r="K147">
        <v>317.14999999999998</v>
      </c>
      <c r="L147">
        <v>0</v>
      </c>
      <c r="M147">
        <v>317.14999999999998</v>
      </c>
      <c r="N147">
        <v>30.13</v>
      </c>
      <c r="O147">
        <v>150.65</v>
      </c>
      <c r="P147">
        <v>166.49999999999901</v>
      </c>
      <c r="Q147">
        <v>52.4988175941983</v>
      </c>
    </row>
    <row r="148" spans="1:17" x14ac:dyDescent="0.25">
      <c r="A148">
        <v>10147</v>
      </c>
      <c r="B148" s="1">
        <v>45804</v>
      </c>
      <c r="C148">
        <v>3678</v>
      </c>
      <c r="D148" t="s">
        <v>17</v>
      </c>
      <c r="E148" t="s">
        <v>24</v>
      </c>
      <c r="F148" t="s">
        <v>33</v>
      </c>
      <c r="G148" t="s">
        <v>20</v>
      </c>
      <c r="H148">
        <v>2</v>
      </c>
      <c r="I148">
        <v>68.16</v>
      </c>
      <c r="J148">
        <v>0</v>
      </c>
      <c r="K148">
        <v>136.32</v>
      </c>
      <c r="L148">
        <v>0</v>
      </c>
      <c r="M148">
        <v>136.32</v>
      </c>
      <c r="N148">
        <v>82.23</v>
      </c>
      <c r="O148">
        <v>164.46</v>
      </c>
      <c r="P148">
        <v>-28.14</v>
      </c>
      <c r="Q148">
        <v>-20.642605633802798</v>
      </c>
    </row>
    <row r="149" spans="1:17" x14ac:dyDescent="0.25">
      <c r="A149">
        <v>10148</v>
      </c>
      <c r="B149" s="1">
        <v>45805</v>
      </c>
      <c r="C149">
        <v>3373</v>
      </c>
      <c r="D149" t="s">
        <v>21</v>
      </c>
      <c r="E149" t="s">
        <v>18</v>
      </c>
      <c r="F149" t="s">
        <v>19</v>
      </c>
      <c r="G149" t="s">
        <v>22</v>
      </c>
      <c r="H149">
        <v>9</v>
      </c>
      <c r="I149">
        <v>102.27</v>
      </c>
      <c r="J149">
        <v>20</v>
      </c>
      <c r="K149">
        <v>920.43</v>
      </c>
      <c r="L149">
        <v>184.08600000000001</v>
      </c>
      <c r="M149">
        <v>736.34399999999903</v>
      </c>
      <c r="N149">
        <v>105.71</v>
      </c>
      <c r="O149">
        <v>951.39</v>
      </c>
      <c r="P149">
        <v>-215.04599999999999</v>
      </c>
      <c r="Q149">
        <v>-29.204556565952799</v>
      </c>
    </row>
    <row r="150" spans="1:17" x14ac:dyDescent="0.25">
      <c r="A150">
        <v>10149</v>
      </c>
      <c r="B150" s="1">
        <v>45806</v>
      </c>
      <c r="C150">
        <v>3710</v>
      </c>
      <c r="D150" t="s">
        <v>21</v>
      </c>
      <c r="E150" t="s">
        <v>18</v>
      </c>
      <c r="F150" t="s">
        <v>26</v>
      </c>
      <c r="G150" t="s">
        <v>30</v>
      </c>
      <c r="H150">
        <v>4</v>
      </c>
      <c r="I150">
        <v>214.41</v>
      </c>
      <c r="J150">
        <v>20</v>
      </c>
      <c r="K150">
        <v>857.64</v>
      </c>
      <c r="L150">
        <v>171.52799999999999</v>
      </c>
      <c r="M150">
        <v>686.11199999999997</v>
      </c>
      <c r="N150">
        <v>79.78</v>
      </c>
      <c r="O150">
        <v>319.12</v>
      </c>
      <c r="P150">
        <v>366.991999999999</v>
      </c>
      <c r="Q150">
        <v>53.488643253579497</v>
      </c>
    </row>
    <row r="151" spans="1:17" x14ac:dyDescent="0.25">
      <c r="A151">
        <v>10150</v>
      </c>
      <c r="B151" s="1">
        <v>45807</v>
      </c>
      <c r="C151">
        <v>3661</v>
      </c>
      <c r="D151" t="s">
        <v>23</v>
      </c>
      <c r="E151" t="s">
        <v>18</v>
      </c>
      <c r="F151" t="s">
        <v>26</v>
      </c>
      <c r="G151" t="s">
        <v>20</v>
      </c>
      <c r="H151">
        <v>2</v>
      </c>
      <c r="I151">
        <v>203.09</v>
      </c>
      <c r="J151">
        <v>0</v>
      </c>
      <c r="K151">
        <v>406.18</v>
      </c>
      <c r="L151">
        <v>0</v>
      </c>
      <c r="M151">
        <v>406.18</v>
      </c>
      <c r="N151">
        <v>15.25</v>
      </c>
      <c r="O151">
        <v>30.5</v>
      </c>
      <c r="P151">
        <v>375.68</v>
      </c>
      <c r="Q151">
        <v>92.491013836230195</v>
      </c>
    </row>
    <row r="152" spans="1:17" x14ac:dyDescent="0.25">
      <c r="A152">
        <v>10151</v>
      </c>
      <c r="B152" s="1">
        <v>45808</v>
      </c>
      <c r="C152">
        <v>3044</v>
      </c>
      <c r="D152" t="s">
        <v>29</v>
      </c>
      <c r="E152" t="s">
        <v>18</v>
      </c>
      <c r="F152" t="s">
        <v>26</v>
      </c>
      <c r="G152" t="s">
        <v>20</v>
      </c>
      <c r="H152">
        <v>9</v>
      </c>
      <c r="I152">
        <v>197.52</v>
      </c>
      <c r="J152">
        <v>5</v>
      </c>
      <c r="K152">
        <v>1777.68</v>
      </c>
      <c r="L152">
        <v>88.884</v>
      </c>
      <c r="M152">
        <v>1688.796</v>
      </c>
      <c r="N152">
        <v>90.6</v>
      </c>
      <c r="O152">
        <v>815.4</v>
      </c>
      <c r="P152">
        <v>873.39599999999996</v>
      </c>
      <c r="Q152">
        <v>51.717081281575702</v>
      </c>
    </row>
    <row r="153" spans="1:17" x14ac:dyDescent="0.25">
      <c r="A153">
        <v>10152</v>
      </c>
      <c r="B153" s="1">
        <v>45809</v>
      </c>
      <c r="C153">
        <v>3987</v>
      </c>
      <c r="D153" t="s">
        <v>17</v>
      </c>
      <c r="E153" t="s">
        <v>18</v>
      </c>
      <c r="F153" t="s">
        <v>26</v>
      </c>
      <c r="G153" t="s">
        <v>30</v>
      </c>
      <c r="H153">
        <v>8</v>
      </c>
      <c r="I153">
        <v>137.16</v>
      </c>
      <c r="J153">
        <v>20</v>
      </c>
      <c r="K153">
        <v>1097.28</v>
      </c>
      <c r="L153">
        <v>219.45599999999999</v>
      </c>
      <c r="M153">
        <v>877.82399999999996</v>
      </c>
      <c r="N153">
        <v>108.37</v>
      </c>
      <c r="O153">
        <v>866.96</v>
      </c>
      <c r="P153">
        <v>10.8639999999999</v>
      </c>
      <c r="Q153">
        <v>1.2376057159521601</v>
      </c>
    </row>
    <row r="154" spans="1:17" x14ac:dyDescent="0.25">
      <c r="A154">
        <v>10153</v>
      </c>
      <c r="B154" s="1">
        <v>45810</v>
      </c>
      <c r="C154">
        <v>3647</v>
      </c>
      <c r="D154" t="s">
        <v>17</v>
      </c>
      <c r="E154" t="s">
        <v>24</v>
      </c>
      <c r="F154" t="s">
        <v>33</v>
      </c>
      <c r="G154" t="s">
        <v>31</v>
      </c>
      <c r="H154">
        <v>3</v>
      </c>
      <c r="I154">
        <v>222.38</v>
      </c>
      <c r="J154">
        <v>5</v>
      </c>
      <c r="K154">
        <v>667.14</v>
      </c>
      <c r="L154">
        <v>33.356999999999999</v>
      </c>
      <c r="M154">
        <v>633.78300000000002</v>
      </c>
      <c r="N154">
        <v>30.64</v>
      </c>
      <c r="O154">
        <v>91.92</v>
      </c>
      <c r="P154">
        <v>541.86300000000006</v>
      </c>
      <c r="Q154">
        <v>85.496613194105805</v>
      </c>
    </row>
    <row r="155" spans="1:17" x14ac:dyDescent="0.25">
      <c r="A155">
        <v>10154</v>
      </c>
      <c r="B155" s="1">
        <v>45811</v>
      </c>
      <c r="C155">
        <v>3721</v>
      </c>
      <c r="D155" t="s">
        <v>21</v>
      </c>
      <c r="E155" t="s">
        <v>24</v>
      </c>
      <c r="F155" t="s">
        <v>19</v>
      </c>
      <c r="G155" t="s">
        <v>27</v>
      </c>
      <c r="H155">
        <v>9</v>
      </c>
      <c r="I155">
        <v>20.7</v>
      </c>
      <c r="J155">
        <v>10</v>
      </c>
      <c r="K155">
        <v>186.29999999999899</v>
      </c>
      <c r="L155">
        <v>18.63</v>
      </c>
      <c r="M155">
        <v>167.67</v>
      </c>
      <c r="N155">
        <v>75.25</v>
      </c>
      <c r="O155">
        <v>677.25</v>
      </c>
      <c r="P155">
        <v>-509.58</v>
      </c>
      <c r="Q155">
        <v>-303.91841116478798</v>
      </c>
    </row>
    <row r="156" spans="1:17" x14ac:dyDescent="0.25">
      <c r="A156">
        <v>10155</v>
      </c>
      <c r="B156" s="1">
        <v>45812</v>
      </c>
      <c r="C156">
        <v>3495</v>
      </c>
      <c r="D156" t="s">
        <v>21</v>
      </c>
      <c r="E156" t="s">
        <v>24</v>
      </c>
      <c r="F156" t="s">
        <v>26</v>
      </c>
      <c r="G156" t="s">
        <v>31</v>
      </c>
      <c r="H156">
        <v>9</v>
      </c>
      <c r="I156">
        <v>50.19</v>
      </c>
      <c r="J156">
        <v>10</v>
      </c>
      <c r="K156">
        <v>451.71</v>
      </c>
      <c r="L156">
        <v>45.170999999999999</v>
      </c>
      <c r="M156">
        <v>406.53899999999999</v>
      </c>
      <c r="N156">
        <v>145.76</v>
      </c>
      <c r="O156">
        <v>1311.84</v>
      </c>
      <c r="P156">
        <v>-905.30099999999902</v>
      </c>
      <c r="Q156">
        <v>-222.68490845896699</v>
      </c>
    </row>
    <row r="157" spans="1:17" x14ac:dyDescent="0.25">
      <c r="A157">
        <v>10156</v>
      </c>
      <c r="B157" s="1">
        <v>45813</v>
      </c>
      <c r="C157">
        <v>3197</v>
      </c>
      <c r="D157" t="s">
        <v>17</v>
      </c>
      <c r="E157" t="s">
        <v>18</v>
      </c>
      <c r="F157" t="s">
        <v>26</v>
      </c>
      <c r="G157" t="s">
        <v>32</v>
      </c>
      <c r="H157">
        <v>7</v>
      </c>
      <c r="I157">
        <v>119.68</v>
      </c>
      <c r="J157">
        <v>15</v>
      </c>
      <c r="K157">
        <v>837.76</v>
      </c>
      <c r="L157">
        <v>125.66399999999901</v>
      </c>
      <c r="M157">
        <v>712.096</v>
      </c>
      <c r="N157">
        <v>124.93</v>
      </c>
      <c r="O157">
        <v>874.51</v>
      </c>
      <c r="P157">
        <v>-162.41399999999999</v>
      </c>
      <c r="Q157">
        <v>-22.807879836426501</v>
      </c>
    </row>
    <row r="158" spans="1:17" x14ac:dyDescent="0.25">
      <c r="A158">
        <v>10157</v>
      </c>
      <c r="B158" s="1">
        <v>45814</v>
      </c>
      <c r="C158">
        <v>3100</v>
      </c>
      <c r="D158" t="s">
        <v>17</v>
      </c>
      <c r="E158" t="s">
        <v>24</v>
      </c>
      <c r="F158" t="s">
        <v>26</v>
      </c>
      <c r="G158" t="s">
        <v>30</v>
      </c>
      <c r="H158">
        <v>7</v>
      </c>
      <c r="I158">
        <v>196.24</v>
      </c>
      <c r="J158">
        <v>15</v>
      </c>
      <c r="K158">
        <v>1373.68</v>
      </c>
      <c r="L158">
        <v>206.05199999999999</v>
      </c>
      <c r="M158">
        <v>1167.6279999999999</v>
      </c>
      <c r="N158">
        <v>71.11</v>
      </c>
      <c r="O158">
        <v>497.77</v>
      </c>
      <c r="P158">
        <v>669.85799999999995</v>
      </c>
      <c r="Q158">
        <v>57.369127838660901</v>
      </c>
    </row>
    <row r="159" spans="1:17" x14ac:dyDescent="0.25">
      <c r="A159">
        <v>10158</v>
      </c>
      <c r="B159" s="1">
        <v>45815</v>
      </c>
      <c r="C159">
        <v>3180</v>
      </c>
      <c r="D159" t="s">
        <v>23</v>
      </c>
      <c r="E159" t="s">
        <v>24</v>
      </c>
      <c r="F159" t="s">
        <v>26</v>
      </c>
      <c r="G159" t="s">
        <v>30</v>
      </c>
      <c r="H159">
        <v>6</v>
      </c>
      <c r="I159">
        <v>122.93</v>
      </c>
      <c r="J159">
        <v>15</v>
      </c>
      <c r="K159">
        <v>737.58</v>
      </c>
      <c r="L159">
        <v>110.637</v>
      </c>
      <c r="M159">
        <v>626.94299999999998</v>
      </c>
      <c r="N159">
        <v>42.57</v>
      </c>
      <c r="O159">
        <v>255.42</v>
      </c>
      <c r="P159">
        <v>371.522999999999</v>
      </c>
      <c r="Q159">
        <v>59.259454208755798</v>
      </c>
    </row>
    <row r="160" spans="1:17" x14ac:dyDescent="0.25">
      <c r="A160">
        <v>10159</v>
      </c>
      <c r="B160" s="1">
        <v>45816</v>
      </c>
      <c r="C160">
        <v>3169</v>
      </c>
      <c r="D160" t="s">
        <v>29</v>
      </c>
      <c r="E160" t="s">
        <v>18</v>
      </c>
      <c r="F160" t="s">
        <v>33</v>
      </c>
      <c r="G160" t="s">
        <v>28</v>
      </c>
      <c r="H160">
        <v>3</v>
      </c>
      <c r="I160">
        <v>248.77</v>
      </c>
      <c r="J160">
        <v>0</v>
      </c>
      <c r="K160">
        <v>746.31</v>
      </c>
      <c r="L160">
        <v>0</v>
      </c>
      <c r="M160">
        <v>746.31</v>
      </c>
      <c r="N160">
        <v>28.24</v>
      </c>
      <c r="O160">
        <v>84.72</v>
      </c>
      <c r="P160">
        <v>661.59</v>
      </c>
      <c r="Q160">
        <v>88.648148892551305</v>
      </c>
    </row>
    <row r="161" spans="1:17" x14ac:dyDescent="0.25">
      <c r="A161">
        <v>10160</v>
      </c>
      <c r="B161" s="1">
        <v>45817</v>
      </c>
      <c r="C161">
        <v>3029</v>
      </c>
      <c r="D161" t="s">
        <v>21</v>
      </c>
      <c r="E161" t="s">
        <v>18</v>
      </c>
      <c r="F161" t="s">
        <v>33</v>
      </c>
      <c r="G161" t="s">
        <v>31</v>
      </c>
      <c r="H161">
        <v>3</v>
      </c>
      <c r="I161">
        <v>238.86</v>
      </c>
      <c r="J161">
        <v>15</v>
      </c>
      <c r="K161">
        <v>716.58</v>
      </c>
      <c r="L161">
        <v>107.48699999999999</v>
      </c>
      <c r="M161">
        <v>609.09299999999996</v>
      </c>
      <c r="N161">
        <v>11.65</v>
      </c>
      <c r="O161">
        <v>34.950000000000003</v>
      </c>
      <c r="P161">
        <v>574.14300000000003</v>
      </c>
      <c r="Q161">
        <v>94.261959996256707</v>
      </c>
    </row>
    <row r="162" spans="1:17" x14ac:dyDescent="0.25">
      <c r="A162">
        <v>10161</v>
      </c>
      <c r="B162" s="1">
        <v>45818</v>
      </c>
      <c r="C162">
        <v>3282</v>
      </c>
      <c r="D162" t="s">
        <v>29</v>
      </c>
      <c r="E162" t="s">
        <v>24</v>
      </c>
      <c r="F162" t="s">
        <v>33</v>
      </c>
      <c r="G162" t="s">
        <v>31</v>
      </c>
      <c r="H162">
        <v>5</v>
      </c>
      <c r="I162">
        <v>226.48</v>
      </c>
      <c r="J162">
        <v>0</v>
      </c>
      <c r="K162">
        <v>1132.3999999999901</v>
      </c>
      <c r="L162">
        <v>0</v>
      </c>
      <c r="M162">
        <v>1132.3999999999901</v>
      </c>
      <c r="N162">
        <v>38.99</v>
      </c>
      <c r="O162">
        <v>194.95</v>
      </c>
      <c r="P162">
        <v>937.44999999999902</v>
      </c>
      <c r="Q162">
        <v>82.784351819145101</v>
      </c>
    </row>
    <row r="163" spans="1:17" x14ac:dyDescent="0.25">
      <c r="A163">
        <v>10162</v>
      </c>
      <c r="B163" s="1">
        <v>45819</v>
      </c>
      <c r="C163">
        <v>3832</v>
      </c>
      <c r="D163" t="s">
        <v>29</v>
      </c>
      <c r="E163" t="s">
        <v>18</v>
      </c>
      <c r="F163" t="s">
        <v>25</v>
      </c>
      <c r="G163" t="s">
        <v>30</v>
      </c>
      <c r="H163">
        <v>8</v>
      </c>
      <c r="I163">
        <v>206.58</v>
      </c>
      <c r="J163">
        <v>15</v>
      </c>
      <c r="K163">
        <v>1652.64</v>
      </c>
      <c r="L163">
        <v>247.89599999999999</v>
      </c>
      <c r="M163">
        <v>1404.7439999999999</v>
      </c>
      <c r="N163">
        <v>75.81</v>
      </c>
      <c r="O163">
        <v>606.48</v>
      </c>
      <c r="P163">
        <v>798.26400000000001</v>
      </c>
      <c r="Q163">
        <v>56.826297175855501</v>
      </c>
    </row>
    <row r="164" spans="1:17" x14ac:dyDescent="0.25">
      <c r="A164">
        <v>10163</v>
      </c>
      <c r="B164" s="1">
        <v>45820</v>
      </c>
      <c r="C164">
        <v>3764</v>
      </c>
      <c r="D164" t="s">
        <v>29</v>
      </c>
      <c r="E164" t="s">
        <v>24</v>
      </c>
      <c r="F164" t="s">
        <v>26</v>
      </c>
      <c r="G164" t="s">
        <v>28</v>
      </c>
      <c r="H164">
        <v>9</v>
      </c>
      <c r="I164">
        <v>77.650000000000006</v>
      </c>
      <c r="J164">
        <v>5</v>
      </c>
      <c r="K164">
        <v>698.85</v>
      </c>
      <c r="L164">
        <v>34.942500000000003</v>
      </c>
      <c r="M164">
        <v>663.90750000000003</v>
      </c>
      <c r="N164">
        <v>77.290000000000006</v>
      </c>
      <c r="O164">
        <v>695.61</v>
      </c>
      <c r="P164">
        <v>-31.702499999999901</v>
      </c>
      <c r="Q164">
        <v>-4.7751381028230497</v>
      </c>
    </row>
    <row r="165" spans="1:17" x14ac:dyDescent="0.25">
      <c r="A165">
        <v>10164</v>
      </c>
      <c r="B165" s="1">
        <v>45821</v>
      </c>
      <c r="C165">
        <v>3190</v>
      </c>
      <c r="D165" t="s">
        <v>21</v>
      </c>
      <c r="E165" t="s">
        <v>18</v>
      </c>
      <c r="F165" t="s">
        <v>33</v>
      </c>
      <c r="G165" t="s">
        <v>20</v>
      </c>
      <c r="H165">
        <v>6</v>
      </c>
      <c r="I165">
        <v>167</v>
      </c>
      <c r="J165">
        <v>15</v>
      </c>
      <c r="K165">
        <v>1002</v>
      </c>
      <c r="L165">
        <v>150.29999999999899</v>
      </c>
      <c r="M165">
        <v>851.7</v>
      </c>
      <c r="N165">
        <v>30.03</v>
      </c>
      <c r="O165">
        <v>180.18</v>
      </c>
      <c r="P165">
        <v>671.52</v>
      </c>
      <c r="Q165">
        <v>78.844663613948498</v>
      </c>
    </row>
    <row r="166" spans="1:17" x14ac:dyDescent="0.25">
      <c r="A166">
        <v>10165</v>
      </c>
      <c r="B166" s="1">
        <v>45822</v>
      </c>
      <c r="C166">
        <v>3726</v>
      </c>
      <c r="D166" t="s">
        <v>29</v>
      </c>
      <c r="E166" t="s">
        <v>24</v>
      </c>
      <c r="F166" t="s">
        <v>26</v>
      </c>
      <c r="G166" t="s">
        <v>22</v>
      </c>
      <c r="H166">
        <v>7</v>
      </c>
      <c r="I166">
        <v>22.05</v>
      </c>
      <c r="J166">
        <v>15</v>
      </c>
      <c r="K166">
        <v>154.35</v>
      </c>
      <c r="L166">
        <v>23.1525</v>
      </c>
      <c r="M166">
        <v>131.19749999999999</v>
      </c>
      <c r="N166">
        <v>70.89</v>
      </c>
      <c r="O166">
        <v>496.23</v>
      </c>
      <c r="P166">
        <v>-365.03250000000003</v>
      </c>
      <c r="Q166">
        <v>-278.23129251700601</v>
      </c>
    </row>
    <row r="167" spans="1:17" x14ac:dyDescent="0.25">
      <c r="A167">
        <v>10166</v>
      </c>
      <c r="B167" s="1">
        <v>45823</v>
      </c>
      <c r="C167">
        <v>3738</v>
      </c>
      <c r="D167" t="s">
        <v>29</v>
      </c>
      <c r="E167" t="s">
        <v>18</v>
      </c>
      <c r="F167" t="s">
        <v>25</v>
      </c>
      <c r="G167" t="s">
        <v>32</v>
      </c>
      <c r="H167">
        <v>3</v>
      </c>
      <c r="I167">
        <v>206.63</v>
      </c>
      <c r="J167">
        <v>15</v>
      </c>
      <c r="K167">
        <v>619.89</v>
      </c>
      <c r="L167">
        <v>92.983499999999907</v>
      </c>
      <c r="M167">
        <v>526.90650000000005</v>
      </c>
      <c r="N167">
        <v>68.959999999999994</v>
      </c>
      <c r="O167">
        <v>206.88</v>
      </c>
      <c r="P167">
        <v>320.0265</v>
      </c>
      <c r="Q167">
        <v>60.736866977347901</v>
      </c>
    </row>
    <row r="168" spans="1:17" x14ac:dyDescent="0.25">
      <c r="A168">
        <v>10167</v>
      </c>
      <c r="B168" s="1">
        <v>45824</v>
      </c>
      <c r="C168">
        <v>3012</v>
      </c>
      <c r="D168" t="s">
        <v>23</v>
      </c>
      <c r="E168" t="s">
        <v>18</v>
      </c>
      <c r="F168" t="s">
        <v>33</v>
      </c>
      <c r="G168" t="s">
        <v>27</v>
      </c>
      <c r="H168">
        <v>4</v>
      </c>
      <c r="I168">
        <v>87.63</v>
      </c>
      <c r="J168">
        <v>0</v>
      </c>
      <c r="K168">
        <v>350.52</v>
      </c>
      <c r="L168">
        <v>0</v>
      </c>
      <c r="M168">
        <v>350.52</v>
      </c>
      <c r="N168">
        <v>122.38</v>
      </c>
      <c r="O168">
        <v>489.52</v>
      </c>
      <c r="P168">
        <v>-139</v>
      </c>
      <c r="Q168">
        <v>-39.655369165810797</v>
      </c>
    </row>
    <row r="169" spans="1:17" x14ac:dyDescent="0.25">
      <c r="A169">
        <v>10168</v>
      </c>
      <c r="B169" s="1">
        <v>45825</v>
      </c>
      <c r="C169">
        <v>3646</v>
      </c>
      <c r="D169" t="s">
        <v>23</v>
      </c>
      <c r="E169" t="s">
        <v>24</v>
      </c>
      <c r="F169" t="s">
        <v>19</v>
      </c>
      <c r="G169" t="s">
        <v>28</v>
      </c>
      <c r="H169">
        <v>9</v>
      </c>
      <c r="I169">
        <v>56.96</v>
      </c>
      <c r="J169">
        <v>20</v>
      </c>
      <c r="K169">
        <v>512.64</v>
      </c>
      <c r="L169">
        <v>102.52800000000001</v>
      </c>
      <c r="M169">
        <v>410.111999999999</v>
      </c>
      <c r="N169">
        <v>138.59</v>
      </c>
      <c r="O169">
        <v>1247.31</v>
      </c>
      <c r="P169">
        <v>-837.19799999999998</v>
      </c>
      <c r="Q169">
        <v>-204.13886938202199</v>
      </c>
    </row>
    <row r="170" spans="1:17" x14ac:dyDescent="0.25">
      <c r="A170">
        <v>10169</v>
      </c>
      <c r="B170" s="1">
        <v>45826</v>
      </c>
      <c r="C170">
        <v>3488</v>
      </c>
      <c r="D170" t="s">
        <v>29</v>
      </c>
      <c r="E170" t="s">
        <v>24</v>
      </c>
      <c r="F170" t="s">
        <v>19</v>
      </c>
      <c r="G170" t="s">
        <v>28</v>
      </c>
      <c r="H170">
        <v>3</v>
      </c>
      <c r="I170">
        <v>141.75</v>
      </c>
      <c r="J170">
        <v>15</v>
      </c>
      <c r="K170">
        <v>425.25</v>
      </c>
      <c r="L170">
        <v>63.787499999999902</v>
      </c>
      <c r="M170">
        <v>361.46249999999998</v>
      </c>
      <c r="N170">
        <v>143.81</v>
      </c>
      <c r="O170">
        <v>431.43</v>
      </c>
      <c r="P170">
        <v>-69.967500000000001</v>
      </c>
      <c r="Q170">
        <v>-19.356779748936599</v>
      </c>
    </row>
    <row r="171" spans="1:17" x14ac:dyDescent="0.25">
      <c r="A171">
        <v>10170</v>
      </c>
      <c r="B171" s="1">
        <v>45827</v>
      </c>
      <c r="C171">
        <v>3930</v>
      </c>
      <c r="D171" t="s">
        <v>23</v>
      </c>
      <c r="E171" t="s">
        <v>24</v>
      </c>
      <c r="F171" t="s">
        <v>33</v>
      </c>
      <c r="G171" t="s">
        <v>20</v>
      </c>
      <c r="H171">
        <v>4</v>
      </c>
      <c r="I171">
        <v>156.47</v>
      </c>
      <c r="J171">
        <v>10</v>
      </c>
      <c r="K171">
        <v>625.88</v>
      </c>
      <c r="L171">
        <v>62.588000000000001</v>
      </c>
      <c r="M171">
        <v>563.29200000000003</v>
      </c>
      <c r="N171">
        <v>75.62</v>
      </c>
      <c r="O171">
        <v>302.48</v>
      </c>
      <c r="P171">
        <v>260.81200000000001</v>
      </c>
      <c r="Q171">
        <v>46.301385427096399</v>
      </c>
    </row>
    <row r="172" spans="1:17" x14ac:dyDescent="0.25">
      <c r="A172">
        <v>10171</v>
      </c>
      <c r="B172" s="1">
        <v>45828</v>
      </c>
      <c r="C172">
        <v>3443</v>
      </c>
      <c r="D172" t="s">
        <v>17</v>
      </c>
      <c r="E172" t="s">
        <v>24</v>
      </c>
      <c r="F172" t="s">
        <v>33</v>
      </c>
      <c r="G172" t="s">
        <v>31</v>
      </c>
      <c r="H172">
        <v>4</v>
      </c>
      <c r="I172">
        <v>108.09</v>
      </c>
      <c r="J172">
        <v>15</v>
      </c>
      <c r="K172">
        <v>432.36</v>
      </c>
      <c r="L172">
        <v>64.853999999999999</v>
      </c>
      <c r="M172">
        <v>367.50599999999997</v>
      </c>
      <c r="N172">
        <v>128.38999999999999</v>
      </c>
      <c r="O172">
        <v>513.55999999999995</v>
      </c>
      <c r="P172">
        <v>-146.05399999999901</v>
      </c>
      <c r="Q172">
        <v>-39.741936186075797</v>
      </c>
    </row>
    <row r="173" spans="1:17" x14ac:dyDescent="0.25">
      <c r="A173">
        <v>10172</v>
      </c>
      <c r="B173" s="1">
        <v>45829</v>
      </c>
      <c r="C173">
        <v>3106</v>
      </c>
      <c r="D173" t="s">
        <v>21</v>
      </c>
      <c r="E173" t="s">
        <v>18</v>
      </c>
      <c r="F173" t="s">
        <v>26</v>
      </c>
      <c r="G173" t="s">
        <v>27</v>
      </c>
      <c r="H173">
        <v>7</v>
      </c>
      <c r="I173">
        <v>148</v>
      </c>
      <c r="J173">
        <v>10</v>
      </c>
      <c r="K173">
        <v>1036</v>
      </c>
      <c r="L173">
        <v>103.6</v>
      </c>
      <c r="M173">
        <v>932.4</v>
      </c>
      <c r="N173">
        <v>94.93</v>
      </c>
      <c r="O173">
        <v>664.51</v>
      </c>
      <c r="P173">
        <v>267.89</v>
      </c>
      <c r="Q173">
        <v>28.731231231231199</v>
      </c>
    </row>
    <row r="174" spans="1:17" x14ac:dyDescent="0.25">
      <c r="A174">
        <v>10173</v>
      </c>
      <c r="B174" s="1">
        <v>45830</v>
      </c>
      <c r="C174">
        <v>3622</v>
      </c>
      <c r="D174" t="s">
        <v>29</v>
      </c>
      <c r="E174" t="s">
        <v>24</v>
      </c>
      <c r="F174" t="s">
        <v>25</v>
      </c>
      <c r="G174" t="s">
        <v>22</v>
      </c>
      <c r="H174">
        <v>5</v>
      </c>
      <c r="I174">
        <v>210.58</v>
      </c>
      <c r="J174">
        <v>20</v>
      </c>
      <c r="K174">
        <v>1052.9000000000001</v>
      </c>
      <c r="L174">
        <v>210.58</v>
      </c>
      <c r="M174">
        <v>842.32</v>
      </c>
      <c r="N174">
        <v>19.75</v>
      </c>
      <c r="O174">
        <v>98.75</v>
      </c>
      <c r="P174">
        <v>743.57</v>
      </c>
      <c r="Q174">
        <v>88.276427011112105</v>
      </c>
    </row>
    <row r="175" spans="1:17" x14ac:dyDescent="0.25">
      <c r="A175">
        <v>10174</v>
      </c>
      <c r="B175" s="1">
        <v>45831</v>
      </c>
      <c r="C175">
        <v>3884</v>
      </c>
      <c r="D175" t="s">
        <v>29</v>
      </c>
      <c r="E175" t="s">
        <v>24</v>
      </c>
      <c r="F175" t="s">
        <v>33</v>
      </c>
      <c r="G175" t="s">
        <v>28</v>
      </c>
      <c r="H175">
        <v>2</v>
      </c>
      <c r="I175">
        <v>84.9</v>
      </c>
      <c r="J175">
        <v>10</v>
      </c>
      <c r="K175">
        <v>169.8</v>
      </c>
      <c r="L175">
        <v>16.98</v>
      </c>
      <c r="M175">
        <v>152.82</v>
      </c>
      <c r="N175">
        <v>15.57</v>
      </c>
      <c r="O175">
        <v>31.14</v>
      </c>
      <c r="P175">
        <v>121.68</v>
      </c>
      <c r="Q175">
        <v>79.623085983509995</v>
      </c>
    </row>
    <row r="176" spans="1:17" x14ac:dyDescent="0.25">
      <c r="A176">
        <v>10175</v>
      </c>
      <c r="B176" s="1">
        <v>45832</v>
      </c>
      <c r="C176">
        <v>3497</v>
      </c>
      <c r="D176" t="s">
        <v>23</v>
      </c>
      <c r="E176" t="s">
        <v>24</v>
      </c>
      <c r="F176" t="s">
        <v>19</v>
      </c>
      <c r="G176" t="s">
        <v>30</v>
      </c>
      <c r="H176">
        <v>1</v>
      </c>
      <c r="I176">
        <v>142.79</v>
      </c>
      <c r="J176">
        <v>15</v>
      </c>
      <c r="K176">
        <v>142.79</v>
      </c>
      <c r="L176">
        <v>21.418499999999899</v>
      </c>
      <c r="M176">
        <v>121.3715</v>
      </c>
      <c r="N176">
        <v>92.74</v>
      </c>
      <c r="O176">
        <v>92.74</v>
      </c>
      <c r="P176">
        <v>28.631499999999999</v>
      </c>
      <c r="Q176">
        <v>23.589969638671299</v>
      </c>
    </row>
    <row r="177" spans="1:17" x14ac:dyDescent="0.25">
      <c r="A177">
        <v>10176</v>
      </c>
      <c r="B177" s="1">
        <v>45833</v>
      </c>
      <c r="C177">
        <v>3349</v>
      </c>
      <c r="D177" t="s">
        <v>21</v>
      </c>
      <c r="E177" t="s">
        <v>24</v>
      </c>
      <c r="F177" t="s">
        <v>33</v>
      </c>
      <c r="G177" t="s">
        <v>27</v>
      </c>
      <c r="H177">
        <v>8</v>
      </c>
      <c r="I177">
        <v>143.27000000000001</v>
      </c>
      <c r="J177">
        <v>20</v>
      </c>
      <c r="K177">
        <v>1146.1600000000001</v>
      </c>
      <c r="L177">
        <v>229.232</v>
      </c>
      <c r="M177">
        <v>916.928</v>
      </c>
      <c r="N177">
        <v>103.84</v>
      </c>
      <c r="O177">
        <v>830.72</v>
      </c>
      <c r="P177">
        <v>86.207999999999998</v>
      </c>
      <c r="Q177">
        <v>9.4018287150136093</v>
      </c>
    </row>
    <row r="178" spans="1:17" x14ac:dyDescent="0.25">
      <c r="A178">
        <v>10177</v>
      </c>
      <c r="B178" s="1">
        <v>45834</v>
      </c>
      <c r="C178">
        <v>3486</v>
      </c>
      <c r="D178" t="s">
        <v>29</v>
      </c>
      <c r="E178" t="s">
        <v>24</v>
      </c>
      <c r="F178" t="s">
        <v>26</v>
      </c>
      <c r="G178" t="s">
        <v>28</v>
      </c>
      <c r="H178">
        <v>8</v>
      </c>
      <c r="I178">
        <v>85.06</v>
      </c>
      <c r="J178">
        <v>5</v>
      </c>
      <c r="K178">
        <v>680.48</v>
      </c>
      <c r="L178">
        <v>34.024000000000001</v>
      </c>
      <c r="M178">
        <v>646.45600000000002</v>
      </c>
      <c r="N178">
        <v>99.49</v>
      </c>
      <c r="O178">
        <v>795.92</v>
      </c>
      <c r="P178">
        <v>-149.463999999999</v>
      </c>
      <c r="Q178">
        <v>-23.120521736978201</v>
      </c>
    </row>
    <row r="179" spans="1:17" x14ac:dyDescent="0.25">
      <c r="A179">
        <v>10178</v>
      </c>
      <c r="B179" s="1">
        <v>45835</v>
      </c>
      <c r="C179">
        <v>3234</v>
      </c>
      <c r="D179" t="s">
        <v>23</v>
      </c>
      <c r="E179" t="s">
        <v>24</v>
      </c>
      <c r="F179" t="s">
        <v>33</v>
      </c>
      <c r="G179" t="s">
        <v>32</v>
      </c>
      <c r="H179">
        <v>7</v>
      </c>
      <c r="I179">
        <v>127.31</v>
      </c>
      <c r="J179">
        <v>15</v>
      </c>
      <c r="K179">
        <v>891.17</v>
      </c>
      <c r="L179">
        <v>133.6755</v>
      </c>
      <c r="M179">
        <v>757.49450000000002</v>
      </c>
      <c r="N179">
        <v>75.17</v>
      </c>
      <c r="O179">
        <v>526.19000000000005</v>
      </c>
      <c r="P179">
        <v>231.304499999999</v>
      </c>
      <c r="Q179">
        <v>30.53546923443</v>
      </c>
    </row>
    <row r="180" spans="1:17" x14ac:dyDescent="0.25">
      <c r="A180">
        <v>10179</v>
      </c>
      <c r="B180" s="1">
        <v>45836</v>
      </c>
      <c r="C180">
        <v>3529</v>
      </c>
      <c r="D180" t="s">
        <v>21</v>
      </c>
      <c r="E180" t="s">
        <v>18</v>
      </c>
      <c r="F180" t="s">
        <v>26</v>
      </c>
      <c r="G180" t="s">
        <v>27</v>
      </c>
      <c r="H180">
        <v>7</v>
      </c>
      <c r="I180">
        <v>75.78</v>
      </c>
      <c r="J180">
        <v>15</v>
      </c>
      <c r="K180">
        <v>530.46</v>
      </c>
      <c r="L180">
        <v>79.569000000000003</v>
      </c>
      <c r="M180">
        <v>450.89100000000002</v>
      </c>
      <c r="N180">
        <v>90.94</v>
      </c>
      <c r="O180">
        <v>636.57999999999902</v>
      </c>
      <c r="P180">
        <v>-185.688999999999</v>
      </c>
      <c r="Q180">
        <v>-41.182680514802797</v>
      </c>
    </row>
    <row r="181" spans="1:17" x14ac:dyDescent="0.25">
      <c r="A181">
        <v>10180</v>
      </c>
      <c r="B181" s="1">
        <v>45837</v>
      </c>
      <c r="C181">
        <v>3005</v>
      </c>
      <c r="D181" t="s">
        <v>17</v>
      </c>
      <c r="E181" t="s">
        <v>18</v>
      </c>
      <c r="F181" t="s">
        <v>25</v>
      </c>
      <c r="G181" t="s">
        <v>28</v>
      </c>
      <c r="H181">
        <v>4</v>
      </c>
      <c r="I181">
        <v>108.87</v>
      </c>
      <c r="J181">
        <v>10</v>
      </c>
      <c r="K181">
        <v>435.48</v>
      </c>
      <c r="L181">
        <v>43.548000000000002</v>
      </c>
      <c r="M181">
        <v>391.93200000000002</v>
      </c>
      <c r="N181">
        <v>101.15</v>
      </c>
      <c r="O181">
        <v>404.6</v>
      </c>
      <c r="P181">
        <v>-12.667999999999999</v>
      </c>
      <c r="Q181">
        <v>-3.2321933396609599</v>
      </c>
    </row>
    <row r="182" spans="1:17" x14ac:dyDescent="0.25">
      <c r="A182">
        <v>10181</v>
      </c>
      <c r="B182" s="1">
        <v>45838</v>
      </c>
      <c r="C182">
        <v>3847</v>
      </c>
      <c r="D182" t="s">
        <v>23</v>
      </c>
      <c r="E182" t="s">
        <v>18</v>
      </c>
      <c r="F182" t="s">
        <v>26</v>
      </c>
      <c r="G182" t="s">
        <v>27</v>
      </c>
      <c r="H182">
        <v>9</v>
      </c>
      <c r="I182">
        <v>77.73</v>
      </c>
      <c r="J182">
        <v>0</v>
      </c>
      <c r="K182">
        <v>699.57</v>
      </c>
      <c r="L182">
        <v>0</v>
      </c>
      <c r="M182">
        <v>699.57</v>
      </c>
      <c r="N182">
        <v>107.01</v>
      </c>
      <c r="O182">
        <v>963.09</v>
      </c>
      <c r="P182">
        <v>-263.52</v>
      </c>
      <c r="Q182">
        <v>-37.668853724430697</v>
      </c>
    </row>
    <row r="183" spans="1:17" x14ac:dyDescent="0.25">
      <c r="A183">
        <v>10182</v>
      </c>
      <c r="B183" s="1">
        <v>45839</v>
      </c>
      <c r="C183">
        <v>3049</v>
      </c>
      <c r="D183" t="s">
        <v>23</v>
      </c>
      <c r="E183" t="s">
        <v>24</v>
      </c>
      <c r="F183" t="s">
        <v>26</v>
      </c>
      <c r="G183" t="s">
        <v>32</v>
      </c>
      <c r="H183">
        <v>4</v>
      </c>
      <c r="I183">
        <v>84.75</v>
      </c>
      <c r="J183">
        <v>5</v>
      </c>
      <c r="K183">
        <v>339</v>
      </c>
      <c r="L183">
        <v>16.95</v>
      </c>
      <c r="M183">
        <v>322.05</v>
      </c>
      <c r="N183">
        <v>25.87</v>
      </c>
      <c r="O183">
        <v>103.48</v>
      </c>
      <c r="P183">
        <v>218.57</v>
      </c>
      <c r="Q183">
        <v>67.868343424933997</v>
      </c>
    </row>
    <row r="184" spans="1:17" x14ac:dyDescent="0.25">
      <c r="A184">
        <v>10183</v>
      </c>
      <c r="B184" s="1">
        <v>45840</v>
      </c>
      <c r="C184">
        <v>3438</v>
      </c>
      <c r="D184" t="s">
        <v>23</v>
      </c>
      <c r="E184" t="s">
        <v>24</v>
      </c>
      <c r="F184" t="s">
        <v>26</v>
      </c>
      <c r="G184" t="s">
        <v>28</v>
      </c>
      <c r="H184">
        <v>3</v>
      </c>
      <c r="I184">
        <v>193.29</v>
      </c>
      <c r="J184">
        <v>5</v>
      </c>
      <c r="K184">
        <v>579.87</v>
      </c>
      <c r="L184">
        <v>28.993500000000001</v>
      </c>
      <c r="M184">
        <v>550.87649999999996</v>
      </c>
      <c r="N184">
        <v>74.03</v>
      </c>
      <c r="O184">
        <v>222.09</v>
      </c>
      <c r="P184">
        <v>328.78649999999902</v>
      </c>
      <c r="Q184">
        <v>59.684248647382802</v>
      </c>
    </row>
    <row r="185" spans="1:17" x14ac:dyDescent="0.25">
      <c r="A185">
        <v>10184</v>
      </c>
      <c r="B185" s="1">
        <v>45841</v>
      </c>
      <c r="C185">
        <v>3332</v>
      </c>
      <c r="D185" t="s">
        <v>29</v>
      </c>
      <c r="E185" t="s">
        <v>24</v>
      </c>
      <c r="F185" t="s">
        <v>26</v>
      </c>
      <c r="G185" t="s">
        <v>28</v>
      </c>
      <c r="H185">
        <v>3</v>
      </c>
      <c r="I185">
        <v>246.74</v>
      </c>
      <c r="J185">
        <v>10</v>
      </c>
      <c r="K185">
        <v>740.22</v>
      </c>
      <c r="L185">
        <v>74.022000000000006</v>
      </c>
      <c r="M185">
        <v>666.19799999999998</v>
      </c>
      <c r="N185">
        <v>53.01</v>
      </c>
      <c r="O185">
        <v>159.03</v>
      </c>
      <c r="P185">
        <v>507.16800000000001</v>
      </c>
      <c r="Q185">
        <v>76.128718489097807</v>
      </c>
    </row>
    <row r="186" spans="1:17" x14ac:dyDescent="0.25">
      <c r="A186">
        <v>10185</v>
      </c>
      <c r="B186" s="1">
        <v>45842</v>
      </c>
      <c r="C186">
        <v>3617</v>
      </c>
      <c r="D186" t="s">
        <v>17</v>
      </c>
      <c r="E186" t="s">
        <v>18</v>
      </c>
      <c r="F186" t="s">
        <v>19</v>
      </c>
      <c r="G186" t="s">
        <v>27</v>
      </c>
      <c r="H186">
        <v>8</v>
      </c>
      <c r="I186">
        <v>209.82</v>
      </c>
      <c r="J186">
        <v>5</v>
      </c>
      <c r="K186">
        <v>1678.56</v>
      </c>
      <c r="L186">
        <v>83.927999999999997</v>
      </c>
      <c r="M186">
        <v>1594.6320000000001</v>
      </c>
      <c r="N186">
        <v>75.11</v>
      </c>
      <c r="O186">
        <v>600.88</v>
      </c>
      <c r="P186">
        <v>993.75199999999995</v>
      </c>
      <c r="Q186">
        <v>62.318578831981299</v>
      </c>
    </row>
    <row r="187" spans="1:17" x14ac:dyDescent="0.25">
      <c r="A187">
        <v>10186</v>
      </c>
      <c r="B187" s="1">
        <v>45843</v>
      </c>
      <c r="C187">
        <v>3988</v>
      </c>
      <c r="D187" t="s">
        <v>29</v>
      </c>
      <c r="E187" t="s">
        <v>24</v>
      </c>
      <c r="F187" t="s">
        <v>25</v>
      </c>
      <c r="G187" t="s">
        <v>27</v>
      </c>
      <c r="H187">
        <v>3</v>
      </c>
      <c r="I187">
        <v>200.65</v>
      </c>
      <c r="J187">
        <v>5</v>
      </c>
      <c r="K187">
        <v>601.95000000000005</v>
      </c>
      <c r="L187">
        <v>30.0975</v>
      </c>
      <c r="M187">
        <v>571.85249999999996</v>
      </c>
      <c r="N187">
        <v>62.04</v>
      </c>
      <c r="O187">
        <v>186.12</v>
      </c>
      <c r="P187">
        <v>385.73250000000002</v>
      </c>
      <c r="Q187">
        <v>67.453145697535604</v>
      </c>
    </row>
    <row r="188" spans="1:17" x14ac:dyDescent="0.25">
      <c r="A188">
        <v>10187</v>
      </c>
      <c r="B188" s="1">
        <v>45844</v>
      </c>
      <c r="C188">
        <v>3182</v>
      </c>
      <c r="D188" t="s">
        <v>23</v>
      </c>
      <c r="E188" t="s">
        <v>18</v>
      </c>
      <c r="F188" t="s">
        <v>26</v>
      </c>
      <c r="G188" t="s">
        <v>22</v>
      </c>
      <c r="H188">
        <v>7</v>
      </c>
      <c r="I188">
        <v>137.76</v>
      </c>
      <c r="J188">
        <v>5</v>
      </c>
      <c r="K188">
        <v>964.31999999999903</v>
      </c>
      <c r="L188">
        <v>48.216000000000001</v>
      </c>
      <c r="M188">
        <v>916.10399999999902</v>
      </c>
      <c r="N188">
        <v>15.57</v>
      </c>
      <c r="O188">
        <v>108.99</v>
      </c>
      <c r="P188">
        <v>807.11399999999901</v>
      </c>
      <c r="Q188">
        <v>88.102879149092203</v>
      </c>
    </row>
    <row r="189" spans="1:17" x14ac:dyDescent="0.25">
      <c r="A189">
        <v>10188</v>
      </c>
      <c r="B189" s="1">
        <v>45845</v>
      </c>
      <c r="C189">
        <v>3687</v>
      </c>
      <c r="D189" t="s">
        <v>17</v>
      </c>
      <c r="E189" t="s">
        <v>24</v>
      </c>
      <c r="F189" t="s">
        <v>26</v>
      </c>
      <c r="G189" t="s">
        <v>31</v>
      </c>
      <c r="H189">
        <v>5</v>
      </c>
      <c r="I189">
        <v>194.53</v>
      </c>
      <c r="J189">
        <v>0</v>
      </c>
      <c r="K189">
        <v>972.65</v>
      </c>
      <c r="L189">
        <v>0</v>
      </c>
      <c r="M189">
        <v>972.65</v>
      </c>
      <c r="N189">
        <v>119.54</v>
      </c>
      <c r="O189">
        <v>597.70000000000005</v>
      </c>
      <c r="P189">
        <v>374.94999999999902</v>
      </c>
      <c r="Q189">
        <v>38.5493240117205</v>
      </c>
    </row>
    <row r="190" spans="1:17" x14ac:dyDescent="0.25">
      <c r="A190">
        <v>10189</v>
      </c>
      <c r="B190" s="1">
        <v>45846</v>
      </c>
      <c r="C190">
        <v>3421</v>
      </c>
      <c r="D190" t="s">
        <v>21</v>
      </c>
      <c r="E190" t="s">
        <v>18</v>
      </c>
      <c r="F190" t="s">
        <v>19</v>
      </c>
      <c r="G190" t="s">
        <v>20</v>
      </c>
      <c r="H190">
        <v>2</v>
      </c>
      <c r="I190">
        <v>248.8</v>
      </c>
      <c r="J190">
        <v>20</v>
      </c>
      <c r="K190">
        <v>497.6</v>
      </c>
      <c r="L190">
        <v>99.52</v>
      </c>
      <c r="M190">
        <v>398.08</v>
      </c>
      <c r="N190">
        <v>80.69</v>
      </c>
      <c r="O190">
        <v>161.38</v>
      </c>
      <c r="P190">
        <v>236.7</v>
      </c>
      <c r="Q190">
        <v>59.4604099678456</v>
      </c>
    </row>
    <row r="191" spans="1:17" x14ac:dyDescent="0.25">
      <c r="A191">
        <v>10190</v>
      </c>
      <c r="B191" s="1">
        <v>45847</v>
      </c>
      <c r="C191">
        <v>3969</v>
      </c>
      <c r="D191" t="s">
        <v>21</v>
      </c>
      <c r="E191" t="s">
        <v>18</v>
      </c>
      <c r="F191" t="s">
        <v>33</v>
      </c>
      <c r="G191" t="s">
        <v>27</v>
      </c>
      <c r="H191">
        <v>1</v>
      </c>
      <c r="I191">
        <v>77.180000000000007</v>
      </c>
      <c r="J191">
        <v>0</v>
      </c>
      <c r="K191">
        <v>77.180000000000007</v>
      </c>
      <c r="L191">
        <v>0</v>
      </c>
      <c r="M191">
        <v>77.180000000000007</v>
      </c>
      <c r="N191">
        <v>131.83000000000001</v>
      </c>
      <c r="O191">
        <v>131.83000000000001</v>
      </c>
      <c r="P191">
        <v>-54.65</v>
      </c>
      <c r="Q191">
        <v>-70.808499611298203</v>
      </c>
    </row>
    <row r="192" spans="1:17" x14ac:dyDescent="0.25">
      <c r="A192">
        <v>10191</v>
      </c>
      <c r="B192" s="1">
        <v>45848</v>
      </c>
      <c r="C192">
        <v>3599</v>
      </c>
      <c r="D192" t="s">
        <v>21</v>
      </c>
      <c r="E192" t="s">
        <v>24</v>
      </c>
      <c r="F192" t="s">
        <v>19</v>
      </c>
      <c r="G192" t="s">
        <v>32</v>
      </c>
      <c r="H192">
        <v>4</v>
      </c>
      <c r="I192">
        <v>217.78</v>
      </c>
      <c r="J192">
        <v>10</v>
      </c>
      <c r="K192">
        <v>871.12</v>
      </c>
      <c r="L192">
        <v>87.111999999999995</v>
      </c>
      <c r="M192">
        <v>784.00800000000004</v>
      </c>
      <c r="N192">
        <v>11.26</v>
      </c>
      <c r="O192">
        <v>45.04</v>
      </c>
      <c r="P192">
        <v>738.96799999999996</v>
      </c>
      <c r="Q192">
        <v>94.255160661625894</v>
      </c>
    </row>
    <row r="193" spans="1:17" x14ac:dyDescent="0.25">
      <c r="A193">
        <v>10192</v>
      </c>
      <c r="B193" s="1">
        <v>45849</v>
      </c>
      <c r="C193">
        <v>3661</v>
      </c>
      <c r="D193" t="s">
        <v>17</v>
      </c>
      <c r="E193" t="s">
        <v>24</v>
      </c>
      <c r="F193" t="s">
        <v>26</v>
      </c>
      <c r="G193" t="s">
        <v>31</v>
      </c>
      <c r="H193">
        <v>5</v>
      </c>
      <c r="I193">
        <v>62.44</v>
      </c>
      <c r="J193">
        <v>15</v>
      </c>
      <c r="K193">
        <v>312.2</v>
      </c>
      <c r="L193">
        <v>46.83</v>
      </c>
      <c r="M193">
        <v>265.37</v>
      </c>
      <c r="N193">
        <v>18.98</v>
      </c>
      <c r="O193">
        <v>94.9</v>
      </c>
      <c r="P193">
        <v>170.47</v>
      </c>
      <c r="Q193">
        <v>64.238610242303196</v>
      </c>
    </row>
    <row r="194" spans="1:17" x14ac:dyDescent="0.25">
      <c r="A194">
        <v>10193</v>
      </c>
      <c r="B194" s="1">
        <v>45850</v>
      </c>
      <c r="C194">
        <v>3260</v>
      </c>
      <c r="D194" t="s">
        <v>21</v>
      </c>
      <c r="E194" t="s">
        <v>18</v>
      </c>
      <c r="F194" t="s">
        <v>19</v>
      </c>
      <c r="G194" t="s">
        <v>22</v>
      </c>
      <c r="H194">
        <v>8</v>
      </c>
      <c r="I194">
        <v>82.37</v>
      </c>
      <c r="J194">
        <v>5</v>
      </c>
      <c r="K194">
        <v>658.96</v>
      </c>
      <c r="L194">
        <v>32.948</v>
      </c>
      <c r="M194">
        <v>626.01199999999994</v>
      </c>
      <c r="N194">
        <v>23.28</v>
      </c>
      <c r="O194">
        <v>186.24</v>
      </c>
      <c r="P194">
        <v>439.77199999999999</v>
      </c>
      <c r="Q194">
        <v>70.249771569874</v>
      </c>
    </row>
    <row r="195" spans="1:17" x14ac:dyDescent="0.25">
      <c r="A195">
        <v>10194</v>
      </c>
      <c r="B195" s="1">
        <v>45851</v>
      </c>
      <c r="C195">
        <v>3475</v>
      </c>
      <c r="D195" t="s">
        <v>23</v>
      </c>
      <c r="E195" t="s">
        <v>18</v>
      </c>
      <c r="F195" t="s">
        <v>25</v>
      </c>
      <c r="G195" t="s">
        <v>22</v>
      </c>
      <c r="H195">
        <v>5</v>
      </c>
      <c r="I195">
        <v>142.05000000000001</v>
      </c>
      <c r="J195">
        <v>5</v>
      </c>
      <c r="K195">
        <v>710.25</v>
      </c>
      <c r="L195">
        <v>35.512500000000003</v>
      </c>
      <c r="M195">
        <v>674.73749999999995</v>
      </c>
      <c r="N195">
        <v>131.16999999999999</v>
      </c>
      <c r="O195">
        <v>655.849999999999</v>
      </c>
      <c r="P195">
        <v>18.887499999999999</v>
      </c>
      <c r="Q195">
        <v>2.7992367402137899</v>
      </c>
    </row>
    <row r="196" spans="1:17" x14ac:dyDescent="0.25">
      <c r="A196">
        <v>10195</v>
      </c>
      <c r="B196" s="1">
        <v>45852</v>
      </c>
      <c r="C196">
        <v>3588</v>
      </c>
      <c r="D196" t="s">
        <v>29</v>
      </c>
      <c r="E196" t="s">
        <v>24</v>
      </c>
      <c r="F196" t="s">
        <v>19</v>
      </c>
      <c r="G196" t="s">
        <v>22</v>
      </c>
      <c r="H196">
        <v>4</v>
      </c>
      <c r="I196">
        <v>107.22</v>
      </c>
      <c r="J196">
        <v>5</v>
      </c>
      <c r="K196">
        <v>428.88</v>
      </c>
      <c r="L196">
        <v>21.443999999999999</v>
      </c>
      <c r="M196">
        <v>407.43599999999998</v>
      </c>
      <c r="N196">
        <v>78.489999999999995</v>
      </c>
      <c r="O196">
        <v>313.95999999999998</v>
      </c>
      <c r="P196">
        <v>93.475999999999999</v>
      </c>
      <c r="Q196">
        <v>22.942498944619501</v>
      </c>
    </row>
    <row r="197" spans="1:17" x14ac:dyDescent="0.25">
      <c r="A197">
        <v>10196</v>
      </c>
      <c r="B197" s="1">
        <v>45853</v>
      </c>
      <c r="C197">
        <v>3233</v>
      </c>
      <c r="D197" t="s">
        <v>23</v>
      </c>
      <c r="E197" t="s">
        <v>24</v>
      </c>
      <c r="F197" t="s">
        <v>25</v>
      </c>
      <c r="G197" t="s">
        <v>20</v>
      </c>
      <c r="H197">
        <v>4</v>
      </c>
      <c r="I197">
        <v>144.21</v>
      </c>
      <c r="J197">
        <v>15</v>
      </c>
      <c r="K197">
        <v>576.84</v>
      </c>
      <c r="L197">
        <v>86.525999999999996</v>
      </c>
      <c r="M197">
        <v>490.31400000000002</v>
      </c>
      <c r="N197">
        <v>113.83</v>
      </c>
      <c r="O197">
        <v>455.32</v>
      </c>
      <c r="P197">
        <v>34.994</v>
      </c>
      <c r="Q197">
        <v>7.13705910906073</v>
      </c>
    </row>
    <row r="198" spans="1:17" x14ac:dyDescent="0.25">
      <c r="A198">
        <v>10197</v>
      </c>
      <c r="B198" s="1">
        <v>45854</v>
      </c>
      <c r="C198">
        <v>3331</v>
      </c>
      <c r="D198" t="s">
        <v>29</v>
      </c>
      <c r="E198" t="s">
        <v>18</v>
      </c>
      <c r="F198" t="s">
        <v>33</v>
      </c>
      <c r="G198" t="s">
        <v>22</v>
      </c>
      <c r="H198">
        <v>8</v>
      </c>
      <c r="I198">
        <v>248.83</v>
      </c>
      <c r="J198">
        <v>0</v>
      </c>
      <c r="K198">
        <v>1990.64</v>
      </c>
      <c r="L198">
        <v>0</v>
      </c>
      <c r="M198">
        <v>1990.64</v>
      </c>
      <c r="N198">
        <v>16.190000000000001</v>
      </c>
      <c r="O198">
        <v>129.52000000000001</v>
      </c>
      <c r="P198">
        <v>1861.12</v>
      </c>
      <c r="Q198">
        <v>93.493549813125398</v>
      </c>
    </row>
    <row r="199" spans="1:17" x14ac:dyDescent="0.25">
      <c r="A199">
        <v>10198</v>
      </c>
      <c r="B199" s="1">
        <v>45855</v>
      </c>
      <c r="C199">
        <v>3774</v>
      </c>
      <c r="D199" t="s">
        <v>23</v>
      </c>
      <c r="E199" t="s">
        <v>18</v>
      </c>
      <c r="F199" t="s">
        <v>26</v>
      </c>
      <c r="G199" t="s">
        <v>30</v>
      </c>
      <c r="H199">
        <v>1</v>
      </c>
      <c r="I199">
        <v>121.39</v>
      </c>
      <c r="J199">
        <v>20</v>
      </c>
      <c r="K199">
        <v>121.39</v>
      </c>
      <c r="L199">
        <v>24.277999999999999</v>
      </c>
      <c r="M199">
        <v>97.111999999999995</v>
      </c>
      <c r="N199">
        <v>113.19</v>
      </c>
      <c r="O199">
        <v>113.19</v>
      </c>
      <c r="P199">
        <v>-16.077999999999999</v>
      </c>
      <c r="Q199">
        <v>-16.556141362550399</v>
      </c>
    </row>
    <row r="200" spans="1:17" x14ac:dyDescent="0.25">
      <c r="A200">
        <v>10199</v>
      </c>
      <c r="B200" s="1">
        <v>45856</v>
      </c>
      <c r="C200">
        <v>3888</v>
      </c>
      <c r="D200" t="s">
        <v>23</v>
      </c>
      <c r="E200" t="s">
        <v>18</v>
      </c>
      <c r="F200" t="s">
        <v>33</v>
      </c>
      <c r="G200" t="s">
        <v>27</v>
      </c>
      <c r="H200">
        <v>1</v>
      </c>
      <c r="I200">
        <v>121.62</v>
      </c>
      <c r="J200">
        <v>10</v>
      </c>
      <c r="K200">
        <v>121.62</v>
      </c>
      <c r="L200">
        <v>12.162000000000001</v>
      </c>
      <c r="M200">
        <v>109.458</v>
      </c>
      <c r="N200">
        <v>16.239999999999998</v>
      </c>
      <c r="O200">
        <v>16.239999999999998</v>
      </c>
      <c r="P200">
        <v>93.218000000000004</v>
      </c>
      <c r="Q200">
        <v>85.163258966909595</v>
      </c>
    </row>
    <row r="201" spans="1:17" x14ac:dyDescent="0.25">
      <c r="A201">
        <v>10200</v>
      </c>
      <c r="B201" s="1">
        <v>45857</v>
      </c>
      <c r="C201">
        <v>3225</v>
      </c>
      <c r="D201" t="s">
        <v>23</v>
      </c>
      <c r="E201" t="s">
        <v>18</v>
      </c>
      <c r="F201" t="s">
        <v>19</v>
      </c>
      <c r="G201" t="s">
        <v>22</v>
      </c>
      <c r="H201">
        <v>7</v>
      </c>
      <c r="I201">
        <v>228.09</v>
      </c>
      <c r="J201">
        <v>15</v>
      </c>
      <c r="K201">
        <v>1596.63</v>
      </c>
      <c r="L201">
        <v>239.49449999999999</v>
      </c>
      <c r="M201">
        <v>1357.1355000000001</v>
      </c>
      <c r="N201">
        <v>137</v>
      </c>
      <c r="O201">
        <v>959</v>
      </c>
      <c r="P201">
        <v>398.13549999999998</v>
      </c>
      <c r="Q201">
        <v>29.336459034488399</v>
      </c>
    </row>
    <row r="202" spans="1:17" x14ac:dyDescent="0.25">
      <c r="A202">
        <v>10201</v>
      </c>
      <c r="B202" s="1">
        <v>45858</v>
      </c>
      <c r="C202">
        <v>3469</v>
      </c>
      <c r="D202" t="s">
        <v>23</v>
      </c>
      <c r="E202" t="s">
        <v>24</v>
      </c>
      <c r="F202" t="s">
        <v>25</v>
      </c>
      <c r="G202" t="s">
        <v>30</v>
      </c>
      <c r="H202">
        <v>5</v>
      </c>
      <c r="I202">
        <v>158.68</v>
      </c>
      <c r="J202">
        <v>15</v>
      </c>
      <c r="K202">
        <v>793.4</v>
      </c>
      <c r="L202">
        <v>119.01</v>
      </c>
      <c r="M202">
        <v>674.39</v>
      </c>
      <c r="N202">
        <v>79.260000000000005</v>
      </c>
      <c r="O202">
        <v>396.3</v>
      </c>
      <c r="P202">
        <v>278.08999999999997</v>
      </c>
      <c r="Q202">
        <v>41.235783448746197</v>
      </c>
    </row>
    <row r="203" spans="1:17" x14ac:dyDescent="0.25">
      <c r="A203">
        <v>10202</v>
      </c>
      <c r="B203" s="1">
        <v>45859</v>
      </c>
      <c r="C203">
        <v>3085</v>
      </c>
      <c r="D203" t="s">
        <v>17</v>
      </c>
      <c r="E203" t="s">
        <v>18</v>
      </c>
      <c r="F203" t="s">
        <v>26</v>
      </c>
      <c r="G203" t="s">
        <v>32</v>
      </c>
      <c r="H203">
        <v>4</v>
      </c>
      <c r="I203">
        <v>91.19</v>
      </c>
      <c r="J203">
        <v>20</v>
      </c>
      <c r="K203">
        <v>364.76</v>
      </c>
      <c r="L203">
        <v>72.951999999999998</v>
      </c>
      <c r="M203">
        <v>291.80799999999999</v>
      </c>
      <c r="N203">
        <v>144.11000000000001</v>
      </c>
      <c r="O203">
        <v>576.44000000000005</v>
      </c>
      <c r="P203">
        <v>-284.63200000000001</v>
      </c>
      <c r="Q203">
        <v>-97.5408487772782</v>
      </c>
    </row>
    <row r="204" spans="1:17" x14ac:dyDescent="0.25">
      <c r="A204">
        <v>10203</v>
      </c>
      <c r="B204" s="1">
        <v>45860</v>
      </c>
      <c r="C204">
        <v>3670</v>
      </c>
      <c r="D204" t="s">
        <v>21</v>
      </c>
      <c r="E204" t="s">
        <v>24</v>
      </c>
      <c r="F204" t="s">
        <v>19</v>
      </c>
      <c r="G204" t="s">
        <v>20</v>
      </c>
      <c r="H204">
        <v>5</v>
      </c>
      <c r="I204">
        <v>209.99</v>
      </c>
      <c r="J204">
        <v>15</v>
      </c>
      <c r="K204">
        <v>1049.95</v>
      </c>
      <c r="L204">
        <v>157.49250000000001</v>
      </c>
      <c r="M204">
        <v>892.45749999999998</v>
      </c>
      <c r="N204">
        <v>97.09</v>
      </c>
      <c r="O204">
        <v>485.45</v>
      </c>
      <c r="P204">
        <v>407.00749999999903</v>
      </c>
      <c r="Q204">
        <v>45.605252911203003</v>
      </c>
    </row>
    <row r="205" spans="1:17" x14ac:dyDescent="0.25">
      <c r="A205">
        <v>10204</v>
      </c>
      <c r="B205" s="1">
        <v>45861</v>
      </c>
      <c r="C205">
        <v>3875</v>
      </c>
      <c r="D205" t="s">
        <v>29</v>
      </c>
      <c r="E205" t="s">
        <v>24</v>
      </c>
      <c r="F205" t="s">
        <v>26</v>
      </c>
      <c r="G205" t="s">
        <v>20</v>
      </c>
      <c r="H205">
        <v>9</v>
      </c>
      <c r="I205">
        <v>202.26</v>
      </c>
      <c r="J205">
        <v>0</v>
      </c>
      <c r="K205">
        <v>1820.34</v>
      </c>
      <c r="L205">
        <v>0</v>
      </c>
      <c r="M205">
        <v>1820.34</v>
      </c>
      <c r="N205">
        <v>92.24</v>
      </c>
      <c r="O205">
        <v>830.16</v>
      </c>
      <c r="P205">
        <v>990.18</v>
      </c>
      <c r="Q205">
        <v>54.395332740037503</v>
      </c>
    </row>
    <row r="206" spans="1:17" x14ac:dyDescent="0.25">
      <c r="A206">
        <v>10205</v>
      </c>
      <c r="B206" s="1">
        <v>45862</v>
      </c>
      <c r="C206">
        <v>3476</v>
      </c>
      <c r="D206" t="s">
        <v>21</v>
      </c>
      <c r="E206" t="s">
        <v>18</v>
      </c>
      <c r="F206" t="s">
        <v>19</v>
      </c>
      <c r="G206" t="s">
        <v>30</v>
      </c>
      <c r="H206">
        <v>4</v>
      </c>
      <c r="I206">
        <v>189.58</v>
      </c>
      <c r="J206">
        <v>20</v>
      </c>
      <c r="K206">
        <v>758.32</v>
      </c>
      <c r="L206">
        <v>151.66399999999999</v>
      </c>
      <c r="M206">
        <v>606.65599999999995</v>
      </c>
      <c r="N206">
        <v>29.18</v>
      </c>
      <c r="O206">
        <v>116.72</v>
      </c>
      <c r="P206">
        <v>489.93599999999998</v>
      </c>
      <c r="Q206">
        <v>80.760101276505907</v>
      </c>
    </row>
    <row r="207" spans="1:17" x14ac:dyDescent="0.25">
      <c r="A207">
        <v>10206</v>
      </c>
      <c r="B207" s="1">
        <v>45863</v>
      </c>
      <c r="C207">
        <v>3824</v>
      </c>
      <c r="D207" t="s">
        <v>29</v>
      </c>
      <c r="E207" t="s">
        <v>18</v>
      </c>
      <c r="F207" t="s">
        <v>19</v>
      </c>
      <c r="G207" t="s">
        <v>20</v>
      </c>
      <c r="H207">
        <v>9</v>
      </c>
      <c r="I207">
        <v>79.34</v>
      </c>
      <c r="J207">
        <v>10</v>
      </c>
      <c r="K207">
        <v>714.06</v>
      </c>
      <c r="L207">
        <v>71.406000000000006</v>
      </c>
      <c r="M207">
        <v>642.654</v>
      </c>
      <c r="N207">
        <v>96.65</v>
      </c>
      <c r="O207">
        <v>869.85</v>
      </c>
      <c r="P207">
        <v>-227.196</v>
      </c>
      <c r="Q207">
        <v>-35.352771475786298</v>
      </c>
    </row>
    <row r="208" spans="1:17" x14ac:dyDescent="0.25">
      <c r="A208">
        <v>10207</v>
      </c>
      <c r="B208" s="1">
        <v>45864</v>
      </c>
      <c r="C208">
        <v>3819</v>
      </c>
      <c r="D208" t="s">
        <v>23</v>
      </c>
      <c r="E208" t="s">
        <v>24</v>
      </c>
      <c r="F208" t="s">
        <v>33</v>
      </c>
      <c r="G208" t="s">
        <v>20</v>
      </c>
      <c r="H208">
        <v>4</v>
      </c>
      <c r="I208">
        <v>52.03</v>
      </c>
      <c r="J208">
        <v>20</v>
      </c>
      <c r="K208">
        <v>208.12</v>
      </c>
      <c r="L208">
        <v>41.624000000000002</v>
      </c>
      <c r="M208">
        <v>166.49600000000001</v>
      </c>
      <c r="N208">
        <v>114.32</v>
      </c>
      <c r="O208">
        <v>457.28</v>
      </c>
      <c r="P208">
        <v>-290.78399999999999</v>
      </c>
      <c r="Q208">
        <v>-174.649240822602</v>
      </c>
    </row>
    <row r="209" spans="1:17" x14ac:dyDescent="0.25">
      <c r="A209">
        <v>10208</v>
      </c>
      <c r="B209" s="1">
        <v>45865</v>
      </c>
      <c r="C209">
        <v>3247</v>
      </c>
      <c r="D209" t="s">
        <v>17</v>
      </c>
      <c r="E209" t="s">
        <v>18</v>
      </c>
      <c r="F209" t="s">
        <v>25</v>
      </c>
      <c r="G209" t="s">
        <v>30</v>
      </c>
      <c r="H209">
        <v>3</v>
      </c>
      <c r="I209">
        <v>142.15</v>
      </c>
      <c r="J209">
        <v>20</v>
      </c>
      <c r="K209">
        <v>426.45</v>
      </c>
      <c r="L209">
        <v>85.29</v>
      </c>
      <c r="M209">
        <v>341.16</v>
      </c>
      <c r="N209">
        <v>93.5</v>
      </c>
      <c r="O209">
        <v>280.5</v>
      </c>
      <c r="P209">
        <v>60.66</v>
      </c>
      <c r="Q209">
        <v>17.780513542032999</v>
      </c>
    </row>
    <row r="210" spans="1:17" x14ac:dyDescent="0.25">
      <c r="A210">
        <v>10209</v>
      </c>
      <c r="B210" s="1">
        <v>45866</v>
      </c>
      <c r="C210">
        <v>3183</v>
      </c>
      <c r="D210" t="s">
        <v>23</v>
      </c>
      <c r="E210" t="s">
        <v>18</v>
      </c>
      <c r="F210" t="s">
        <v>33</v>
      </c>
      <c r="G210" t="s">
        <v>27</v>
      </c>
      <c r="H210">
        <v>2</v>
      </c>
      <c r="I210">
        <v>23.36</v>
      </c>
      <c r="J210">
        <v>15</v>
      </c>
      <c r="K210">
        <v>46.72</v>
      </c>
      <c r="L210">
        <v>7.008</v>
      </c>
      <c r="M210">
        <v>39.711999999999897</v>
      </c>
      <c r="N210">
        <v>104.95</v>
      </c>
      <c r="O210">
        <v>209.9</v>
      </c>
      <c r="P210">
        <v>-170.18799999999999</v>
      </c>
      <c r="Q210">
        <v>-428.55560032232</v>
      </c>
    </row>
    <row r="211" spans="1:17" x14ac:dyDescent="0.25">
      <c r="A211">
        <v>10210</v>
      </c>
      <c r="B211" s="1">
        <v>45867</v>
      </c>
      <c r="C211">
        <v>3633</v>
      </c>
      <c r="D211" t="s">
        <v>21</v>
      </c>
      <c r="E211" t="s">
        <v>18</v>
      </c>
      <c r="F211" t="s">
        <v>25</v>
      </c>
      <c r="G211" t="s">
        <v>28</v>
      </c>
      <c r="H211">
        <v>7</v>
      </c>
      <c r="I211">
        <v>164.31</v>
      </c>
      <c r="J211">
        <v>15</v>
      </c>
      <c r="K211">
        <v>1150.17</v>
      </c>
      <c r="L211">
        <v>172.52549999999999</v>
      </c>
      <c r="M211">
        <v>977.64449999999999</v>
      </c>
      <c r="N211">
        <v>133.19999999999999</v>
      </c>
      <c r="O211">
        <v>932.39999999999895</v>
      </c>
      <c r="P211">
        <v>45.244500000000201</v>
      </c>
      <c r="Q211">
        <v>4.6279092246721802</v>
      </c>
    </row>
    <row r="212" spans="1:17" x14ac:dyDescent="0.25">
      <c r="A212">
        <v>10211</v>
      </c>
      <c r="B212" s="1">
        <v>45868</v>
      </c>
      <c r="C212">
        <v>3908</v>
      </c>
      <c r="D212" t="s">
        <v>17</v>
      </c>
      <c r="E212" t="s">
        <v>24</v>
      </c>
      <c r="F212" t="s">
        <v>25</v>
      </c>
      <c r="G212" t="s">
        <v>20</v>
      </c>
      <c r="H212">
        <v>8</v>
      </c>
      <c r="I212">
        <v>114.72</v>
      </c>
      <c r="J212">
        <v>15</v>
      </c>
      <c r="K212">
        <v>917.76</v>
      </c>
      <c r="L212">
        <v>137.66399999999999</v>
      </c>
      <c r="M212">
        <v>780.096</v>
      </c>
      <c r="N212">
        <v>106.02</v>
      </c>
      <c r="O212">
        <v>848.16</v>
      </c>
      <c r="P212">
        <v>-68.063999999999893</v>
      </c>
      <c r="Q212">
        <v>-8.7250799901550504</v>
      </c>
    </row>
    <row r="213" spans="1:17" x14ac:dyDescent="0.25">
      <c r="A213">
        <v>10212</v>
      </c>
      <c r="B213" s="1">
        <v>45869</v>
      </c>
      <c r="C213">
        <v>3076</v>
      </c>
      <c r="D213" t="s">
        <v>17</v>
      </c>
      <c r="E213" t="s">
        <v>24</v>
      </c>
      <c r="F213" t="s">
        <v>25</v>
      </c>
      <c r="G213" t="s">
        <v>31</v>
      </c>
      <c r="H213">
        <v>7</v>
      </c>
      <c r="I213">
        <v>180.49</v>
      </c>
      <c r="J213">
        <v>0</v>
      </c>
      <c r="K213">
        <v>1263.43</v>
      </c>
      <c r="L213">
        <v>0</v>
      </c>
      <c r="M213">
        <v>1263.43</v>
      </c>
      <c r="N213">
        <v>98.18</v>
      </c>
      <c r="O213">
        <v>687.26</v>
      </c>
      <c r="P213">
        <v>576.16999999999996</v>
      </c>
      <c r="Q213">
        <v>45.603634550390602</v>
      </c>
    </row>
    <row r="214" spans="1:17" x14ac:dyDescent="0.25">
      <c r="A214">
        <v>10213</v>
      </c>
      <c r="B214" s="1">
        <v>45870</v>
      </c>
      <c r="C214">
        <v>3877</v>
      </c>
      <c r="D214" t="s">
        <v>21</v>
      </c>
      <c r="E214" t="s">
        <v>18</v>
      </c>
      <c r="F214" t="s">
        <v>33</v>
      </c>
      <c r="G214" t="s">
        <v>22</v>
      </c>
      <c r="H214">
        <v>3</v>
      </c>
      <c r="I214">
        <v>172.73</v>
      </c>
      <c r="J214">
        <v>20</v>
      </c>
      <c r="K214">
        <v>518.18999999999903</v>
      </c>
      <c r="L214">
        <v>103.637999999999</v>
      </c>
      <c r="M214">
        <v>414.551999999999</v>
      </c>
      <c r="N214">
        <v>81.489999999999995</v>
      </c>
      <c r="O214">
        <v>244.469999999999</v>
      </c>
      <c r="P214">
        <v>170.08199999999999</v>
      </c>
      <c r="Q214">
        <v>41.027904822555399</v>
      </c>
    </row>
    <row r="215" spans="1:17" x14ac:dyDescent="0.25">
      <c r="A215">
        <v>10214</v>
      </c>
      <c r="B215" s="1">
        <v>45871</v>
      </c>
      <c r="C215">
        <v>3932</v>
      </c>
      <c r="D215" t="s">
        <v>21</v>
      </c>
      <c r="E215" t="s">
        <v>18</v>
      </c>
      <c r="F215" t="s">
        <v>33</v>
      </c>
      <c r="G215" t="s">
        <v>20</v>
      </c>
      <c r="H215">
        <v>5</v>
      </c>
      <c r="I215">
        <v>82.92</v>
      </c>
      <c r="J215">
        <v>15</v>
      </c>
      <c r="K215">
        <v>414.6</v>
      </c>
      <c r="L215">
        <v>62.19</v>
      </c>
      <c r="M215">
        <v>352.41</v>
      </c>
      <c r="N215">
        <v>71.03</v>
      </c>
      <c r="O215">
        <v>355.15</v>
      </c>
      <c r="P215">
        <v>-2.73999999999995</v>
      </c>
      <c r="Q215">
        <v>-0.77750347606479697</v>
      </c>
    </row>
    <row r="216" spans="1:17" x14ac:dyDescent="0.25">
      <c r="A216">
        <v>10215</v>
      </c>
      <c r="B216" s="1">
        <v>45872</v>
      </c>
      <c r="C216">
        <v>3711</v>
      </c>
      <c r="D216" t="s">
        <v>17</v>
      </c>
      <c r="E216" t="s">
        <v>24</v>
      </c>
      <c r="F216" t="s">
        <v>25</v>
      </c>
      <c r="G216" t="s">
        <v>31</v>
      </c>
      <c r="H216">
        <v>2</v>
      </c>
      <c r="I216">
        <v>39.01</v>
      </c>
      <c r="J216">
        <v>20</v>
      </c>
      <c r="K216">
        <v>78.02</v>
      </c>
      <c r="L216">
        <v>15.603999999999999</v>
      </c>
      <c r="M216">
        <v>62.415999999999997</v>
      </c>
      <c r="N216">
        <v>108.35</v>
      </c>
      <c r="O216">
        <v>216.7</v>
      </c>
      <c r="P216">
        <v>-154.28399999999999</v>
      </c>
      <c r="Q216">
        <v>-247.18661881568801</v>
      </c>
    </row>
    <row r="217" spans="1:17" x14ac:dyDescent="0.25">
      <c r="A217">
        <v>10216</v>
      </c>
      <c r="B217" s="1">
        <v>45873</v>
      </c>
      <c r="C217">
        <v>3085</v>
      </c>
      <c r="D217" t="s">
        <v>29</v>
      </c>
      <c r="E217" t="s">
        <v>24</v>
      </c>
      <c r="F217" t="s">
        <v>33</v>
      </c>
      <c r="G217" t="s">
        <v>31</v>
      </c>
      <c r="H217">
        <v>6</v>
      </c>
      <c r="I217">
        <v>242.98</v>
      </c>
      <c r="J217">
        <v>0</v>
      </c>
      <c r="K217">
        <v>1457.8799999999901</v>
      </c>
      <c r="L217">
        <v>0</v>
      </c>
      <c r="M217">
        <v>1457.8799999999901</v>
      </c>
      <c r="N217">
        <v>125.07</v>
      </c>
      <c r="O217">
        <v>750.42</v>
      </c>
      <c r="P217">
        <v>707.45999999999901</v>
      </c>
      <c r="Q217">
        <v>48.526627705983998</v>
      </c>
    </row>
    <row r="218" spans="1:17" x14ac:dyDescent="0.25">
      <c r="A218">
        <v>10217</v>
      </c>
      <c r="B218" s="1">
        <v>45874</v>
      </c>
      <c r="C218">
        <v>3698</v>
      </c>
      <c r="D218" t="s">
        <v>17</v>
      </c>
      <c r="E218" t="s">
        <v>18</v>
      </c>
      <c r="F218" t="s">
        <v>33</v>
      </c>
      <c r="G218" t="s">
        <v>22</v>
      </c>
      <c r="H218">
        <v>9</v>
      </c>
      <c r="I218">
        <v>13.57</v>
      </c>
      <c r="J218">
        <v>5</v>
      </c>
      <c r="K218">
        <v>122.13</v>
      </c>
      <c r="L218">
        <v>6.1064999999999996</v>
      </c>
      <c r="M218">
        <v>116.0235</v>
      </c>
      <c r="N218">
        <v>110.63</v>
      </c>
      <c r="O218">
        <v>995.67</v>
      </c>
      <c r="P218">
        <v>-879.64649999999995</v>
      </c>
      <c r="Q218">
        <v>-758.16235504014196</v>
      </c>
    </row>
    <row r="219" spans="1:17" x14ac:dyDescent="0.25">
      <c r="A219">
        <v>10218</v>
      </c>
      <c r="B219" s="1">
        <v>45875</v>
      </c>
      <c r="C219">
        <v>3809</v>
      </c>
      <c r="D219" t="s">
        <v>29</v>
      </c>
      <c r="E219" t="s">
        <v>24</v>
      </c>
      <c r="F219" t="s">
        <v>33</v>
      </c>
      <c r="G219" t="s">
        <v>28</v>
      </c>
      <c r="H219">
        <v>9</v>
      </c>
      <c r="I219">
        <v>103.4</v>
      </c>
      <c r="J219">
        <v>10</v>
      </c>
      <c r="K219">
        <v>930.6</v>
      </c>
      <c r="L219">
        <v>93.06</v>
      </c>
      <c r="M219">
        <v>837.54</v>
      </c>
      <c r="N219">
        <v>19.52</v>
      </c>
      <c r="O219">
        <v>175.68</v>
      </c>
      <c r="P219">
        <v>661.85999999999899</v>
      </c>
      <c r="Q219">
        <v>79.024285407264102</v>
      </c>
    </row>
    <row r="220" spans="1:17" x14ac:dyDescent="0.25">
      <c r="A220">
        <v>10219</v>
      </c>
      <c r="B220" s="1">
        <v>45876</v>
      </c>
      <c r="C220">
        <v>3230</v>
      </c>
      <c r="D220" t="s">
        <v>29</v>
      </c>
      <c r="E220" t="s">
        <v>24</v>
      </c>
      <c r="F220" t="s">
        <v>19</v>
      </c>
      <c r="G220" t="s">
        <v>31</v>
      </c>
      <c r="H220">
        <v>6</v>
      </c>
      <c r="I220">
        <v>137.47</v>
      </c>
      <c r="J220">
        <v>20</v>
      </c>
      <c r="K220">
        <v>824.81999999999903</v>
      </c>
      <c r="L220">
        <v>164.964</v>
      </c>
      <c r="M220">
        <v>659.85599999999999</v>
      </c>
      <c r="N220">
        <v>42.16</v>
      </c>
      <c r="O220">
        <v>252.95999999999901</v>
      </c>
      <c r="P220">
        <v>406.89600000000002</v>
      </c>
      <c r="Q220">
        <v>61.6643631337746</v>
      </c>
    </row>
    <row r="221" spans="1:17" x14ac:dyDescent="0.25">
      <c r="A221">
        <v>10220</v>
      </c>
      <c r="B221" s="1">
        <v>45877</v>
      </c>
      <c r="C221">
        <v>3911</v>
      </c>
      <c r="D221" t="s">
        <v>21</v>
      </c>
      <c r="E221" t="s">
        <v>24</v>
      </c>
      <c r="F221" t="s">
        <v>25</v>
      </c>
      <c r="G221" t="s">
        <v>31</v>
      </c>
      <c r="H221">
        <v>9</v>
      </c>
      <c r="I221">
        <v>126.72</v>
      </c>
      <c r="J221">
        <v>15</v>
      </c>
      <c r="K221">
        <v>1140.48</v>
      </c>
      <c r="L221">
        <v>171.072</v>
      </c>
      <c r="M221">
        <v>969.40800000000002</v>
      </c>
      <c r="N221">
        <v>94</v>
      </c>
      <c r="O221">
        <v>846</v>
      </c>
      <c r="P221">
        <v>123.408</v>
      </c>
      <c r="Q221">
        <v>12.7302436125965</v>
      </c>
    </row>
    <row r="222" spans="1:17" x14ac:dyDescent="0.25">
      <c r="A222">
        <v>10221</v>
      </c>
      <c r="B222" s="1">
        <v>45878</v>
      </c>
      <c r="C222">
        <v>3811</v>
      </c>
      <c r="D222" t="s">
        <v>29</v>
      </c>
      <c r="E222" t="s">
        <v>18</v>
      </c>
      <c r="F222" t="s">
        <v>25</v>
      </c>
      <c r="G222" t="s">
        <v>28</v>
      </c>
      <c r="H222">
        <v>3</v>
      </c>
      <c r="I222">
        <v>193.23</v>
      </c>
      <c r="J222">
        <v>5</v>
      </c>
      <c r="K222">
        <v>579.68999999999903</v>
      </c>
      <c r="L222">
        <v>28.984499999999901</v>
      </c>
      <c r="M222">
        <v>550.70549999999901</v>
      </c>
      <c r="N222">
        <v>87.26</v>
      </c>
      <c r="O222">
        <v>261.77999999999997</v>
      </c>
      <c r="P222">
        <v>288.92549999999898</v>
      </c>
      <c r="Q222">
        <v>52.464611303137502</v>
      </c>
    </row>
    <row r="223" spans="1:17" x14ac:dyDescent="0.25">
      <c r="A223">
        <v>10222</v>
      </c>
      <c r="B223" s="1">
        <v>45879</v>
      </c>
      <c r="C223">
        <v>3315</v>
      </c>
      <c r="D223" t="s">
        <v>21</v>
      </c>
      <c r="E223" t="s">
        <v>18</v>
      </c>
      <c r="F223" t="s">
        <v>19</v>
      </c>
      <c r="G223" t="s">
        <v>28</v>
      </c>
      <c r="H223">
        <v>4</v>
      </c>
      <c r="I223">
        <v>233.69</v>
      </c>
      <c r="J223">
        <v>20</v>
      </c>
      <c r="K223">
        <v>934.76</v>
      </c>
      <c r="L223">
        <v>186.952</v>
      </c>
      <c r="M223">
        <v>747.80799999999999</v>
      </c>
      <c r="N223">
        <v>138.05000000000001</v>
      </c>
      <c r="O223">
        <v>552.20000000000005</v>
      </c>
      <c r="P223">
        <v>195.60799999999901</v>
      </c>
      <c r="Q223">
        <v>26.157516367837701</v>
      </c>
    </row>
    <row r="224" spans="1:17" x14ac:dyDescent="0.25">
      <c r="A224">
        <v>10223</v>
      </c>
      <c r="B224" s="1">
        <v>45880</v>
      </c>
      <c r="C224">
        <v>3850</v>
      </c>
      <c r="D224" t="s">
        <v>17</v>
      </c>
      <c r="E224" t="s">
        <v>24</v>
      </c>
      <c r="F224" t="s">
        <v>26</v>
      </c>
      <c r="G224" t="s">
        <v>27</v>
      </c>
      <c r="H224">
        <v>5</v>
      </c>
      <c r="I224">
        <v>199.67</v>
      </c>
      <c r="J224">
        <v>10</v>
      </c>
      <c r="K224">
        <v>998.349999999999</v>
      </c>
      <c r="L224">
        <v>99.834999999999994</v>
      </c>
      <c r="M224">
        <v>898.51499999999896</v>
      </c>
      <c r="N224">
        <v>147.58000000000001</v>
      </c>
      <c r="O224">
        <v>737.9</v>
      </c>
      <c r="P224">
        <v>160.61499999999899</v>
      </c>
      <c r="Q224">
        <v>17.875605860781299</v>
      </c>
    </row>
    <row r="225" spans="1:17" x14ac:dyDescent="0.25">
      <c r="A225">
        <v>10224</v>
      </c>
      <c r="B225" s="1">
        <v>45881</v>
      </c>
      <c r="C225">
        <v>3575</v>
      </c>
      <c r="D225" t="s">
        <v>23</v>
      </c>
      <c r="E225" t="s">
        <v>18</v>
      </c>
      <c r="F225" t="s">
        <v>19</v>
      </c>
      <c r="G225" t="s">
        <v>27</v>
      </c>
      <c r="H225">
        <v>8</v>
      </c>
      <c r="I225">
        <v>196.38</v>
      </c>
      <c r="J225">
        <v>0</v>
      </c>
      <c r="K225">
        <v>1571.04</v>
      </c>
      <c r="L225">
        <v>0</v>
      </c>
      <c r="M225">
        <v>1571.04</v>
      </c>
      <c r="N225">
        <v>134.88999999999999</v>
      </c>
      <c r="O225">
        <v>1079.1199999999999</v>
      </c>
      <c r="P225">
        <v>491.92</v>
      </c>
      <c r="Q225">
        <v>31.311742539973501</v>
      </c>
    </row>
    <row r="226" spans="1:17" x14ac:dyDescent="0.25">
      <c r="A226">
        <v>10225</v>
      </c>
      <c r="B226" s="1">
        <v>45882</v>
      </c>
      <c r="C226">
        <v>3924</v>
      </c>
      <c r="D226" t="s">
        <v>21</v>
      </c>
      <c r="E226" t="s">
        <v>18</v>
      </c>
      <c r="F226" t="s">
        <v>25</v>
      </c>
      <c r="G226" t="s">
        <v>30</v>
      </c>
      <c r="H226">
        <v>5</v>
      </c>
      <c r="I226">
        <v>101.4</v>
      </c>
      <c r="J226">
        <v>10</v>
      </c>
      <c r="K226">
        <v>507</v>
      </c>
      <c r="L226">
        <v>50.7</v>
      </c>
      <c r="M226">
        <v>456.3</v>
      </c>
      <c r="N226">
        <v>92.84</v>
      </c>
      <c r="O226">
        <v>464.2</v>
      </c>
      <c r="P226">
        <v>-7.9000000000000297</v>
      </c>
      <c r="Q226">
        <v>-1.7313171159325</v>
      </c>
    </row>
    <row r="227" spans="1:17" x14ac:dyDescent="0.25">
      <c r="A227">
        <v>10226</v>
      </c>
      <c r="B227" s="1">
        <v>45883</v>
      </c>
      <c r="C227">
        <v>3400</v>
      </c>
      <c r="D227" t="s">
        <v>23</v>
      </c>
      <c r="E227" t="s">
        <v>18</v>
      </c>
      <c r="F227" t="s">
        <v>25</v>
      </c>
      <c r="G227" t="s">
        <v>20</v>
      </c>
      <c r="H227">
        <v>7</v>
      </c>
      <c r="I227">
        <v>217</v>
      </c>
      <c r="J227">
        <v>15</v>
      </c>
      <c r="K227">
        <v>1519</v>
      </c>
      <c r="L227">
        <v>227.85</v>
      </c>
      <c r="M227">
        <v>1291.1500000000001</v>
      </c>
      <c r="N227">
        <v>109.32</v>
      </c>
      <c r="O227">
        <v>765.24</v>
      </c>
      <c r="P227">
        <v>525.91</v>
      </c>
      <c r="Q227">
        <v>40.731905665492</v>
      </c>
    </row>
    <row r="228" spans="1:17" x14ac:dyDescent="0.25">
      <c r="A228">
        <v>10227</v>
      </c>
      <c r="B228" s="1">
        <v>45884</v>
      </c>
      <c r="C228">
        <v>3901</v>
      </c>
      <c r="D228" t="s">
        <v>17</v>
      </c>
      <c r="E228" t="s">
        <v>24</v>
      </c>
      <c r="F228" t="s">
        <v>26</v>
      </c>
      <c r="G228" t="s">
        <v>20</v>
      </c>
      <c r="H228">
        <v>6</v>
      </c>
      <c r="I228">
        <v>187.55</v>
      </c>
      <c r="J228">
        <v>10</v>
      </c>
      <c r="K228">
        <v>1125.3</v>
      </c>
      <c r="L228">
        <v>112.53</v>
      </c>
      <c r="M228">
        <v>1012.77</v>
      </c>
      <c r="N228">
        <v>128.06</v>
      </c>
      <c r="O228">
        <v>768.36</v>
      </c>
      <c r="P228">
        <v>244.41</v>
      </c>
      <c r="Q228">
        <v>24.132823839568701</v>
      </c>
    </row>
    <row r="229" spans="1:17" x14ac:dyDescent="0.25">
      <c r="A229">
        <v>10228</v>
      </c>
      <c r="B229" s="1">
        <v>45885</v>
      </c>
      <c r="C229">
        <v>3035</v>
      </c>
      <c r="D229" t="s">
        <v>23</v>
      </c>
      <c r="E229" t="s">
        <v>24</v>
      </c>
      <c r="F229" t="s">
        <v>19</v>
      </c>
      <c r="G229" t="s">
        <v>20</v>
      </c>
      <c r="H229">
        <v>5</v>
      </c>
      <c r="I229">
        <v>86.37</v>
      </c>
      <c r="J229">
        <v>0</v>
      </c>
      <c r="K229">
        <v>431.85</v>
      </c>
      <c r="L229">
        <v>0</v>
      </c>
      <c r="M229">
        <v>431.85</v>
      </c>
      <c r="N229">
        <v>26.21</v>
      </c>
      <c r="O229">
        <v>131.05000000000001</v>
      </c>
      <c r="P229">
        <v>300.8</v>
      </c>
      <c r="Q229">
        <v>69.653814982053902</v>
      </c>
    </row>
    <row r="230" spans="1:17" x14ac:dyDescent="0.25">
      <c r="A230">
        <v>10229</v>
      </c>
      <c r="B230" s="1">
        <v>45886</v>
      </c>
      <c r="C230">
        <v>3589</v>
      </c>
      <c r="D230" t="s">
        <v>17</v>
      </c>
      <c r="E230" t="s">
        <v>24</v>
      </c>
      <c r="F230" t="s">
        <v>25</v>
      </c>
      <c r="G230" t="s">
        <v>28</v>
      </c>
      <c r="H230">
        <v>5</v>
      </c>
      <c r="I230">
        <v>31.14</v>
      </c>
      <c r="J230">
        <v>20</v>
      </c>
      <c r="K230">
        <v>155.69999999999999</v>
      </c>
      <c r="L230">
        <v>31.14</v>
      </c>
      <c r="M230">
        <v>124.55999999999899</v>
      </c>
      <c r="N230">
        <v>50.35</v>
      </c>
      <c r="O230">
        <v>251.75</v>
      </c>
      <c r="P230">
        <v>-127.19</v>
      </c>
      <c r="Q230">
        <v>-102.11143224148999</v>
      </c>
    </row>
    <row r="231" spans="1:17" x14ac:dyDescent="0.25">
      <c r="A231">
        <v>10230</v>
      </c>
      <c r="B231" s="1">
        <v>45887</v>
      </c>
      <c r="C231">
        <v>3288</v>
      </c>
      <c r="D231" t="s">
        <v>29</v>
      </c>
      <c r="E231" t="s">
        <v>24</v>
      </c>
      <c r="F231" t="s">
        <v>26</v>
      </c>
      <c r="G231" t="s">
        <v>27</v>
      </c>
      <c r="H231">
        <v>5</v>
      </c>
      <c r="I231">
        <v>101.81</v>
      </c>
      <c r="J231">
        <v>20</v>
      </c>
      <c r="K231">
        <v>509.05</v>
      </c>
      <c r="L231">
        <v>101.81</v>
      </c>
      <c r="M231">
        <v>407.24</v>
      </c>
      <c r="N231">
        <v>8.6300000000000008</v>
      </c>
      <c r="O231">
        <v>43.15</v>
      </c>
      <c r="P231">
        <v>364.09</v>
      </c>
      <c r="Q231">
        <v>89.404282486985494</v>
      </c>
    </row>
    <row r="232" spans="1:17" x14ac:dyDescent="0.25">
      <c r="A232">
        <v>10231</v>
      </c>
      <c r="B232" s="1">
        <v>45888</v>
      </c>
      <c r="C232">
        <v>3629</v>
      </c>
      <c r="D232" t="s">
        <v>21</v>
      </c>
      <c r="E232" t="s">
        <v>18</v>
      </c>
      <c r="F232" t="s">
        <v>26</v>
      </c>
      <c r="G232" t="s">
        <v>22</v>
      </c>
      <c r="H232">
        <v>5</v>
      </c>
      <c r="I232">
        <v>155.32</v>
      </c>
      <c r="J232">
        <v>5</v>
      </c>
      <c r="K232">
        <v>776.599999999999</v>
      </c>
      <c r="L232">
        <v>38.83</v>
      </c>
      <c r="M232">
        <v>737.76999999999896</v>
      </c>
      <c r="N232">
        <v>95.48</v>
      </c>
      <c r="O232">
        <v>477.4</v>
      </c>
      <c r="P232">
        <v>260.36999999999898</v>
      </c>
      <c r="Q232">
        <v>35.291486506634797</v>
      </c>
    </row>
    <row r="233" spans="1:17" x14ac:dyDescent="0.25">
      <c r="A233">
        <v>10232</v>
      </c>
      <c r="B233" s="1">
        <v>45889</v>
      </c>
      <c r="C233">
        <v>3727</v>
      </c>
      <c r="D233" t="s">
        <v>21</v>
      </c>
      <c r="E233" t="s">
        <v>18</v>
      </c>
      <c r="F233" t="s">
        <v>26</v>
      </c>
      <c r="G233" t="s">
        <v>32</v>
      </c>
      <c r="H233">
        <v>4</v>
      </c>
      <c r="I233">
        <v>52.23</v>
      </c>
      <c r="J233">
        <v>0</v>
      </c>
      <c r="K233">
        <v>208.92</v>
      </c>
      <c r="L233">
        <v>0</v>
      </c>
      <c r="M233">
        <v>208.92</v>
      </c>
      <c r="N233">
        <v>138.30000000000001</v>
      </c>
      <c r="O233">
        <v>553.20000000000005</v>
      </c>
      <c r="P233">
        <v>-344.28</v>
      </c>
      <c r="Q233">
        <v>-164.79035037334799</v>
      </c>
    </row>
    <row r="234" spans="1:17" x14ac:dyDescent="0.25">
      <c r="A234">
        <v>10233</v>
      </c>
      <c r="B234" s="1">
        <v>45890</v>
      </c>
      <c r="C234">
        <v>3991</v>
      </c>
      <c r="D234" t="s">
        <v>17</v>
      </c>
      <c r="E234" t="s">
        <v>24</v>
      </c>
      <c r="F234" t="s">
        <v>33</v>
      </c>
      <c r="G234" t="s">
        <v>20</v>
      </c>
      <c r="H234">
        <v>6</v>
      </c>
      <c r="I234">
        <v>197.45</v>
      </c>
      <c r="J234">
        <v>10</v>
      </c>
      <c r="K234">
        <v>1184.69999999999</v>
      </c>
      <c r="L234">
        <v>118.469999999999</v>
      </c>
      <c r="M234">
        <v>1066.22999999999</v>
      </c>
      <c r="N234">
        <v>5.69</v>
      </c>
      <c r="O234">
        <v>34.14</v>
      </c>
      <c r="P234">
        <v>1032.0899999999899</v>
      </c>
      <c r="Q234">
        <v>96.798064207534907</v>
      </c>
    </row>
    <row r="235" spans="1:17" x14ac:dyDescent="0.25">
      <c r="A235">
        <v>10234</v>
      </c>
      <c r="B235" s="1">
        <v>45891</v>
      </c>
      <c r="C235">
        <v>3161</v>
      </c>
      <c r="D235" t="s">
        <v>23</v>
      </c>
      <c r="E235" t="s">
        <v>18</v>
      </c>
      <c r="F235" t="s">
        <v>25</v>
      </c>
      <c r="G235" t="s">
        <v>22</v>
      </c>
      <c r="H235">
        <v>7</v>
      </c>
      <c r="I235">
        <v>192.7</v>
      </c>
      <c r="J235">
        <v>10</v>
      </c>
      <c r="K235">
        <v>1348.8999999999901</v>
      </c>
      <c r="L235">
        <v>134.88999999999999</v>
      </c>
      <c r="M235">
        <v>1214.00999999999</v>
      </c>
      <c r="N235">
        <v>23.31</v>
      </c>
      <c r="O235">
        <v>163.16999999999999</v>
      </c>
      <c r="P235">
        <v>1050.8399999999899</v>
      </c>
      <c r="Q235">
        <v>86.559418785677195</v>
      </c>
    </row>
    <row r="236" spans="1:17" x14ac:dyDescent="0.25">
      <c r="A236">
        <v>10235</v>
      </c>
      <c r="B236" s="1">
        <v>45892</v>
      </c>
      <c r="C236">
        <v>3045</v>
      </c>
      <c r="D236" t="s">
        <v>17</v>
      </c>
      <c r="E236" t="s">
        <v>24</v>
      </c>
      <c r="F236" t="s">
        <v>26</v>
      </c>
      <c r="G236" t="s">
        <v>31</v>
      </c>
      <c r="H236">
        <v>7</v>
      </c>
      <c r="I236">
        <v>160.15</v>
      </c>
      <c r="J236">
        <v>0</v>
      </c>
      <c r="K236">
        <v>1121.05</v>
      </c>
      <c r="L236">
        <v>0</v>
      </c>
      <c r="M236">
        <v>1121.05</v>
      </c>
      <c r="N236">
        <v>34.01</v>
      </c>
      <c r="O236">
        <v>238.07</v>
      </c>
      <c r="P236">
        <v>882.98</v>
      </c>
      <c r="Q236">
        <v>78.763659069622193</v>
      </c>
    </row>
    <row r="237" spans="1:17" x14ac:dyDescent="0.25">
      <c r="A237">
        <v>10236</v>
      </c>
      <c r="B237" s="1">
        <v>45893</v>
      </c>
      <c r="C237">
        <v>3936</v>
      </c>
      <c r="D237" t="s">
        <v>29</v>
      </c>
      <c r="E237" t="s">
        <v>18</v>
      </c>
      <c r="F237" t="s">
        <v>33</v>
      </c>
      <c r="G237" t="s">
        <v>30</v>
      </c>
      <c r="H237">
        <v>9</v>
      </c>
      <c r="I237">
        <v>222.86</v>
      </c>
      <c r="J237">
        <v>5</v>
      </c>
      <c r="K237">
        <v>2005.74</v>
      </c>
      <c r="L237">
        <v>100.28700000000001</v>
      </c>
      <c r="M237">
        <v>1905.453</v>
      </c>
      <c r="N237">
        <v>117.99</v>
      </c>
      <c r="O237">
        <v>1061.9099999999901</v>
      </c>
      <c r="P237">
        <v>843.54300000000001</v>
      </c>
      <c r="Q237">
        <v>44.269945257112099</v>
      </c>
    </row>
    <row r="238" spans="1:17" x14ac:dyDescent="0.25">
      <c r="A238">
        <v>10237</v>
      </c>
      <c r="B238" s="1">
        <v>45894</v>
      </c>
      <c r="C238">
        <v>3628</v>
      </c>
      <c r="D238" t="s">
        <v>17</v>
      </c>
      <c r="E238" t="s">
        <v>18</v>
      </c>
      <c r="F238" t="s">
        <v>25</v>
      </c>
      <c r="G238" t="s">
        <v>28</v>
      </c>
      <c r="H238">
        <v>4</v>
      </c>
      <c r="I238">
        <v>61.05</v>
      </c>
      <c r="J238">
        <v>20</v>
      </c>
      <c r="K238">
        <v>244.2</v>
      </c>
      <c r="L238">
        <v>48.84</v>
      </c>
      <c r="M238">
        <v>195.35999999999899</v>
      </c>
      <c r="N238">
        <v>58.64</v>
      </c>
      <c r="O238">
        <v>234.56</v>
      </c>
      <c r="P238">
        <v>-39.200000000000003</v>
      </c>
      <c r="Q238">
        <v>-20.065520065520001</v>
      </c>
    </row>
    <row r="239" spans="1:17" x14ac:dyDescent="0.25">
      <c r="A239">
        <v>10238</v>
      </c>
      <c r="B239" s="1">
        <v>45895</v>
      </c>
      <c r="C239">
        <v>3475</v>
      </c>
      <c r="D239" t="s">
        <v>17</v>
      </c>
      <c r="E239" t="s">
        <v>18</v>
      </c>
      <c r="F239" t="s">
        <v>26</v>
      </c>
      <c r="G239" t="s">
        <v>30</v>
      </c>
      <c r="H239">
        <v>7</v>
      </c>
      <c r="I239">
        <v>72.91</v>
      </c>
      <c r="J239">
        <v>0</v>
      </c>
      <c r="K239">
        <v>510.37</v>
      </c>
      <c r="L239">
        <v>0</v>
      </c>
      <c r="M239">
        <v>510.37</v>
      </c>
      <c r="N239">
        <v>33.72</v>
      </c>
      <c r="O239">
        <v>236.04</v>
      </c>
      <c r="P239">
        <v>274.33</v>
      </c>
      <c r="Q239">
        <v>53.751200109724302</v>
      </c>
    </row>
    <row r="240" spans="1:17" x14ac:dyDescent="0.25">
      <c r="A240">
        <v>10239</v>
      </c>
      <c r="B240" s="1">
        <v>45896</v>
      </c>
      <c r="C240">
        <v>3398</v>
      </c>
      <c r="D240" t="s">
        <v>23</v>
      </c>
      <c r="E240" t="s">
        <v>18</v>
      </c>
      <c r="F240" t="s">
        <v>26</v>
      </c>
      <c r="G240" t="s">
        <v>31</v>
      </c>
      <c r="H240">
        <v>8</v>
      </c>
      <c r="I240">
        <v>40.47</v>
      </c>
      <c r="J240">
        <v>0</v>
      </c>
      <c r="K240">
        <v>323.76</v>
      </c>
      <c r="L240">
        <v>0</v>
      </c>
      <c r="M240">
        <v>323.76</v>
      </c>
      <c r="N240">
        <v>58.99</v>
      </c>
      <c r="O240">
        <v>471.92</v>
      </c>
      <c r="P240">
        <v>-148.16</v>
      </c>
      <c r="Q240">
        <v>-45.762293056585101</v>
      </c>
    </row>
    <row r="241" spans="1:17" x14ac:dyDescent="0.25">
      <c r="A241">
        <v>10240</v>
      </c>
      <c r="B241" s="1">
        <v>45897</v>
      </c>
      <c r="C241">
        <v>3045</v>
      </c>
      <c r="D241" t="s">
        <v>23</v>
      </c>
      <c r="E241" t="s">
        <v>24</v>
      </c>
      <c r="F241" t="s">
        <v>33</v>
      </c>
      <c r="G241" t="s">
        <v>20</v>
      </c>
      <c r="H241">
        <v>8</v>
      </c>
      <c r="I241">
        <v>136.13999999999999</v>
      </c>
      <c r="J241">
        <v>10</v>
      </c>
      <c r="K241">
        <v>1089.1199999999999</v>
      </c>
      <c r="L241">
        <v>108.911999999999</v>
      </c>
      <c r="M241">
        <v>980.20799999999895</v>
      </c>
      <c r="N241">
        <v>42.16</v>
      </c>
      <c r="O241">
        <v>337.28</v>
      </c>
      <c r="P241">
        <v>642.92799999999897</v>
      </c>
      <c r="Q241">
        <v>65.590976609046194</v>
      </c>
    </row>
    <row r="242" spans="1:17" x14ac:dyDescent="0.25">
      <c r="A242">
        <v>10241</v>
      </c>
      <c r="B242" s="1">
        <v>45898</v>
      </c>
      <c r="C242">
        <v>3873</v>
      </c>
      <c r="D242" t="s">
        <v>21</v>
      </c>
      <c r="E242" t="s">
        <v>24</v>
      </c>
      <c r="F242" t="s">
        <v>25</v>
      </c>
      <c r="G242" t="s">
        <v>31</v>
      </c>
      <c r="H242">
        <v>2</v>
      </c>
      <c r="I242">
        <v>85.72</v>
      </c>
      <c r="J242">
        <v>10</v>
      </c>
      <c r="K242">
        <v>171.44</v>
      </c>
      <c r="L242">
        <v>17.143999999999998</v>
      </c>
      <c r="M242">
        <v>154.29599999999999</v>
      </c>
      <c r="N242">
        <v>41.32</v>
      </c>
      <c r="O242">
        <v>82.64</v>
      </c>
      <c r="P242">
        <v>71.655999999999906</v>
      </c>
      <c r="Q242">
        <v>46.4406076631928</v>
      </c>
    </row>
    <row r="243" spans="1:17" x14ac:dyDescent="0.25">
      <c r="A243">
        <v>10242</v>
      </c>
      <c r="B243" s="1">
        <v>45899</v>
      </c>
      <c r="C243">
        <v>3042</v>
      </c>
      <c r="D243" t="s">
        <v>29</v>
      </c>
      <c r="E243" t="s">
        <v>18</v>
      </c>
      <c r="F243" t="s">
        <v>19</v>
      </c>
      <c r="G243" t="s">
        <v>22</v>
      </c>
      <c r="H243">
        <v>5</v>
      </c>
      <c r="I243">
        <v>67.180000000000007</v>
      </c>
      <c r="J243">
        <v>10</v>
      </c>
      <c r="K243">
        <v>335.9</v>
      </c>
      <c r="L243">
        <v>33.590000000000003</v>
      </c>
      <c r="M243">
        <v>302.31</v>
      </c>
      <c r="N243">
        <v>87.05</v>
      </c>
      <c r="O243">
        <v>435.25</v>
      </c>
      <c r="P243">
        <v>-132.939999999999</v>
      </c>
      <c r="Q243">
        <v>-43.974727928285503</v>
      </c>
    </row>
    <row r="244" spans="1:17" x14ac:dyDescent="0.25">
      <c r="A244">
        <v>10243</v>
      </c>
      <c r="B244" s="1">
        <v>45900</v>
      </c>
      <c r="C244">
        <v>3864</v>
      </c>
      <c r="D244" t="s">
        <v>29</v>
      </c>
      <c r="E244" t="s">
        <v>18</v>
      </c>
      <c r="F244" t="s">
        <v>19</v>
      </c>
      <c r="G244" t="s">
        <v>22</v>
      </c>
      <c r="H244">
        <v>3</v>
      </c>
      <c r="I244">
        <v>26.95</v>
      </c>
      <c r="J244">
        <v>15</v>
      </c>
      <c r="K244">
        <v>80.849999999999994</v>
      </c>
      <c r="L244">
        <v>12.1275</v>
      </c>
      <c r="M244">
        <v>68.722499999999997</v>
      </c>
      <c r="N244">
        <v>102.21</v>
      </c>
      <c r="O244">
        <v>306.63</v>
      </c>
      <c r="P244">
        <v>-237.9075</v>
      </c>
      <c r="Q244">
        <v>-346.18574702608299</v>
      </c>
    </row>
    <row r="245" spans="1:17" x14ac:dyDescent="0.25">
      <c r="A245">
        <v>10244</v>
      </c>
      <c r="B245" s="1">
        <v>45901</v>
      </c>
      <c r="C245">
        <v>3290</v>
      </c>
      <c r="D245" t="s">
        <v>29</v>
      </c>
      <c r="E245" t="s">
        <v>24</v>
      </c>
      <c r="F245" t="s">
        <v>33</v>
      </c>
      <c r="G245" t="s">
        <v>31</v>
      </c>
      <c r="H245">
        <v>3</v>
      </c>
      <c r="I245">
        <v>248.27</v>
      </c>
      <c r="J245">
        <v>15</v>
      </c>
      <c r="K245">
        <v>744.81</v>
      </c>
      <c r="L245">
        <v>111.72150000000001</v>
      </c>
      <c r="M245">
        <v>633.08849999999995</v>
      </c>
      <c r="N245">
        <v>41.16</v>
      </c>
      <c r="O245">
        <v>123.479999999999</v>
      </c>
      <c r="P245">
        <v>509.60849999999999</v>
      </c>
      <c r="Q245">
        <v>80.495617911239805</v>
      </c>
    </row>
    <row r="246" spans="1:17" x14ac:dyDescent="0.25">
      <c r="A246">
        <v>10245</v>
      </c>
      <c r="B246" s="1">
        <v>45902</v>
      </c>
      <c r="C246">
        <v>3095</v>
      </c>
      <c r="D246" t="s">
        <v>17</v>
      </c>
      <c r="E246" t="s">
        <v>24</v>
      </c>
      <c r="F246" t="s">
        <v>26</v>
      </c>
      <c r="G246" t="s">
        <v>20</v>
      </c>
      <c r="H246">
        <v>1</v>
      </c>
      <c r="I246">
        <v>205.98</v>
      </c>
      <c r="J246">
        <v>0</v>
      </c>
      <c r="K246">
        <v>205.98</v>
      </c>
      <c r="L246">
        <v>0</v>
      </c>
      <c r="M246">
        <v>205.98</v>
      </c>
      <c r="N246">
        <v>84.74</v>
      </c>
      <c r="O246">
        <v>84.74</v>
      </c>
      <c r="P246">
        <v>121.24</v>
      </c>
      <c r="Q246">
        <v>58.860083503252703</v>
      </c>
    </row>
    <row r="247" spans="1:17" x14ac:dyDescent="0.25">
      <c r="A247">
        <v>10246</v>
      </c>
      <c r="B247" s="1">
        <v>45903</v>
      </c>
      <c r="C247">
        <v>3880</v>
      </c>
      <c r="D247" t="s">
        <v>29</v>
      </c>
      <c r="E247" t="s">
        <v>24</v>
      </c>
      <c r="F247" t="s">
        <v>19</v>
      </c>
      <c r="G247" t="s">
        <v>31</v>
      </c>
      <c r="H247">
        <v>2</v>
      </c>
      <c r="I247">
        <v>88.34</v>
      </c>
      <c r="J247">
        <v>10</v>
      </c>
      <c r="K247">
        <v>176.68</v>
      </c>
      <c r="L247">
        <v>17.667999999999999</v>
      </c>
      <c r="M247">
        <v>159.012</v>
      </c>
      <c r="N247">
        <v>9.32</v>
      </c>
      <c r="O247">
        <v>18.64</v>
      </c>
      <c r="P247">
        <v>140.37200000000001</v>
      </c>
      <c r="Q247">
        <v>88.277614268105495</v>
      </c>
    </row>
    <row r="248" spans="1:17" x14ac:dyDescent="0.25">
      <c r="A248">
        <v>10247</v>
      </c>
      <c r="B248" s="1">
        <v>45904</v>
      </c>
      <c r="C248">
        <v>3183</v>
      </c>
      <c r="D248" t="s">
        <v>23</v>
      </c>
      <c r="E248" t="s">
        <v>18</v>
      </c>
      <c r="F248" t="s">
        <v>33</v>
      </c>
      <c r="G248" t="s">
        <v>20</v>
      </c>
      <c r="H248">
        <v>5</v>
      </c>
      <c r="I248">
        <v>108.1</v>
      </c>
      <c r="J248">
        <v>15</v>
      </c>
      <c r="K248">
        <v>540.5</v>
      </c>
      <c r="L248">
        <v>81.075000000000003</v>
      </c>
      <c r="M248">
        <v>459.42500000000001</v>
      </c>
      <c r="N248">
        <v>146</v>
      </c>
      <c r="O248">
        <v>730</v>
      </c>
      <c r="P248">
        <v>-270.57499999999999</v>
      </c>
      <c r="Q248">
        <v>-58.894270011427302</v>
      </c>
    </row>
    <row r="249" spans="1:17" x14ac:dyDescent="0.25">
      <c r="A249">
        <v>10248</v>
      </c>
      <c r="B249" s="1">
        <v>45905</v>
      </c>
      <c r="C249">
        <v>3230</v>
      </c>
      <c r="D249" t="s">
        <v>23</v>
      </c>
      <c r="E249" t="s">
        <v>24</v>
      </c>
      <c r="F249" t="s">
        <v>19</v>
      </c>
      <c r="G249" t="s">
        <v>20</v>
      </c>
      <c r="H249">
        <v>6</v>
      </c>
      <c r="I249">
        <v>144.57</v>
      </c>
      <c r="J249">
        <v>0</v>
      </c>
      <c r="K249">
        <v>867.42</v>
      </c>
      <c r="L249">
        <v>0</v>
      </c>
      <c r="M249">
        <v>867.42</v>
      </c>
      <c r="N249">
        <v>19.86</v>
      </c>
      <c r="O249">
        <v>119.16</v>
      </c>
      <c r="P249">
        <v>748.26</v>
      </c>
      <c r="Q249">
        <v>86.262710105831005</v>
      </c>
    </row>
    <row r="250" spans="1:17" x14ac:dyDescent="0.25">
      <c r="A250">
        <v>10249</v>
      </c>
      <c r="B250" s="1">
        <v>45906</v>
      </c>
      <c r="C250">
        <v>3914</v>
      </c>
      <c r="D250" t="s">
        <v>23</v>
      </c>
      <c r="E250" t="s">
        <v>24</v>
      </c>
      <c r="F250" t="s">
        <v>33</v>
      </c>
      <c r="G250" t="s">
        <v>20</v>
      </c>
      <c r="H250">
        <v>1</v>
      </c>
      <c r="I250">
        <v>22.48</v>
      </c>
      <c r="J250">
        <v>15</v>
      </c>
      <c r="K250">
        <v>22.48</v>
      </c>
      <c r="L250">
        <v>3.3719999999999999</v>
      </c>
      <c r="M250">
        <v>19.108000000000001</v>
      </c>
      <c r="N250">
        <v>86.04</v>
      </c>
      <c r="O250">
        <v>86.04</v>
      </c>
      <c r="P250">
        <v>-66.932000000000002</v>
      </c>
      <c r="Q250">
        <v>-350.28260414485999</v>
      </c>
    </row>
    <row r="251" spans="1:17" x14ac:dyDescent="0.25">
      <c r="A251">
        <v>10250</v>
      </c>
      <c r="B251" s="1">
        <v>45907</v>
      </c>
      <c r="C251">
        <v>3265</v>
      </c>
      <c r="D251" t="s">
        <v>21</v>
      </c>
      <c r="E251" t="s">
        <v>24</v>
      </c>
      <c r="F251" t="s">
        <v>26</v>
      </c>
      <c r="G251" t="s">
        <v>27</v>
      </c>
      <c r="H251">
        <v>6</v>
      </c>
      <c r="I251">
        <v>100.16</v>
      </c>
      <c r="J251">
        <v>5</v>
      </c>
      <c r="K251">
        <v>600.96</v>
      </c>
      <c r="L251">
        <v>30.047999999999998</v>
      </c>
      <c r="M251">
        <v>570.91200000000003</v>
      </c>
      <c r="N251">
        <v>149.57</v>
      </c>
      <c r="O251">
        <v>897.42</v>
      </c>
      <c r="P251">
        <v>-326.50799999999902</v>
      </c>
      <c r="Q251">
        <v>-57.190600302673602</v>
      </c>
    </row>
    <row r="252" spans="1:17" x14ac:dyDescent="0.25">
      <c r="A252">
        <v>10251</v>
      </c>
      <c r="B252" s="1">
        <v>45908</v>
      </c>
      <c r="C252">
        <v>3969</v>
      </c>
      <c r="D252" t="s">
        <v>29</v>
      </c>
      <c r="E252" t="s">
        <v>18</v>
      </c>
      <c r="F252" t="s">
        <v>19</v>
      </c>
      <c r="G252" t="s">
        <v>30</v>
      </c>
      <c r="H252">
        <v>5</v>
      </c>
      <c r="I252">
        <v>147.94</v>
      </c>
      <c r="J252">
        <v>20</v>
      </c>
      <c r="K252">
        <v>739.7</v>
      </c>
      <c r="L252">
        <v>147.94</v>
      </c>
      <c r="M252">
        <v>591.76</v>
      </c>
      <c r="N252">
        <v>51.67</v>
      </c>
      <c r="O252">
        <v>258.35000000000002</v>
      </c>
      <c r="P252">
        <v>333.409999999999</v>
      </c>
      <c r="Q252">
        <v>56.342098147897701</v>
      </c>
    </row>
    <row r="253" spans="1:17" x14ac:dyDescent="0.25">
      <c r="A253">
        <v>10252</v>
      </c>
      <c r="B253" s="1">
        <v>45909</v>
      </c>
      <c r="C253">
        <v>3269</v>
      </c>
      <c r="D253" t="s">
        <v>23</v>
      </c>
      <c r="E253" t="s">
        <v>24</v>
      </c>
      <c r="F253" t="s">
        <v>19</v>
      </c>
      <c r="G253" t="s">
        <v>32</v>
      </c>
      <c r="H253">
        <v>2</v>
      </c>
      <c r="I253">
        <v>240.7</v>
      </c>
      <c r="J253">
        <v>0</v>
      </c>
      <c r="K253">
        <v>481.4</v>
      </c>
      <c r="L253">
        <v>0</v>
      </c>
      <c r="M253">
        <v>481.4</v>
      </c>
      <c r="N253">
        <v>46.63</v>
      </c>
      <c r="O253">
        <v>93.26</v>
      </c>
      <c r="P253">
        <v>388.14</v>
      </c>
      <c r="Q253">
        <v>80.627336933942601</v>
      </c>
    </row>
    <row r="254" spans="1:17" x14ac:dyDescent="0.25">
      <c r="A254">
        <v>10253</v>
      </c>
      <c r="B254" s="1">
        <v>45910</v>
      </c>
      <c r="C254">
        <v>3341</v>
      </c>
      <c r="D254" t="s">
        <v>29</v>
      </c>
      <c r="E254" t="s">
        <v>18</v>
      </c>
      <c r="F254" t="s">
        <v>26</v>
      </c>
      <c r="G254" t="s">
        <v>20</v>
      </c>
      <c r="H254">
        <v>2</v>
      </c>
      <c r="I254">
        <v>241.37</v>
      </c>
      <c r="J254">
        <v>10</v>
      </c>
      <c r="K254">
        <v>482.74</v>
      </c>
      <c r="L254">
        <v>48.274000000000001</v>
      </c>
      <c r="M254">
        <v>434.46600000000001</v>
      </c>
      <c r="N254">
        <v>112.06</v>
      </c>
      <c r="O254">
        <v>224.12</v>
      </c>
      <c r="P254">
        <v>210.346</v>
      </c>
      <c r="Q254">
        <v>48.414835683344599</v>
      </c>
    </row>
    <row r="255" spans="1:17" x14ac:dyDescent="0.25">
      <c r="A255">
        <v>10254</v>
      </c>
      <c r="B255" s="1">
        <v>45911</v>
      </c>
      <c r="C255">
        <v>3939</v>
      </c>
      <c r="D255" t="s">
        <v>17</v>
      </c>
      <c r="E255" t="s">
        <v>24</v>
      </c>
      <c r="F255" t="s">
        <v>33</v>
      </c>
      <c r="G255" t="s">
        <v>20</v>
      </c>
      <c r="H255">
        <v>3</v>
      </c>
      <c r="I255">
        <v>191.89</v>
      </c>
      <c r="J255">
        <v>5</v>
      </c>
      <c r="K255">
        <v>575.66999999999996</v>
      </c>
      <c r="L255">
        <v>28.7835</v>
      </c>
      <c r="M255">
        <v>546.88649999999996</v>
      </c>
      <c r="N255">
        <v>72.53</v>
      </c>
      <c r="O255">
        <v>217.59</v>
      </c>
      <c r="P255">
        <v>329.29649999999901</v>
      </c>
      <c r="Q255">
        <v>60.212950950517097</v>
      </c>
    </row>
    <row r="256" spans="1:17" x14ac:dyDescent="0.25">
      <c r="A256">
        <v>10255</v>
      </c>
      <c r="B256" s="1">
        <v>45912</v>
      </c>
      <c r="C256">
        <v>3001</v>
      </c>
      <c r="D256" t="s">
        <v>23</v>
      </c>
      <c r="E256" t="s">
        <v>24</v>
      </c>
      <c r="F256" t="s">
        <v>19</v>
      </c>
      <c r="G256" t="s">
        <v>22</v>
      </c>
      <c r="H256">
        <v>4</v>
      </c>
      <c r="I256">
        <v>22.21</v>
      </c>
      <c r="J256">
        <v>10</v>
      </c>
      <c r="K256">
        <v>88.84</v>
      </c>
      <c r="L256">
        <v>8.8840000000000003</v>
      </c>
      <c r="M256">
        <v>79.956000000000003</v>
      </c>
      <c r="N256">
        <v>43.65</v>
      </c>
      <c r="O256">
        <v>174.6</v>
      </c>
      <c r="P256">
        <v>-94.643999999999906</v>
      </c>
      <c r="Q256">
        <v>-118.370103556956</v>
      </c>
    </row>
    <row r="257" spans="1:17" x14ac:dyDescent="0.25">
      <c r="A257">
        <v>10256</v>
      </c>
      <c r="B257" s="1">
        <v>45913</v>
      </c>
      <c r="C257">
        <v>3287</v>
      </c>
      <c r="D257" t="s">
        <v>29</v>
      </c>
      <c r="E257" t="s">
        <v>18</v>
      </c>
      <c r="F257" t="s">
        <v>33</v>
      </c>
      <c r="G257" t="s">
        <v>30</v>
      </c>
      <c r="H257">
        <v>6</v>
      </c>
      <c r="I257">
        <v>154.86000000000001</v>
      </c>
      <c r="J257">
        <v>10</v>
      </c>
      <c r="K257">
        <v>929.16</v>
      </c>
      <c r="L257">
        <v>92.915999999999997</v>
      </c>
      <c r="M257">
        <v>836.24400000000003</v>
      </c>
      <c r="N257">
        <v>88.07</v>
      </c>
      <c r="O257">
        <v>528.41999999999996</v>
      </c>
      <c r="P257">
        <v>307.82400000000001</v>
      </c>
      <c r="Q257">
        <v>36.810308952889301</v>
      </c>
    </row>
    <row r="258" spans="1:17" x14ac:dyDescent="0.25">
      <c r="A258">
        <v>10257</v>
      </c>
      <c r="B258" s="1">
        <v>45914</v>
      </c>
      <c r="C258">
        <v>3910</v>
      </c>
      <c r="D258" t="s">
        <v>21</v>
      </c>
      <c r="E258" t="s">
        <v>18</v>
      </c>
      <c r="F258" t="s">
        <v>26</v>
      </c>
      <c r="G258" t="s">
        <v>27</v>
      </c>
      <c r="H258">
        <v>1</v>
      </c>
      <c r="I258">
        <v>120.62</v>
      </c>
      <c r="J258">
        <v>5</v>
      </c>
      <c r="K258">
        <v>120.62</v>
      </c>
      <c r="L258">
        <v>6.0309999999999997</v>
      </c>
      <c r="M258">
        <v>114.589</v>
      </c>
      <c r="N258">
        <v>124.93</v>
      </c>
      <c r="O258">
        <v>124.93</v>
      </c>
      <c r="P258">
        <v>-10.340999999999999</v>
      </c>
      <c r="Q258">
        <v>-9.0244264283657305</v>
      </c>
    </row>
    <row r="259" spans="1:17" x14ac:dyDescent="0.25">
      <c r="A259">
        <v>10258</v>
      </c>
      <c r="B259" s="1">
        <v>45915</v>
      </c>
      <c r="C259">
        <v>3208</v>
      </c>
      <c r="D259" t="s">
        <v>17</v>
      </c>
      <c r="E259" t="s">
        <v>18</v>
      </c>
      <c r="F259" t="s">
        <v>19</v>
      </c>
      <c r="G259" t="s">
        <v>28</v>
      </c>
      <c r="H259">
        <v>6</v>
      </c>
      <c r="I259">
        <v>165.62</v>
      </c>
      <c r="J259">
        <v>0</v>
      </c>
      <c r="K259">
        <v>993.72</v>
      </c>
      <c r="L259">
        <v>0</v>
      </c>
      <c r="M259">
        <v>993.72</v>
      </c>
      <c r="N259">
        <v>102.03</v>
      </c>
      <c r="O259">
        <v>612.17999999999995</v>
      </c>
      <c r="P259">
        <v>381.539999999999</v>
      </c>
      <c r="Q259">
        <v>38.395121362154299</v>
      </c>
    </row>
    <row r="260" spans="1:17" x14ac:dyDescent="0.25">
      <c r="A260">
        <v>10259</v>
      </c>
      <c r="B260" s="1">
        <v>45916</v>
      </c>
      <c r="C260">
        <v>3560</v>
      </c>
      <c r="D260" t="s">
        <v>21</v>
      </c>
      <c r="E260" t="s">
        <v>24</v>
      </c>
      <c r="F260" t="s">
        <v>26</v>
      </c>
      <c r="G260" t="s">
        <v>32</v>
      </c>
      <c r="H260">
        <v>4</v>
      </c>
      <c r="I260">
        <v>104.85</v>
      </c>
      <c r="J260">
        <v>20</v>
      </c>
      <c r="K260">
        <v>419.4</v>
      </c>
      <c r="L260">
        <v>83.88</v>
      </c>
      <c r="M260">
        <v>335.52</v>
      </c>
      <c r="N260">
        <v>39.81</v>
      </c>
      <c r="O260">
        <v>159.24</v>
      </c>
      <c r="P260">
        <v>176.27999999999901</v>
      </c>
      <c r="Q260">
        <v>52.539341917024302</v>
      </c>
    </row>
    <row r="261" spans="1:17" x14ac:dyDescent="0.25">
      <c r="A261">
        <v>10260</v>
      </c>
      <c r="B261" s="1">
        <v>45917</v>
      </c>
      <c r="C261">
        <v>3665</v>
      </c>
      <c r="D261" t="s">
        <v>23</v>
      </c>
      <c r="E261" t="s">
        <v>24</v>
      </c>
      <c r="F261" t="s">
        <v>33</v>
      </c>
      <c r="G261" t="s">
        <v>30</v>
      </c>
      <c r="H261">
        <v>9</v>
      </c>
      <c r="I261">
        <v>129.30000000000001</v>
      </c>
      <c r="J261">
        <v>20</v>
      </c>
      <c r="K261">
        <v>1163.7</v>
      </c>
      <c r="L261">
        <v>232.74</v>
      </c>
      <c r="M261">
        <v>930.96</v>
      </c>
      <c r="N261">
        <v>101.83</v>
      </c>
      <c r="O261">
        <v>916.47</v>
      </c>
      <c r="P261">
        <v>14.49</v>
      </c>
      <c r="Q261">
        <v>1.55645784996133</v>
      </c>
    </row>
    <row r="262" spans="1:17" x14ac:dyDescent="0.25">
      <c r="A262">
        <v>10261</v>
      </c>
      <c r="B262" s="1">
        <v>45918</v>
      </c>
      <c r="C262">
        <v>3497</v>
      </c>
      <c r="D262" t="s">
        <v>17</v>
      </c>
      <c r="E262" t="s">
        <v>18</v>
      </c>
      <c r="F262" t="s">
        <v>19</v>
      </c>
      <c r="G262" t="s">
        <v>30</v>
      </c>
      <c r="H262">
        <v>6</v>
      </c>
      <c r="I262">
        <v>117.23</v>
      </c>
      <c r="J262">
        <v>15</v>
      </c>
      <c r="K262">
        <v>703.38</v>
      </c>
      <c r="L262">
        <v>105.506999999999</v>
      </c>
      <c r="M262">
        <v>597.87300000000005</v>
      </c>
      <c r="N262">
        <v>139.83000000000001</v>
      </c>
      <c r="O262">
        <v>838.98</v>
      </c>
      <c r="P262">
        <v>-241.106999999999</v>
      </c>
      <c r="Q262">
        <v>-40.327460848708597</v>
      </c>
    </row>
    <row r="263" spans="1:17" x14ac:dyDescent="0.25">
      <c r="A263">
        <v>10262</v>
      </c>
      <c r="B263" s="1">
        <v>45919</v>
      </c>
      <c r="C263">
        <v>3161</v>
      </c>
      <c r="D263" t="s">
        <v>23</v>
      </c>
      <c r="E263" t="s">
        <v>24</v>
      </c>
      <c r="F263" t="s">
        <v>26</v>
      </c>
      <c r="G263" t="s">
        <v>20</v>
      </c>
      <c r="H263">
        <v>7</v>
      </c>
      <c r="I263">
        <v>42.29</v>
      </c>
      <c r="J263">
        <v>20</v>
      </c>
      <c r="K263">
        <v>296.02999999999997</v>
      </c>
      <c r="L263">
        <v>59.205999999999896</v>
      </c>
      <c r="M263">
        <v>236.82399999999899</v>
      </c>
      <c r="N263">
        <v>33.58</v>
      </c>
      <c r="O263">
        <v>235.06</v>
      </c>
      <c r="P263">
        <v>1.76399999999998</v>
      </c>
      <c r="Q263">
        <v>0.74485694017497395</v>
      </c>
    </row>
    <row r="264" spans="1:17" x14ac:dyDescent="0.25">
      <c r="A264">
        <v>10263</v>
      </c>
      <c r="B264" s="1">
        <v>45920</v>
      </c>
      <c r="C264">
        <v>3981</v>
      </c>
      <c r="D264" t="s">
        <v>23</v>
      </c>
      <c r="E264" t="s">
        <v>24</v>
      </c>
      <c r="F264" t="s">
        <v>33</v>
      </c>
      <c r="G264" t="s">
        <v>30</v>
      </c>
      <c r="H264">
        <v>4</v>
      </c>
      <c r="I264">
        <v>183.68</v>
      </c>
      <c r="J264">
        <v>5</v>
      </c>
      <c r="K264">
        <v>734.72</v>
      </c>
      <c r="L264">
        <v>36.735999999999997</v>
      </c>
      <c r="M264">
        <v>697.98400000000004</v>
      </c>
      <c r="N264">
        <v>99.51</v>
      </c>
      <c r="O264">
        <v>398.04</v>
      </c>
      <c r="P264">
        <v>299.94400000000002</v>
      </c>
      <c r="Q264">
        <v>42.972904823033097</v>
      </c>
    </row>
    <row r="265" spans="1:17" x14ac:dyDescent="0.25">
      <c r="A265">
        <v>10264</v>
      </c>
      <c r="B265" s="1">
        <v>45921</v>
      </c>
      <c r="C265">
        <v>3979</v>
      </c>
      <c r="D265" t="s">
        <v>23</v>
      </c>
      <c r="E265" t="s">
        <v>24</v>
      </c>
      <c r="F265" t="s">
        <v>19</v>
      </c>
      <c r="G265" t="s">
        <v>22</v>
      </c>
      <c r="H265">
        <v>3</v>
      </c>
      <c r="I265">
        <v>11.75</v>
      </c>
      <c r="J265">
        <v>10</v>
      </c>
      <c r="K265">
        <v>35.25</v>
      </c>
      <c r="L265">
        <v>3.5249999999999999</v>
      </c>
      <c r="M265">
        <v>31.725000000000001</v>
      </c>
      <c r="N265">
        <v>77.44</v>
      </c>
      <c r="O265">
        <v>232.32</v>
      </c>
      <c r="P265">
        <v>-200.595</v>
      </c>
      <c r="Q265">
        <v>-632.29314420803701</v>
      </c>
    </row>
    <row r="266" spans="1:17" x14ac:dyDescent="0.25">
      <c r="A266">
        <v>10265</v>
      </c>
      <c r="B266" s="1">
        <v>45922</v>
      </c>
      <c r="C266">
        <v>3255</v>
      </c>
      <c r="D266" t="s">
        <v>17</v>
      </c>
      <c r="E266" t="s">
        <v>24</v>
      </c>
      <c r="F266" t="s">
        <v>19</v>
      </c>
      <c r="G266" t="s">
        <v>30</v>
      </c>
      <c r="H266">
        <v>1</v>
      </c>
      <c r="I266">
        <v>125.42</v>
      </c>
      <c r="J266">
        <v>20</v>
      </c>
      <c r="K266">
        <v>125.42</v>
      </c>
      <c r="L266">
        <v>25.084</v>
      </c>
      <c r="M266">
        <v>100.336</v>
      </c>
      <c r="N266">
        <v>101.19</v>
      </c>
      <c r="O266">
        <v>101.19</v>
      </c>
      <c r="P266">
        <v>-0.85399999999999898</v>
      </c>
      <c r="Q266">
        <v>-0.85114016903205103</v>
      </c>
    </row>
    <row r="267" spans="1:17" x14ac:dyDescent="0.25">
      <c r="A267">
        <v>10266</v>
      </c>
      <c r="B267" s="1">
        <v>45923</v>
      </c>
      <c r="C267">
        <v>3338</v>
      </c>
      <c r="D267" t="s">
        <v>29</v>
      </c>
      <c r="E267" t="s">
        <v>24</v>
      </c>
      <c r="F267" t="s">
        <v>26</v>
      </c>
      <c r="G267" t="s">
        <v>32</v>
      </c>
      <c r="H267">
        <v>1</v>
      </c>
      <c r="I267">
        <v>209.4</v>
      </c>
      <c r="J267">
        <v>10</v>
      </c>
      <c r="K267">
        <v>209.4</v>
      </c>
      <c r="L267">
        <v>20.94</v>
      </c>
      <c r="M267">
        <v>188.46</v>
      </c>
      <c r="N267">
        <v>24.97</v>
      </c>
      <c r="O267">
        <v>24.97</v>
      </c>
      <c r="P267">
        <v>163.49</v>
      </c>
      <c r="Q267">
        <v>86.750504085747593</v>
      </c>
    </row>
    <row r="268" spans="1:17" x14ac:dyDescent="0.25">
      <c r="A268">
        <v>10267</v>
      </c>
      <c r="B268" s="1">
        <v>45924</v>
      </c>
      <c r="C268">
        <v>3576</v>
      </c>
      <c r="D268" t="s">
        <v>29</v>
      </c>
      <c r="E268" t="s">
        <v>18</v>
      </c>
      <c r="F268" t="s">
        <v>19</v>
      </c>
      <c r="G268" t="s">
        <v>32</v>
      </c>
      <c r="H268">
        <v>1</v>
      </c>
      <c r="I268">
        <v>198.66</v>
      </c>
      <c r="J268">
        <v>10</v>
      </c>
      <c r="K268">
        <v>198.66</v>
      </c>
      <c r="L268">
        <v>19.866</v>
      </c>
      <c r="M268">
        <v>178.79399999999899</v>
      </c>
      <c r="N268">
        <v>38.76</v>
      </c>
      <c r="O268">
        <v>38.76</v>
      </c>
      <c r="P268">
        <v>140.03399999999999</v>
      </c>
      <c r="Q268">
        <v>78.321420181885301</v>
      </c>
    </row>
    <row r="269" spans="1:17" x14ac:dyDescent="0.25">
      <c r="A269">
        <v>10268</v>
      </c>
      <c r="B269" s="1">
        <v>45925</v>
      </c>
      <c r="C269">
        <v>3461</v>
      </c>
      <c r="D269" t="s">
        <v>21</v>
      </c>
      <c r="E269" t="s">
        <v>18</v>
      </c>
      <c r="F269" t="s">
        <v>19</v>
      </c>
      <c r="G269" t="s">
        <v>31</v>
      </c>
      <c r="H269">
        <v>5</v>
      </c>
      <c r="I269">
        <v>88.62</v>
      </c>
      <c r="J269">
        <v>5</v>
      </c>
      <c r="K269">
        <v>443.1</v>
      </c>
      <c r="L269">
        <v>22.155000000000001</v>
      </c>
      <c r="M269">
        <v>420.94499999999999</v>
      </c>
      <c r="N269">
        <v>55.4</v>
      </c>
      <c r="O269">
        <v>277</v>
      </c>
      <c r="P269">
        <v>143.94499999999999</v>
      </c>
      <c r="Q269">
        <v>34.195678770385598</v>
      </c>
    </row>
    <row r="270" spans="1:17" x14ac:dyDescent="0.25">
      <c r="A270">
        <v>10269</v>
      </c>
      <c r="B270" s="1">
        <v>45926</v>
      </c>
      <c r="C270">
        <v>3826</v>
      </c>
      <c r="D270" t="s">
        <v>29</v>
      </c>
      <c r="E270" t="s">
        <v>18</v>
      </c>
      <c r="F270" t="s">
        <v>33</v>
      </c>
      <c r="G270" t="s">
        <v>30</v>
      </c>
      <c r="H270">
        <v>2</v>
      </c>
      <c r="I270">
        <v>136.66</v>
      </c>
      <c r="J270">
        <v>10</v>
      </c>
      <c r="K270">
        <v>273.32</v>
      </c>
      <c r="L270">
        <v>27.332000000000001</v>
      </c>
      <c r="M270">
        <v>245.988</v>
      </c>
      <c r="N270">
        <v>126.74</v>
      </c>
      <c r="O270">
        <v>253.48</v>
      </c>
      <c r="P270">
        <v>-7.4919999999999902</v>
      </c>
      <c r="Q270">
        <v>-3.0456770248955101</v>
      </c>
    </row>
    <row r="271" spans="1:17" x14ac:dyDescent="0.25">
      <c r="A271">
        <v>10270</v>
      </c>
      <c r="B271" s="1">
        <v>45927</v>
      </c>
      <c r="C271">
        <v>3266</v>
      </c>
      <c r="D271" t="s">
        <v>21</v>
      </c>
      <c r="E271" t="s">
        <v>24</v>
      </c>
      <c r="F271" t="s">
        <v>25</v>
      </c>
      <c r="G271" t="s">
        <v>32</v>
      </c>
      <c r="H271">
        <v>4</v>
      </c>
      <c r="I271">
        <v>228.33</v>
      </c>
      <c r="J271">
        <v>10</v>
      </c>
      <c r="K271">
        <v>913.32</v>
      </c>
      <c r="L271">
        <v>91.331999999999994</v>
      </c>
      <c r="M271">
        <v>821.98800000000006</v>
      </c>
      <c r="N271">
        <v>60.73</v>
      </c>
      <c r="O271">
        <v>242.92</v>
      </c>
      <c r="P271">
        <v>579.06799999999998</v>
      </c>
      <c r="Q271">
        <v>70.4472571375738</v>
      </c>
    </row>
    <row r="272" spans="1:17" x14ac:dyDescent="0.25">
      <c r="A272">
        <v>10271</v>
      </c>
      <c r="B272" s="1">
        <v>45928</v>
      </c>
      <c r="C272">
        <v>3436</v>
      </c>
      <c r="D272" t="s">
        <v>29</v>
      </c>
      <c r="E272" t="s">
        <v>24</v>
      </c>
      <c r="F272" t="s">
        <v>25</v>
      </c>
      <c r="G272" t="s">
        <v>32</v>
      </c>
      <c r="H272">
        <v>7</v>
      </c>
      <c r="I272">
        <v>84.44</v>
      </c>
      <c r="J272">
        <v>15</v>
      </c>
      <c r="K272">
        <v>591.07999999999902</v>
      </c>
      <c r="L272">
        <v>88.661999999999907</v>
      </c>
      <c r="M272">
        <v>502.41799999999898</v>
      </c>
      <c r="N272">
        <v>53.93</v>
      </c>
      <c r="O272">
        <v>377.51</v>
      </c>
      <c r="P272">
        <v>124.90799999999901</v>
      </c>
      <c r="Q272">
        <v>24.861370412684199</v>
      </c>
    </row>
    <row r="273" spans="1:17" x14ac:dyDescent="0.25">
      <c r="A273">
        <v>10272</v>
      </c>
      <c r="B273" s="1">
        <v>45929</v>
      </c>
      <c r="C273">
        <v>3506</v>
      </c>
      <c r="D273" t="s">
        <v>29</v>
      </c>
      <c r="E273" t="s">
        <v>24</v>
      </c>
      <c r="F273" t="s">
        <v>25</v>
      </c>
      <c r="G273" t="s">
        <v>27</v>
      </c>
      <c r="H273">
        <v>2</v>
      </c>
      <c r="I273">
        <v>149.38999999999999</v>
      </c>
      <c r="J273">
        <v>10</v>
      </c>
      <c r="K273">
        <v>298.77999999999997</v>
      </c>
      <c r="L273">
        <v>29.878</v>
      </c>
      <c r="M273">
        <v>268.90199999999999</v>
      </c>
      <c r="N273">
        <v>112.53</v>
      </c>
      <c r="O273">
        <v>225.06</v>
      </c>
      <c r="P273">
        <v>43.841999999999899</v>
      </c>
      <c r="Q273">
        <v>16.3040810406765</v>
      </c>
    </row>
    <row r="274" spans="1:17" x14ac:dyDescent="0.25">
      <c r="A274">
        <v>10273</v>
      </c>
      <c r="B274" s="1">
        <v>45930</v>
      </c>
      <c r="C274">
        <v>3539</v>
      </c>
      <c r="D274" t="s">
        <v>17</v>
      </c>
      <c r="E274" t="s">
        <v>18</v>
      </c>
      <c r="F274" t="s">
        <v>19</v>
      </c>
      <c r="G274" t="s">
        <v>28</v>
      </c>
      <c r="H274">
        <v>9</v>
      </c>
      <c r="I274">
        <v>234.18</v>
      </c>
      <c r="J274">
        <v>0</v>
      </c>
      <c r="K274">
        <v>2107.62</v>
      </c>
      <c r="L274">
        <v>0</v>
      </c>
      <c r="M274">
        <v>2107.62</v>
      </c>
      <c r="N274">
        <v>25.12</v>
      </c>
      <c r="O274">
        <v>226.08</v>
      </c>
      <c r="P274">
        <v>1881.54</v>
      </c>
      <c r="Q274">
        <v>89.273208642924203</v>
      </c>
    </row>
    <row r="275" spans="1:17" x14ac:dyDescent="0.25">
      <c r="A275">
        <v>10274</v>
      </c>
      <c r="B275" s="1">
        <v>45931</v>
      </c>
      <c r="C275">
        <v>3156</v>
      </c>
      <c r="D275" t="s">
        <v>29</v>
      </c>
      <c r="E275" t="s">
        <v>18</v>
      </c>
      <c r="F275" t="s">
        <v>19</v>
      </c>
      <c r="G275" t="s">
        <v>32</v>
      </c>
      <c r="H275">
        <v>2</v>
      </c>
      <c r="I275">
        <v>238.87</v>
      </c>
      <c r="J275">
        <v>5</v>
      </c>
      <c r="K275">
        <v>477.74</v>
      </c>
      <c r="L275">
        <v>23.887</v>
      </c>
      <c r="M275">
        <v>453.85300000000001</v>
      </c>
      <c r="N275">
        <v>51.4</v>
      </c>
      <c r="O275">
        <v>102.8</v>
      </c>
      <c r="P275">
        <v>351.053</v>
      </c>
      <c r="Q275">
        <v>77.349494219493906</v>
      </c>
    </row>
    <row r="276" spans="1:17" x14ac:dyDescent="0.25">
      <c r="A276">
        <v>10275</v>
      </c>
      <c r="B276" s="1">
        <v>45932</v>
      </c>
      <c r="C276">
        <v>3008</v>
      </c>
      <c r="D276" t="s">
        <v>23</v>
      </c>
      <c r="E276" t="s">
        <v>18</v>
      </c>
      <c r="F276" t="s">
        <v>33</v>
      </c>
      <c r="G276" t="s">
        <v>20</v>
      </c>
      <c r="H276">
        <v>4</v>
      </c>
      <c r="I276">
        <v>173.22</v>
      </c>
      <c r="J276">
        <v>0</v>
      </c>
      <c r="K276">
        <v>692.88</v>
      </c>
      <c r="L276">
        <v>0</v>
      </c>
      <c r="M276">
        <v>692.88</v>
      </c>
      <c r="N276">
        <v>84.87</v>
      </c>
      <c r="O276">
        <v>339.48</v>
      </c>
      <c r="P276">
        <v>353.4</v>
      </c>
      <c r="Q276">
        <v>51.004502944232698</v>
      </c>
    </row>
    <row r="277" spans="1:17" x14ac:dyDescent="0.25">
      <c r="A277">
        <v>10276</v>
      </c>
      <c r="B277" s="1">
        <v>45933</v>
      </c>
      <c r="C277">
        <v>3759</v>
      </c>
      <c r="D277" t="s">
        <v>17</v>
      </c>
      <c r="E277" t="s">
        <v>24</v>
      </c>
      <c r="F277" t="s">
        <v>33</v>
      </c>
      <c r="G277" t="s">
        <v>22</v>
      </c>
      <c r="H277">
        <v>2</v>
      </c>
      <c r="I277">
        <v>245.35</v>
      </c>
      <c r="J277">
        <v>10</v>
      </c>
      <c r="K277">
        <v>490.7</v>
      </c>
      <c r="L277">
        <v>49.07</v>
      </c>
      <c r="M277">
        <v>441.63</v>
      </c>
      <c r="N277">
        <v>55.22</v>
      </c>
      <c r="O277">
        <v>110.44</v>
      </c>
      <c r="P277">
        <v>331.19</v>
      </c>
      <c r="Q277">
        <v>74.992640898489597</v>
      </c>
    </row>
    <row r="278" spans="1:17" x14ac:dyDescent="0.25">
      <c r="A278">
        <v>10277</v>
      </c>
      <c r="B278" s="1">
        <v>45934</v>
      </c>
      <c r="C278">
        <v>3481</v>
      </c>
      <c r="D278" t="s">
        <v>23</v>
      </c>
      <c r="E278" t="s">
        <v>18</v>
      </c>
      <c r="F278" t="s">
        <v>25</v>
      </c>
      <c r="G278" t="s">
        <v>22</v>
      </c>
      <c r="H278">
        <v>5</v>
      </c>
      <c r="I278">
        <v>196.22</v>
      </c>
      <c r="J278">
        <v>10</v>
      </c>
      <c r="K278">
        <v>981.1</v>
      </c>
      <c r="L278">
        <v>98.11</v>
      </c>
      <c r="M278">
        <v>882.99</v>
      </c>
      <c r="N278">
        <v>91.7</v>
      </c>
      <c r="O278">
        <v>458.5</v>
      </c>
      <c r="P278">
        <v>424.49</v>
      </c>
      <c r="Q278">
        <v>48.0741571252222</v>
      </c>
    </row>
    <row r="279" spans="1:17" x14ac:dyDescent="0.25">
      <c r="A279">
        <v>10278</v>
      </c>
      <c r="B279" s="1">
        <v>45935</v>
      </c>
      <c r="C279">
        <v>3612</v>
      </c>
      <c r="D279" t="s">
        <v>17</v>
      </c>
      <c r="E279" t="s">
        <v>24</v>
      </c>
      <c r="F279" t="s">
        <v>33</v>
      </c>
      <c r="G279" t="s">
        <v>27</v>
      </c>
      <c r="H279">
        <v>8</v>
      </c>
      <c r="I279">
        <v>243.74</v>
      </c>
      <c r="J279">
        <v>20</v>
      </c>
      <c r="K279">
        <v>1949.92</v>
      </c>
      <c r="L279">
        <v>389.98399999999998</v>
      </c>
      <c r="M279">
        <v>1559.9359999999999</v>
      </c>
      <c r="N279">
        <v>92.22</v>
      </c>
      <c r="O279">
        <v>737.76</v>
      </c>
      <c r="P279">
        <v>822.17600000000004</v>
      </c>
      <c r="Q279">
        <v>52.705752030852501</v>
      </c>
    </row>
    <row r="280" spans="1:17" x14ac:dyDescent="0.25">
      <c r="A280">
        <v>10279</v>
      </c>
      <c r="B280" s="1">
        <v>45936</v>
      </c>
      <c r="C280">
        <v>3985</v>
      </c>
      <c r="D280" t="s">
        <v>23</v>
      </c>
      <c r="E280" t="s">
        <v>18</v>
      </c>
      <c r="F280" t="s">
        <v>33</v>
      </c>
      <c r="G280" t="s">
        <v>27</v>
      </c>
      <c r="H280">
        <v>4</v>
      </c>
      <c r="I280">
        <v>171.14</v>
      </c>
      <c r="J280">
        <v>15</v>
      </c>
      <c r="K280">
        <v>684.56</v>
      </c>
      <c r="L280">
        <v>102.683999999999</v>
      </c>
      <c r="M280">
        <v>581.87599999999998</v>
      </c>
      <c r="N280">
        <v>25.49</v>
      </c>
      <c r="O280">
        <v>101.96</v>
      </c>
      <c r="P280">
        <v>479.916</v>
      </c>
      <c r="Q280">
        <v>82.477366311722704</v>
      </c>
    </row>
    <row r="281" spans="1:17" x14ac:dyDescent="0.25">
      <c r="A281">
        <v>10280</v>
      </c>
      <c r="B281" s="1">
        <v>45937</v>
      </c>
      <c r="C281">
        <v>3428</v>
      </c>
      <c r="D281" t="s">
        <v>29</v>
      </c>
      <c r="E281" t="s">
        <v>24</v>
      </c>
      <c r="F281" t="s">
        <v>25</v>
      </c>
      <c r="G281" t="s">
        <v>27</v>
      </c>
      <c r="H281">
        <v>4</v>
      </c>
      <c r="I281">
        <v>166.76</v>
      </c>
      <c r="J281">
        <v>0</v>
      </c>
      <c r="K281">
        <v>667.04</v>
      </c>
      <c r="L281">
        <v>0</v>
      </c>
      <c r="M281">
        <v>667.04</v>
      </c>
      <c r="N281">
        <v>24.35</v>
      </c>
      <c r="O281">
        <v>97.4</v>
      </c>
      <c r="P281">
        <v>569.64</v>
      </c>
      <c r="Q281">
        <v>85.398177020868303</v>
      </c>
    </row>
    <row r="282" spans="1:17" x14ac:dyDescent="0.25">
      <c r="A282">
        <v>10281</v>
      </c>
      <c r="B282" s="1">
        <v>45938</v>
      </c>
      <c r="C282">
        <v>3766</v>
      </c>
      <c r="D282" t="s">
        <v>29</v>
      </c>
      <c r="E282" t="s">
        <v>24</v>
      </c>
      <c r="F282" t="s">
        <v>26</v>
      </c>
      <c r="G282" t="s">
        <v>32</v>
      </c>
      <c r="H282">
        <v>1</v>
      </c>
      <c r="I282">
        <v>23.87</v>
      </c>
      <c r="J282">
        <v>0</v>
      </c>
      <c r="K282">
        <v>23.87</v>
      </c>
      <c r="L282">
        <v>0</v>
      </c>
      <c r="M282">
        <v>23.87</v>
      </c>
      <c r="N282">
        <v>118.72</v>
      </c>
      <c r="O282">
        <v>118.72</v>
      </c>
      <c r="P282">
        <v>-94.85</v>
      </c>
      <c r="Q282">
        <v>-397.36070381231599</v>
      </c>
    </row>
    <row r="283" spans="1:17" x14ac:dyDescent="0.25">
      <c r="A283">
        <v>10282</v>
      </c>
      <c r="B283" s="1">
        <v>45939</v>
      </c>
      <c r="C283">
        <v>3947</v>
      </c>
      <c r="D283" t="s">
        <v>21</v>
      </c>
      <c r="E283" t="s">
        <v>18</v>
      </c>
      <c r="F283" t="s">
        <v>25</v>
      </c>
      <c r="G283" t="s">
        <v>31</v>
      </c>
      <c r="H283">
        <v>9</v>
      </c>
      <c r="I283">
        <v>127.52</v>
      </c>
      <c r="J283">
        <v>10</v>
      </c>
      <c r="K283">
        <v>1147.68</v>
      </c>
      <c r="L283">
        <v>114.768</v>
      </c>
      <c r="M283">
        <v>1032.912</v>
      </c>
      <c r="N283">
        <v>65.52</v>
      </c>
      <c r="O283">
        <v>589.67999999999995</v>
      </c>
      <c r="P283">
        <v>443.23200000000003</v>
      </c>
      <c r="Q283">
        <v>42.910915934755302</v>
      </c>
    </row>
    <row r="284" spans="1:17" x14ac:dyDescent="0.25">
      <c r="A284">
        <v>10283</v>
      </c>
      <c r="B284" s="1">
        <v>45940</v>
      </c>
      <c r="C284">
        <v>3822</v>
      </c>
      <c r="D284" t="s">
        <v>17</v>
      </c>
      <c r="E284" t="s">
        <v>24</v>
      </c>
      <c r="F284" t="s">
        <v>33</v>
      </c>
      <c r="G284" t="s">
        <v>27</v>
      </c>
      <c r="H284">
        <v>9</v>
      </c>
      <c r="I284">
        <v>89.34</v>
      </c>
      <c r="J284">
        <v>5</v>
      </c>
      <c r="K284">
        <v>804.06</v>
      </c>
      <c r="L284">
        <v>40.203000000000003</v>
      </c>
      <c r="M284">
        <v>763.85699999999997</v>
      </c>
      <c r="N284">
        <v>26.63</v>
      </c>
      <c r="O284">
        <v>239.67</v>
      </c>
      <c r="P284">
        <v>524.18700000000001</v>
      </c>
      <c r="Q284">
        <v>68.623708364261901</v>
      </c>
    </row>
    <row r="285" spans="1:17" x14ac:dyDescent="0.25">
      <c r="A285">
        <v>10284</v>
      </c>
      <c r="B285" s="1">
        <v>45941</v>
      </c>
      <c r="C285">
        <v>3298</v>
      </c>
      <c r="D285" t="s">
        <v>23</v>
      </c>
      <c r="E285" t="s">
        <v>18</v>
      </c>
      <c r="F285" t="s">
        <v>25</v>
      </c>
      <c r="G285" t="s">
        <v>32</v>
      </c>
      <c r="H285">
        <v>9</v>
      </c>
      <c r="I285">
        <v>20.84</v>
      </c>
      <c r="J285">
        <v>15</v>
      </c>
      <c r="K285">
        <v>187.56</v>
      </c>
      <c r="L285">
        <v>28.134</v>
      </c>
      <c r="M285">
        <v>159.42599999999999</v>
      </c>
      <c r="N285">
        <v>16.079999999999998</v>
      </c>
      <c r="O285">
        <v>144.719999999999</v>
      </c>
      <c r="P285">
        <v>14.706</v>
      </c>
      <c r="Q285">
        <v>9.22434232810207</v>
      </c>
    </row>
    <row r="286" spans="1:17" x14ac:dyDescent="0.25">
      <c r="A286">
        <v>10285</v>
      </c>
      <c r="B286" s="1">
        <v>45942</v>
      </c>
      <c r="C286">
        <v>3348</v>
      </c>
      <c r="D286" t="s">
        <v>21</v>
      </c>
      <c r="E286" t="s">
        <v>18</v>
      </c>
      <c r="F286" t="s">
        <v>19</v>
      </c>
      <c r="G286" t="s">
        <v>31</v>
      </c>
      <c r="H286">
        <v>6</v>
      </c>
      <c r="I286">
        <v>162.44999999999999</v>
      </c>
      <c r="J286">
        <v>10</v>
      </c>
      <c r="K286">
        <v>974.69999999999902</v>
      </c>
      <c r="L286">
        <v>97.47</v>
      </c>
      <c r="M286">
        <v>877.229999999999</v>
      </c>
      <c r="N286">
        <v>65.739999999999995</v>
      </c>
      <c r="O286">
        <v>394.43999999999897</v>
      </c>
      <c r="P286">
        <v>482.789999999999</v>
      </c>
      <c r="Q286">
        <v>55.035737491877804</v>
      </c>
    </row>
    <row r="287" spans="1:17" x14ac:dyDescent="0.25">
      <c r="A287">
        <v>10286</v>
      </c>
      <c r="B287" s="1">
        <v>45943</v>
      </c>
      <c r="C287">
        <v>3519</v>
      </c>
      <c r="D287" t="s">
        <v>23</v>
      </c>
      <c r="E287" t="s">
        <v>18</v>
      </c>
      <c r="F287" t="s">
        <v>33</v>
      </c>
      <c r="G287" t="s">
        <v>27</v>
      </c>
      <c r="H287">
        <v>7</v>
      </c>
      <c r="I287">
        <v>243.09</v>
      </c>
      <c r="J287">
        <v>0</v>
      </c>
      <c r="K287">
        <v>1701.63</v>
      </c>
      <c r="L287">
        <v>0</v>
      </c>
      <c r="M287">
        <v>1701.63</v>
      </c>
      <c r="N287">
        <v>127.11</v>
      </c>
      <c r="O287">
        <v>889.77</v>
      </c>
      <c r="P287">
        <v>811.86</v>
      </c>
      <c r="Q287">
        <v>47.710724423053101</v>
      </c>
    </row>
    <row r="288" spans="1:17" x14ac:dyDescent="0.25">
      <c r="A288">
        <v>10287</v>
      </c>
      <c r="B288" s="1">
        <v>45944</v>
      </c>
      <c r="C288">
        <v>3753</v>
      </c>
      <c r="D288" t="s">
        <v>21</v>
      </c>
      <c r="E288" t="s">
        <v>24</v>
      </c>
      <c r="F288" t="s">
        <v>26</v>
      </c>
      <c r="G288" t="s">
        <v>31</v>
      </c>
      <c r="H288">
        <v>7</v>
      </c>
      <c r="I288">
        <v>147.22999999999999</v>
      </c>
      <c r="J288">
        <v>0</v>
      </c>
      <c r="K288">
        <v>1030.6099999999999</v>
      </c>
      <c r="L288">
        <v>0</v>
      </c>
      <c r="M288">
        <v>1030.6099999999999</v>
      </c>
      <c r="N288">
        <v>34.74</v>
      </c>
      <c r="O288">
        <v>243.18</v>
      </c>
      <c r="P288">
        <v>787.42999999999904</v>
      </c>
      <c r="Q288">
        <v>76.404265435033594</v>
      </c>
    </row>
    <row r="289" spans="1:17" x14ac:dyDescent="0.25">
      <c r="A289">
        <v>10288</v>
      </c>
      <c r="B289" s="1">
        <v>45945</v>
      </c>
      <c r="C289">
        <v>3143</v>
      </c>
      <c r="D289" t="s">
        <v>21</v>
      </c>
      <c r="E289" t="s">
        <v>24</v>
      </c>
      <c r="F289" t="s">
        <v>25</v>
      </c>
      <c r="G289" t="s">
        <v>32</v>
      </c>
      <c r="H289">
        <v>2</v>
      </c>
      <c r="I289">
        <v>95.12</v>
      </c>
      <c r="J289">
        <v>10</v>
      </c>
      <c r="K289">
        <v>190.24</v>
      </c>
      <c r="L289">
        <v>19.024000000000001</v>
      </c>
      <c r="M289">
        <v>171.21600000000001</v>
      </c>
      <c r="N289">
        <v>149.28</v>
      </c>
      <c r="O289">
        <v>298.56</v>
      </c>
      <c r="P289">
        <v>-127.34399999999999</v>
      </c>
      <c r="Q289">
        <v>-74.376226520885893</v>
      </c>
    </row>
    <row r="290" spans="1:17" x14ac:dyDescent="0.25">
      <c r="A290">
        <v>10289</v>
      </c>
      <c r="B290" s="1">
        <v>45946</v>
      </c>
      <c r="C290">
        <v>3640</v>
      </c>
      <c r="D290" t="s">
        <v>17</v>
      </c>
      <c r="E290" t="s">
        <v>18</v>
      </c>
      <c r="F290" t="s">
        <v>19</v>
      </c>
      <c r="G290" t="s">
        <v>32</v>
      </c>
      <c r="H290">
        <v>2</v>
      </c>
      <c r="I290">
        <v>236.8</v>
      </c>
      <c r="J290">
        <v>0</v>
      </c>
      <c r="K290">
        <v>473.6</v>
      </c>
      <c r="L290">
        <v>0</v>
      </c>
      <c r="M290">
        <v>473.6</v>
      </c>
      <c r="N290">
        <v>8.0299999999999994</v>
      </c>
      <c r="O290">
        <v>16.059999999999999</v>
      </c>
      <c r="P290">
        <v>457.54</v>
      </c>
      <c r="Q290">
        <v>96.608952702702695</v>
      </c>
    </row>
    <row r="291" spans="1:17" x14ac:dyDescent="0.25">
      <c r="A291">
        <v>10290</v>
      </c>
      <c r="B291" s="1">
        <v>45947</v>
      </c>
      <c r="C291">
        <v>3210</v>
      </c>
      <c r="D291" t="s">
        <v>21</v>
      </c>
      <c r="E291" t="s">
        <v>24</v>
      </c>
      <c r="F291" t="s">
        <v>19</v>
      </c>
      <c r="G291" t="s">
        <v>32</v>
      </c>
      <c r="H291">
        <v>3</v>
      </c>
      <c r="I291">
        <v>173.62</v>
      </c>
      <c r="J291">
        <v>0</v>
      </c>
      <c r="K291">
        <v>520.86</v>
      </c>
      <c r="L291">
        <v>0</v>
      </c>
      <c r="M291">
        <v>520.86</v>
      </c>
      <c r="N291">
        <v>91.06</v>
      </c>
      <c r="O291">
        <v>273.18</v>
      </c>
      <c r="P291">
        <v>247.68</v>
      </c>
      <c r="Q291">
        <v>47.552125331182999</v>
      </c>
    </row>
    <row r="292" spans="1:17" x14ac:dyDescent="0.25">
      <c r="A292">
        <v>10291</v>
      </c>
      <c r="B292" s="1">
        <v>45948</v>
      </c>
      <c r="C292">
        <v>3231</v>
      </c>
      <c r="D292" t="s">
        <v>29</v>
      </c>
      <c r="E292" t="s">
        <v>18</v>
      </c>
      <c r="F292" t="s">
        <v>33</v>
      </c>
      <c r="G292" t="s">
        <v>32</v>
      </c>
      <c r="H292">
        <v>5</v>
      </c>
      <c r="I292">
        <v>47.62</v>
      </c>
      <c r="J292">
        <v>10</v>
      </c>
      <c r="K292">
        <v>238.1</v>
      </c>
      <c r="L292">
        <v>23.81</v>
      </c>
      <c r="M292">
        <v>214.29</v>
      </c>
      <c r="N292">
        <v>106.37</v>
      </c>
      <c r="O292">
        <v>531.85</v>
      </c>
      <c r="P292">
        <v>-317.56</v>
      </c>
      <c r="Q292">
        <v>-148.19170283260999</v>
      </c>
    </row>
    <row r="293" spans="1:17" x14ac:dyDescent="0.25">
      <c r="A293">
        <v>10292</v>
      </c>
      <c r="B293" s="1">
        <v>45949</v>
      </c>
      <c r="C293">
        <v>3688</v>
      </c>
      <c r="D293" t="s">
        <v>21</v>
      </c>
      <c r="E293" t="s">
        <v>24</v>
      </c>
      <c r="F293" t="s">
        <v>33</v>
      </c>
      <c r="G293" t="s">
        <v>22</v>
      </c>
      <c r="H293">
        <v>6</v>
      </c>
      <c r="I293">
        <v>155.61000000000001</v>
      </c>
      <c r="J293">
        <v>10</v>
      </c>
      <c r="K293">
        <v>933.66</v>
      </c>
      <c r="L293">
        <v>93.366</v>
      </c>
      <c r="M293">
        <v>840.29399999999998</v>
      </c>
      <c r="N293">
        <v>82.18</v>
      </c>
      <c r="O293">
        <v>493.08</v>
      </c>
      <c r="P293">
        <v>347.214</v>
      </c>
      <c r="Q293">
        <v>41.320537811765803</v>
      </c>
    </row>
    <row r="294" spans="1:17" x14ac:dyDescent="0.25">
      <c r="A294">
        <v>10293</v>
      </c>
      <c r="B294" s="1">
        <v>45950</v>
      </c>
      <c r="C294">
        <v>3448</v>
      </c>
      <c r="D294" t="s">
        <v>21</v>
      </c>
      <c r="E294" t="s">
        <v>18</v>
      </c>
      <c r="F294" t="s">
        <v>25</v>
      </c>
      <c r="G294" t="s">
        <v>22</v>
      </c>
      <c r="H294">
        <v>5</v>
      </c>
      <c r="I294">
        <v>215.61</v>
      </c>
      <c r="J294">
        <v>5</v>
      </c>
      <c r="K294">
        <v>1078.05</v>
      </c>
      <c r="L294">
        <v>53.902500000000003</v>
      </c>
      <c r="M294">
        <v>1024.1475</v>
      </c>
      <c r="N294">
        <v>42.58</v>
      </c>
      <c r="O294">
        <v>212.89999999999901</v>
      </c>
      <c r="P294">
        <v>811.24749999999995</v>
      </c>
      <c r="Q294">
        <v>79.2119787432962</v>
      </c>
    </row>
    <row r="295" spans="1:17" x14ac:dyDescent="0.25">
      <c r="A295">
        <v>10294</v>
      </c>
      <c r="B295" s="1">
        <v>45951</v>
      </c>
      <c r="C295">
        <v>3044</v>
      </c>
      <c r="D295" t="s">
        <v>29</v>
      </c>
      <c r="E295" t="s">
        <v>18</v>
      </c>
      <c r="F295" t="s">
        <v>33</v>
      </c>
      <c r="G295" t="s">
        <v>30</v>
      </c>
      <c r="H295">
        <v>9</v>
      </c>
      <c r="I295">
        <v>196.6</v>
      </c>
      <c r="J295">
        <v>5</v>
      </c>
      <c r="K295">
        <v>1769.3999999999901</v>
      </c>
      <c r="L295">
        <v>88.47</v>
      </c>
      <c r="M295">
        <v>1680.9299999999901</v>
      </c>
      <c r="N295">
        <v>50.88</v>
      </c>
      <c r="O295">
        <v>457.92</v>
      </c>
      <c r="P295">
        <v>1223.00999999999</v>
      </c>
      <c r="Q295">
        <v>72.757937570273498</v>
      </c>
    </row>
    <row r="296" spans="1:17" x14ac:dyDescent="0.25">
      <c r="A296">
        <v>10295</v>
      </c>
      <c r="B296" s="1">
        <v>45952</v>
      </c>
      <c r="C296">
        <v>3521</v>
      </c>
      <c r="D296" t="s">
        <v>21</v>
      </c>
      <c r="E296" t="s">
        <v>24</v>
      </c>
      <c r="F296" t="s">
        <v>19</v>
      </c>
      <c r="G296" t="s">
        <v>28</v>
      </c>
      <c r="H296">
        <v>7</v>
      </c>
      <c r="I296">
        <v>129.21</v>
      </c>
      <c r="J296">
        <v>5</v>
      </c>
      <c r="K296">
        <v>904.47</v>
      </c>
      <c r="L296">
        <v>45.223500000000001</v>
      </c>
      <c r="M296">
        <v>859.24649999999997</v>
      </c>
      <c r="N296">
        <v>85.31</v>
      </c>
      <c r="O296">
        <v>597.16999999999996</v>
      </c>
      <c r="P296">
        <v>262.07649999999899</v>
      </c>
      <c r="Q296">
        <v>30.500735237210701</v>
      </c>
    </row>
    <row r="297" spans="1:17" x14ac:dyDescent="0.25">
      <c r="A297">
        <v>10296</v>
      </c>
      <c r="B297" s="1">
        <v>45953</v>
      </c>
      <c r="C297">
        <v>3814</v>
      </c>
      <c r="D297" t="s">
        <v>21</v>
      </c>
      <c r="E297" t="s">
        <v>24</v>
      </c>
      <c r="F297" t="s">
        <v>26</v>
      </c>
      <c r="G297" t="s">
        <v>32</v>
      </c>
      <c r="H297">
        <v>2</v>
      </c>
      <c r="I297">
        <v>174.12</v>
      </c>
      <c r="J297">
        <v>10</v>
      </c>
      <c r="K297">
        <v>348.24</v>
      </c>
      <c r="L297">
        <v>34.823999999999998</v>
      </c>
      <c r="M297">
        <v>313.416</v>
      </c>
      <c r="N297">
        <v>134.83000000000001</v>
      </c>
      <c r="O297">
        <v>269.66000000000003</v>
      </c>
      <c r="P297">
        <v>43.755999999999901</v>
      </c>
      <c r="Q297">
        <v>13.960997524057399</v>
      </c>
    </row>
    <row r="298" spans="1:17" x14ac:dyDescent="0.25">
      <c r="A298">
        <v>10297</v>
      </c>
      <c r="B298" s="1">
        <v>45954</v>
      </c>
      <c r="C298">
        <v>3440</v>
      </c>
      <c r="D298" t="s">
        <v>17</v>
      </c>
      <c r="E298" t="s">
        <v>24</v>
      </c>
      <c r="F298" t="s">
        <v>19</v>
      </c>
      <c r="G298" t="s">
        <v>32</v>
      </c>
      <c r="H298">
        <v>4</v>
      </c>
      <c r="I298">
        <v>221.96</v>
      </c>
      <c r="J298">
        <v>0</v>
      </c>
      <c r="K298">
        <v>887.84</v>
      </c>
      <c r="L298">
        <v>0</v>
      </c>
      <c r="M298">
        <v>887.84</v>
      </c>
      <c r="N298">
        <v>65.86</v>
      </c>
      <c r="O298">
        <v>263.44</v>
      </c>
      <c r="P298">
        <v>624.4</v>
      </c>
      <c r="Q298">
        <v>70.327987024689094</v>
      </c>
    </row>
    <row r="299" spans="1:17" x14ac:dyDescent="0.25">
      <c r="A299">
        <v>10298</v>
      </c>
      <c r="B299" s="1">
        <v>45955</v>
      </c>
      <c r="C299">
        <v>3994</v>
      </c>
      <c r="D299" t="s">
        <v>23</v>
      </c>
      <c r="E299" t="s">
        <v>24</v>
      </c>
      <c r="F299" t="s">
        <v>25</v>
      </c>
      <c r="G299" t="s">
        <v>30</v>
      </c>
      <c r="H299">
        <v>2</v>
      </c>
      <c r="I299">
        <v>187.66</v>
      </c>
      <c r="J299">
        <v>0</v>
      </c>
      <c r="K299">
        <v>375.32</v>
      </c>
      <c r="L299">
        <v>0</v>
      </c>
      <c r="M299">
        <v>375.32</v>
      </c>
      <c r="N299">
        <v>55</v>
      </c>
      <c r="O299">
        <v>110</v>
      </c>
      <c r="P299">
        <v>265.32</v>
      </c>
      <c r="Q299">
        <v>70.691676436107798</v>
      </c>
    </row>
    <row r="300" spans="1:17" x14ac:dyDescent="0.25">
      <c r="A300">
        <v>10299</v>
      </c>
      <c r="B300" s="1">
        <v>45956</v>
      </c>
      <c r="C300">
        <v>3176</v>
      </c>
      <c r="D300" t="s">
        <v>21</v>
      </c>
      <c r="E300" t="s">
        <v>18</v>
      </c>
      <c r="F300" t="s">
        <v>19</v>
      </c>
      <c r="G300" t="s">
        <v>32</v>
      </c>
      <c r="H300">
        <v>9</v>
      </c>
      <c r="I300">
        <v>145.91</v>
      </c>
      <c r="J300">
        <v>15</v>
      </c>
      <c r="K300">
        <v>1313.19</v>
      </c>
      <c r="L300">
        <v>196.9785</v>
      </c>
      <c r="M300">
        <v>1116.2114999999999</v>
      </c>
      <c r="N300">
        <v>63.05</v>
      </c>
      <c r="O300">
        <v>567.44999999999902</v>
      </c>
      <c r="P300">
        <v>548.76149999999996</v>
      </c>
      <c r="Q300">
        <v>49.162860264385301</v>
      </c>
    </row>
    <row r="301" spans="1:17" x14ac:dyDescent="0.25">
      <c r="A301">
        <v>10300</v>
      </c>
      <c r="B301" s="1">
        <v>45957</v>
      </c>
      <c r="C301">
        <v>3639</v>
      </c>
      <c r="D301" t="s">
        <v>23</v>
      </c>
      <c r="E301" t="s">
        <v>18</v>
      </c>
      <c r="F301" t="s">
        <v>33</v>
      </c>
      <c r="G301" t="s">
        <v>28</v>
      </c>
      <c r="H301">
        <v>2</v>
      </c>
      <c r="I301">
        <v>244.62</v>
      </c>
      <c r="J301">
        <v>20</v>
      </c>
      <c r="K301">
        <v>489.24</v>
      </c>
      <c r="L301">
        <v>97.847999999999999</v>
      </c>
      <c r="M301">
        <v>391.392</v>
      </c>
      <c r="N301">
        <v>149.9</v>
      </c>
      <c r="O301">
        <v>299.8</v>
      </c>
      <c r="P301">
        <v>91.591999999999899</v>
      </c>
      <c r="Q301">
        <v>23.401602485487601</v>
      </c>
    </row>
    <row r="302" spans="1:17" x14ac:dyDescent="0.25">
      <c r="A302">
        <v>10301</v>
      </c>
      <c r="B302" s="1">
        <v>45958</v>
      </c>
      <c r="C302">
        <v>3427</v>
      </c>
      <c r="D302" t="s">
        <v>17</v>
      </c>
      <c r="E302" t="s">
        <v>24</v>
      </c>
      <c r="F302" t="s">
        <v>33</v>
      </c>
      <c r="G302" t="s">
        <v>32</v>
      </c>
      <c r="H302">
        <v>7</v>
      </c>
      <c r="I302">
        <v>24.62</v>
      </c>
      <c r="J302">
        <v>5</v>
      </c>
      <c r="K302">
        <v>172.34</v>
      </c>
      <c r="L302">
        <v>8.6170000000000009</v>
      </c>
      <c r="M302">
        <v>163.72300000000001</v>
      </c>
      <c r="N302">
        <v>43.64</v>
      </c>
      <c r="O302">
        <v>305.48</v>
      </c>
      <c r="P302">
        <v>-141.75700000000001</v>
      </c>
      <c r="Q302">
        <v>-86.583436658258094</v>
      </c>
    </row>
    <row r="303" spans="1:17" x14ac:dyDescent="0.25">
      <c r="A303">
        <v>10302</v>
      </c>
      <c r="B303" s="1">
        <v>45959</v>
      </c>
      <c r="C303">
        <v>3517</v>
      </c>
      <c r="D303" t="s">
        <v>17</v>
      </c>
      <c r="E303" t="s">
        <v>24</v>
      </c>
      <c r="F303" t="s">
        <v>25</v>
      </c>
      <c r="G303" t="s">
        <v>28</v>
      </c>
      <c r="H303">
        <v>3</v>
      </c>
      <c r="I303">
        <v>85.31</v>
      </c>
      <c r="J303">
        <v>10</v>
      </c>
      <c r="K303">
        <v>255.93</v>
      </c>
      <c r="L303">
        <v>25.593</v>
      </c>
      <c r="M303">
        <v>230.33699999999999</v>
      </c>
      <c r="N303">
        <v>29.85</v>
      </c>
      <c r="O303">
        <v>89.55</v>
      </c>
      <c r="P303">
        <v>140.78699999999901</v>
      </c>
      <c r="Q303">
        <v>61.1221818465986</v>
      </c>
    </row>
    <row r="304" spans="1:17" x14ac:dyDescent="0.25">
      <c r="A304">
        <v>10303</v>
      </c>
      <c r="B304" s="1">
        <v>45960</v>
      </c>
      <c r="C304">
        <v>3917</v>
      </c>
      <c r="D304" t="s">
        <v>29</v>
      </c>
      <c r="E304" t="s">
        <v>24</v>
      </c>
      <c r="F304" t="s">
        <v>26</v>
      </c>
      <c r="G304" t="s">
        <v>20</v>
      </c>
      <c r="H304">
        <v>1</v>
      </c>
      <c r="I304">
        <v>239.17</v>
      </c>
      <c r="J304">
        <v>15</v>
      </c>
      <c r="K304">
        <v>239.17</v>
      </c>
      <c r="L304">
        <v>35.875499999999903</v>
      </c>
      <c r="M304">
        <v>203.2945</v>
      </c>
      <c r="N304">
        <v>134.47</v>
      </c>
      <c r="O304">
        <v>134.47</v>
      </c>
      <c r="P304">
        <v>68.8245</v>
      </c>
      <c r="Q304">
        <v>33.854580423966198</v>
      </c>
    </row>
    <row r="305" spans="1:17" x14ac:dyDescent="0.25">
      <c r="A305">
        <v>10304</v>
      </c>
      <c r="B305" s="1">
        <v>45961</v>
      </c>
      <c r="C305">
        <v>3144</v>
      </c>
      <c r="D305" t="s">
        <v>21</v>
      </c>
      <c r="E305" t="s">
        <v>18</v>
      </c>
      <c r="F305" t="s">
        <v>25</v>
      </c>
      <c r="G305" t="s">
        <v>20</v>
      </c>
      <c r="H305">
        <v>5</v>
      </c>
      <c r="I305">
        <v>17.440000000000001</v>
      </c>
      <c r="J305">
        <v>20</v>
      </c>
      <c r="K305">
        <v>87.2</v>
      </c>
      <c r="L305">
        <v>17.440000000000001</v>
      </c>
      <c r="M305">
        <v>69.760000000000005</v>
      </c>
      <c r="N305">
        <v>23.19</v>
      </c>
      <c r="O305">
        <v>115.95</v>
      </c>
      <c r="P305">
        <v>-46.19</v>
      </c>
      <c r="Q305">
        <v>-66.212729357798096</v>
      </c>
    </row>
    <row r="306" spans="1:17" x14ac:dyDescent="0.25">
      <c r="A306">
        <v>10305</v>
      </c>
      <c r="B306" s="1">
        <v>45962</v>
      </c>
      <c r="C306">
        <v>3011</v>
      </c>
      <c r="D306" t="s">
        <v>17</v>
      </c>
      <c r="E306" t="s">
        <v>18</v>
      </c>
      <c r="F306" t="s">
        <v>33</v>
      </c>
      <c r="G306" t="s">
        <v>27</v>
      </c>
      <c r="H306">
        <v>2</v>
      </c>
      <c r="I306">
        <v>177.29</v>
      </c>
      <c r="J306">
        <v>0</v>
      </c>
      <c r="K306">
        <v>354.58</v>
      </c>
      <c r="L306">
        <v>0</v>
      </c>
      <c r="M306">
        <v>354.58</v>
      </c>
      <c r="N306">
        <v>126.72</v>
      </c>
      <c r="O306">
        <v>253.44</v>
      </c>
      <c r="P306">
        <v>101.13999999999901</v>
      </c>
      <c r="Q306">
        <v>28.523887416097899</v>
      </c>
    </row>
    <row r="307" spans="1:17" x14ac:dyDescent="0.25">
      <c r="A307">
        <v>10306</v>
      </c>
      <c r="B307" s="1">
        <v>45963</v>
      </c>
      <c r="C307">
        <v>3874</v>
      </c>
      <c r="D307" t="s">
        <v>23</v>
      </c>
      <c r="E307" t="s">
        <v>24</v>
      </c>
      <c r="F307" t="s">
        <v>25</v>
      </c>
      <c r="G307" t="s">
        <v>31</v>
      </c>
      <c r="H307">
        <v>3</v>
      </c>
      <c r="I307">
        <v>137.03</v>
      </c>
      <c r="J307">
        <v>5</v>
      </c>
      <c r="K307">
        <v>411.09</v>
      </c>
      <c r="L307">
        <v>20.554500000000001</v>
      </c>
      <c r="M307">
        <v>390.53550000000001</v>
      </c>
      <c r="N307">
        <v>95.66</v>
      </c>
      <c r="O307">
        <v>286.98</v>
      </c>
      <c r="P307">
        <v>103.55549999999999</v>
      </c>
      <c r="Q307">
        <v>26.516283410854999</v>
      </c>
    </row>
    <row r="308" spans="1:17" x14ac:dyDescent="0.25">
      <c r="A308">
        <v>10307</v>
      </c>
      <c r="B308" s="1">
        <v>45964</v>
      </c>
      <c r="C308">
        <v>3160</v>
      </c>
      <c r="D308" t="s">
        <v>21</v>
      </c>
      <c r="E308" t="s">
        <v>24</v>
      </c>
      <c r="F308" t="s">
        <v>26</v>
      </c>
      <c r="G308" t="s">
        <v>22</v>
      </c>
      <c r="H308">
        <v>1</v>
      </c>
      <c r="I308">
        <v>153.01</v>
      </c>
      <c r="J308">
        <v>10</v>
      </c>
      <c r="K308">
        <v>153.01</v>
      </c>
      <c r="L308">
        <v>15.301</v>
      </c>
      <c r="M308">
        <v>137.709</v>
      </c>
      <c r="N308">
        <v>143.9</v>
      </c>
      <c r="O308">
        <v>143.9</v>
      </c>
      <c r="P308">
        <v>-6.1909999999999998</v>
      </c>
      <c r="Q308">
        <v>-4.4957119723474799</v>
      </c>
    </row>
    <row r="309" spans="1:17" x14ac:dyDescent="0.25">
      <c r="A309">
        <v>10308</v>
      </c>
      <c r="B309" s="1">
        <v>45965</v>
      </c>
      <c r="C309">
        <v>3808</v>
      </c>
      <c r="D309" t="s">
        <v>17</v>
      </c>
      <c r="E309" t="s">
        <v>18</v>
      </c>
      <c r="F309" t="s">
        <v>19</v>
      </c>
      <c r="G309" t="s">
        <v>28</v>
      </c>
      <c r="H309">
        <v>4</v>
      </c>
      <c r="I309">
        <v>27.47</v>
      </c>
      <c r="J309">
        <v>0</v>
      </c>
      <c r="K309">
        <v>109.88</v>
      </c>
      <c r="L309">
        <v>0</v>
      </c>
      <c r="M309">
        <v>109.88</v>
      </c>
      <c r="N309">
        <v>51.08</v>
      </c>
      <c r="O309">
        <v>204.32</v>
      </c>
      <c r="P309">
        <v>-94.44</v>
      </c>
      <c r="Q309">
        <v>-85.948307244266402</v>
      </c>
    </row>
    <row r="310" spans="1:17" x14ac:dyDescent="0.25">
      <c r="A310">
        <v>10309</v>
      </c>
      <c r="B310" s="1">
        <v>45966</v>
      </c>
      <c r="C310">
        <v>3548</v>
      </c>
      <c r="D310" t="s">
        <v>23</v>
      </c>
      <c r="E310" t="s">
        <v>18</v>
      </c>
      <c r="F310" t="s">
        <v>26</v>
      </c>
      <c r="G310" t="s">
        <v>31</v>
      </c>
      <c r="H310">
        <v>4</v>
      </c>
      <c r="I310">
        <v>11.93</v>
      </c>
      <c r="J310">
        <v>15</v>
      </c>
      <c r="K310">
        <v>47.72</v>
      </c>
      <c r="L310">
        <v>7.1579999999999897</v>
      </c>
      <c r="M310">
        <v>40.561999999999998</v>
      </c>
      <c r="N310">
        <v>129.07</v>
      </c>
      <c r="O310">
        <v>516.28</v>
      </c>
      <c r="P310">
        <v>-475.71799999999899</v>
      </c>
      <c r="Q310">
        <v>-1172.8169222424899</v>
      </c>
    </row>
    <row r="311" spans="1:17" x14ac:dyDescent="0.25">
      <c r="A311">
        <v>10310</v>
      </c>
      <c r="B311" s="1">
        <v>45967</v>
      </c>
      <c r="C311">
        <v>3069</v>
      </c>
      <c r="D311" t="s">
        <v>17</v>
      </c>
      <c r="E311" t="s">
        <v>18</v>
      </c>
      <c r="F311" t="s">
        <v>19</v>
      </c>
      <c r="G311" t="s">
        <v>28</v>
      </c>
      <c r="H311">
        <v>8</v>
      </c>
      <c r="I311">
        <v>87.1</v>
      </c>
      <c r="J311">
        <v>0</v>
      </c>
      <c r="K311">
        <v>696.8</v>
      </c>
      <c r="L311">
        <v>0</v>
      </c>
      <c r="M311">
        <v>696.8</v>
      </c>
      <c r="N311">
        <v>17.690000000000001</v>
      </c>
      <c r="O311">
        <v>141.52000000000001</v>
      </c>
      <c r="P311">
        <v>555.28</v>
      </c>
      <c r="Q311">
        <v>79.690011481056203</v>
      </c>
    </row>
    <row r="312" spans="1:17" x14ac:dyDescent="0.25">
      <c r="A312">
        <v>10311</v>
      </c>
      <c r="B312" s="1">
        <v>45968</v>
      </c>
      <c r="C312">
        <v>3924</v>
      </c>
      <c r="D312" t="s">
        <v>23</v>
      </c>
      <c r="E312" t="s">
        <v>24</v>
      </c>
      <c r="F312" t="s">
        <v>26</v>
      </c>
      <c r="G312" t="s">
        <v>22</v>
      </c>
      <c r="H312">
        <v>1</v>
      </c>
      <c r="I312">
        <v>106.01</v>
      </c>
      <c r="J312">
        <v>10</v>
      </c>
      <c r="K312">
        <v>106.01</v>
      </c>
      <c r="L312">
        <v>10.601000000000001</v>
      </c>
      <c r="M312">
        <v>95.409000000000006</v>
      </c>
      <c r="N312">
        <v>118.44</v>
      </c>
      <c r="O312">
        <v>118.44</v>
      </c>
      <c r="P312">
        <v>-23.030999999999899</v>
      </c>
      <c r="Q312">
        <v>-24.139232147910501</v>
      </c>
    </row>
    <row r="313" spans="1:17" x14ac:dyDescent="0.25">
      <c r="A313">
        <v>10312</v>
      </c>
      <c r="B313" s="1">
        <v>45969</v>
      </c>
      <c r="C313">
        <v>3363</v>
      </c>
      <c r="D313" t="s">
        <v>21</v>
      </c>
      <c r="E313" t="s">
        <v>18</v>
      </c>
      <c r="F313" t="s">
        <v>19</v>
      </c>
      <c r="G313" t="s">
        <v>20</v>
      </c>
      <c r="H313">
        <v>6</v>
      </c>
      <c r="I313">
        <v>161.37</v>
      </c>
      <c r="J313">
        <v>15</v>
      </c>
      <c r="K313">
        <v>968.22</v>
      </c>
      <c r="L313">
        <v>145.233</v>
      </c>
      <c r="M313">
        <v>822.98699999999997</v>
      </c>
      <c r="N313">
        <v>52.44</v>
      </c>
      <c r="O313">
        <v>314.64</v>
      </c>
      <c r="P313">
        <v>508.34699999999998</v>
      </c>
      <c r="Q313">
        <v>61.768533403322202</v>
      </c>
    </row>
    <row r="314" spans="1:17" x14ac:dyDescent="0.25">
      <c r="A314">
        <v>10313</v>
      </c>
      <c r="B314" s="1">
        <v>45970</v>
      </c>
      <c r="C314">
        <v>3605</v>
      </c>
      <c r="D314" t="s">
        <v>17</v>
      </c>
      <c r="E314" t="s">
        <v>24</v>
      </c>
      <c r="F314" t="s">
        <v>33</v>
      </c>
      <c r="G314" t="s">
        <v>30</v>
      </c>
      <c r="H314">
        <v>9</v>
      </c>
      <c r="I314">
        <v>140.32</v>
      </c>
      <c r="J314">
        <v>20</v>
      </c>
      <c r="K314">
        <v>1262.8799999999901</v>
      </c>
      <c r="L314">
        <v>252.57599999999999</v>
      </c>
      <c r="M314">
        <v>1010.30399999999</v>
      </c>
      <c r="N314">
        <v>71.78</v>
      </c>
      <c r="O314">
        <v>646.02</v>
      </c>
      <c r="P314">
        <v>364.28399999999903</v>
      </c>
      <c r="Q314">
        <v>36.056870011402502</v>
      </c>
    </row>
    <row r="315" spans="1:17" x14ac:dyDescent="0.25">
      <c r="A315">
        <v>10314</v>
      </c>
      <c r="B315" s="1">
        <v>45971</v>
      </c>
      <c r="C315">
        <v>3049</v>
      </c>
      <c r="D315" t="s">
        <v>21</v>
      </c>
      <c r="E315" t="s">
        <v>24</v>
      </c>
      <c r="F315" t="s">
        <v>25</v>
      </c>
      <c r="G315" t="s">
        <v>20</v>
      </c>
      <c r="H315">
        <v>1</v>
      </c>
      <c r="I315">
        <v>24.39</v>
      </c>
      <c r="J315">
        <v>0</v>
      </c>
      <c r="K315">
        <v>24.39</v>
      </c>
      <c r="L315">
        <v>0</v>
      </c>
      <c r="M315">
        <v>24.39</v>
      </c>
      <c r="N315">
        <v>120.57</v>
      </c>
      <c r="O315">
        <v>120.57</v>
      </c>
      <c r="P315">
        <v>-96.179999999999893</v>
      </c>
      <c r="Q315">
        <v>-394.34194341943402</v>
      </c>
    </row>
    <row r="316" spans="1:17" x14ac:dyDescent="0.25">
      <c r="A316">
        <v>10315</v>
      </c>
      <c r="B316" s="1">
        <v>45972</v>
      </c>
      <c r="C316">
        <v>3829</v>
      </c>
      <c r="D316" t="s">
        <v>23</v>
      </c>
      <c r="E316" t="s">
        <v>18</v>
      </c>
      <c r="F316" t="s">
        <v>25</v>
      </c>
      <c r="G316" t="s">
        <v>31</v>
      </c>
      <c r="H316">
        <v>5</v>
      </c>
      <c r="I316">
        <v>22.86</v>
      </c>
      <c r="J316">
        <v>15</v>
      </c>
      <c r="K316">
        <v>114.3</v>
      </c>
      <c r="L316">
        <v>17.145</v>
      </c>
      <c r="M316">
        <v>97.155000000000001</v>
      </c>
      <c r="N316">
        <v>97.06</v>
      </c>
      <c r="O316">
        <v>485.3</v>
      </c>
      <c r="P316">
        <v>-388.14499999999998</v>
      </c>
      <c r="Q316">
        <v>-399.51109052544899</v>
      </c>
    </row>
    <row r="317" spans="1:17" x14ac:dyDescent="0.25">
      <c r="A317">
        <v>10316</v>
      </c>
      <c r="B317" s="1">
        <v>45973</v>
      </c>
      <c r="C317">
        <v>3366</v>
      </c>
      <c r="D317" t="s">
        <v>23</v>
      </c>
      <c r="E317" t="s">
        <v>24</v>
      </c>
      <c r="F317" t="s">
        <v>19</v>
      </c>
      <c r="G317" t="s">
        <v>28</v>
      </c>
      <c r="H317">
        <v>2</v>
      </c>
      <c r="I317">
        <v>170.03</v>
      </c>
      <c r="J317">
        <v>5</v>
      </c>
      <c r="K317">
        <v>340.06</v>
      </c>
      <c r="L317">
        <v>17.003</v>
      </c>
      <c r="M317">
        <v>323.05700000000002</v>
      </c>
      <c r="N317">
        <v>71.45</v>
      </c>
      <c r="O317">
        <v>142.9</v>
      </c>
      <c r="P317">
        <v>180.15700000000001</v>
      </c>
      <c r="Q317">
        <v>55.766319875439898</v>
      </c>
    </row>
    <row r="318" spans="1:17" x14ac:dyDescent="0.25">
      <c r="A318">
        <v>10317</v>
      </c>
      <c r="B318" s="1">
        <v>45974</v>
      </c>
      <c r="C318">
        <v>3490</v>
      </c>
      <c r="D318" t="s">
        <v>23</v>
      </c>
      <c r="E318" t="s">
        <v>18</v>
      </c>
      <c r="F318" t="s">
        <v>33</v>
      </c>
      <c r="G318" t="s">
        <v>31</v>
      </c>
      <c r="H318">
        <v>8</v>
      </c>
      <c r="I318">
        <v>212.47</v>
      </c>
      <c r="J318">
        <v>0</v>
      </c>
      <c r="K318">
        <v>1699.76</v>
      </c>
      <c r="L318">
        <v>0</v>
      </c>
      <c r="M318">
        <v>1699.76</v>
      </c>
      <c r="N318">
        <v>47.43</v>
      </c>
      <c r="O318">
        <v>379.44</v>
      </c>
      <c r="P318">
        <v>1320.32</v>
      </c>
      <c r="Q318">
        <v>77.676848496258202</v>
      </c>
    </row>
    <row r="319" spans="1:17" x14ac:dyDescent="0.25">
      <c r="A319">
        <v>10318</v>
      </c>
      <c r="B319" s="1">
        <v>45975</v>
      </c>
      <c r="C319">
        <v>3436</v>
      </c>
      <c r="D319" t="s">
        <v>17</v>
      </c>
      <c r="E319" t="s">
        <v>24</v>
      </c>
      <c r="F319" t="s">
        <v>25</v>
      </c>
      <c r="G319" t="s">
        <v>30</v>
      </c>
      <c r="H319">
        <v>4</v>
      </c>
      <c r="I319">
        <v>126.7</v>
      </c>
      <c r="J319">
        <v>20</v>
      </c>
      <c r="K319">
        <v>506.8</v>
      </c>
      <c r="L319">
        <v>101.36</v>
      </c>
      <c r="M319">
        <v>405.44</v>
      </c>
      <c r="N319">
        <v>114.54</v>
      </c>
      <c r="O319">
        <v>458.16</v>
      </c>
      <c r="P319">
        <v>-52.72</v>
      </c>
      <c r="Q319">
        <v>-13.0031570639305</v>
      </c>
    </row>
    <row r="320" spans="1:17" x14ac:dyDescent="0.25">
      <c r="A320">
        <v>10319</v>
      </c>
      <c r="B320" s="1">
        <v>45976</v>
      </c>
      <c r="C320">
        <v>3735</v>
      </c>
      <c r="D320" t="s">
        <v>29</v>
      </c>
      <c r="E320" t="s">
        <v>24</v>
      </c>
      <c r="F320" t="s">
        <v>26</v>
      </c>
      <c r="G320" t="s">
        <v>31</v>
      </c>
      <c r="H320">
        <v>7</v>
      </c>
      <c r="I320">
        <v>66.900000000000006</v>
      </c>
      <c r="J320">
        <v>15</v>
      </c>
      <c r="K320">
        <v>468.3</v>
      </c>
      <c r="L320">
        <v>70.245000000000005</v>
      </c>
      <c r="M320">
        <v>398.05500000000001</v>
      </c>
      <c r="N320">
        <v>72.540000000000006</v>
      </c>
      <c r="O320">
        <v>507.78</v>
      </c>
      <c r="P320">
        <v>-109.724999999999</v>
      </c>
      <c r="Q320">
        <v>-27.565286204167698</v>
      </c>
    </row>
    <row r="321" spans="1:17" x14ac:dyDescent="0.25">
      <c r="A321">
        <v>10320</v>
      </c>
      <c r="B321" s="1">
        <v>45977</v>
      </c>
      <c r="C321">
        <v>3647</v>
      </c>
      <c r="D321" t="s">
        <v>23</v>
      </c>
      <c r="E321" t="s">
        <v>18</v>
      </c>
      <c r="F321" t="s">
        <v>26</v>
      </c>
      <c r="G321" t="s">
        <v>27</v>
      </c>
      <c r="H321">
        <v>4</v>
      </c>
      <c r="I321">
        <v>105.58</v>
      </c>
      <c r="J321">
        <v>20</v>
      </c>
      <c r="K321">
        <v>422.32</v>
      </c>
      <c r="L321">
        <v>84.463999999999999</v>
      </c>
      <c r="M321">
        <v>337.85599999999999</v>
      </c>
      <c r="N321">
        <v>40.47</v>
      </c>
      <c r="O321">
        <v>161.88</v>
      </c>
      <c r="P321">
        <v>175.976</v>
      </c>
      <c r="Q321">
        <v>52.086095851487002</v>
      </c>
    </row>
    <row r="322" spans="1:17" x14ac:dyDescent="0.25">
      <c r="A322">
        <v>10321</v>
      </c>
      <c r="B322" s="1">
        <v>45978</v>
      </c>
      <c r="C322">
        <v>3092</v>
      </c>
      <c r="D322" t="s">
        <v>17</v>
      </c>
      <c r="E322" t="s">
        <v>18</v>
      </c>
      <c r="F322" t="s">
        <v>26</v>
      </c>
      <c r="G322" t="s">
        <v>28</v>
      </c>
      <c r="H322">
        <v>9</v>
      </c>
      <c r="I322">
        <v>23.88</v>
      </c>
      <c r="J322">
        <v>15</v>
      </c>
      <c r="K322">
        <v>214.92</v>
      </c>
      <c r="L322">
        <v>32.238</v>
      </c>
      <c r="M322">
        <v>182.68199999999999</v>
      </c>
      <c r="N322">
        <v>61.85</v>
      </c>
      <c r="O322">
        <v>556.65</v>
      </c>
      <c r="P322">
        <v>-373.96799999999899</v>
      </c>
      <c r="Q322">
        <v>-204.709823627943</v>
      </c>
    </row>
    <row r="323" spans="1:17" x14ac:dyDescent="0.25">
      <c r="A323">
        <v>10322</v>
      </c>
      <c r="B323" s="1">
        <v>45979</v>
      </c>
      <c r="C323">
        <v>3495</v>
      </c>
      <c r="D323" t="s">
        <v>23</v>
      </c>
      <c r="E323" t="s">
        <v>18</v>
      </c>
      <c r="F323" t="s">
        <v>26</v>
      </c>
      <c r="G323" t="s">
        <v>31</v>
      </c>
      <c r="H323">
        <v>1</v>
      </c>
      <c r="I323">
        <v>182.56</v>
      </c>
      <c r="J323">
        <v>5</v>
      </c>
      <c r="K323">
        <v>182.56</v>
      </c>
      <c r="L323">
        <v>9.1280000000000001</v>
      </c>
      <c r="M323">
        <v>173.43199999999999</v>
      </c>
      <c r="N323">
        <v>120.41</v>
      </c>
      <c r="O323">
        <v>120.41</v>
      </c>
      <c r="P323">
        <v>53.021999999999998</v>
      </c>
      <c r="Q323">
        <v>30.572212740440001</v>
      </c>
    </row>
    <row r="324" spans="1:17" x14ac:dyDescent="0.25">
      <c r="A324">
        <v>10323</v>
      </c>
      <c r="B324" s="1">
        <v>45980</v>
      </c>
      <c r="C324">
        <v>3826</v>
      </c>
      <c r="D324" t="s">
        <v>17</v>
      </c>
      <c r="E324" t="s">
        <v>24</v>
      </c>
      <c r="F324" t="s">
        <v>19</v>
      </c>
      <c r="G324" t="s">
        <v>32</v>
      </c>
      <c r="H324">
        <v>5</v>
      </c>
      <c r="I324">
        <v>63.93</v>
      </c>
      <c r="J324">
        <v>20</v>
      </c>
      <c r="K324">
        <v>319.64999999999998</v>
      </c>
      <c r="L324">
        <v>63.93</v>
      </c>
      <c r="M324">
        <v>255.719999999999</v>
      </c>
      <c r="N324">
        <v>13.5</v>
      </c>
      <c r="O324">
        <v>67.5</v>
      </c>
      <c r="P324">
        <v>188.219999999999</v>
      </c>
      <c r="Q324">
        <v>73.603941811356094</v>
      </c>
    </row>
    <row r="325" spans="1:17" x14ac:dyDescent="0.25">
      <c r="A325">
        <v>10324</v>
      </c>
      <c r="B325" s="1">
        <v>45981</v>
      </c>
      <c r="C325">
        <v>3690</v>
      </c>
      <c r="D325" t="s">
        <v>29</v>
      </c>
      <c r="E325" t="s">
        <v>18</v>
      </c>
      <c r="F325" t="s">
        <v>33</v>
      </c>
      <c r="G325" t="s">
        <v>31</v>
      </c>
      <c r="H325">
        <v>6</v>
      </c>
      <c r="I325">
        <v>124.01</v>
      </c>
      <c r="J325">
        <v>10</v>
      </c>
      <c r="K325">
        <v>744.06</v>
      </c>
      <c r="L325">
        <v>74.406000000000006</v>
      </c>
      <c r="M325">
        <v>669.654</v>
      </c>
      <c r="N325">
        <v>51.72</v>
      </c>
      <c r="O325">
        <v>310.32</v>
      </c>
      <c r="P325">
        <v>359.334</v>
      </c>
      <c r="Q325">
        <v>53.659651103405601</v>
      </c>
    </row>
    <row r="326" spans="1:17" x14ac:dyDescent="0.25">
      <c r="A326">
        <v>10325</v>
      </c>
      <c r="B326" s="1">
        <v>45982</v>
      </c>
      <c r="C326">
        <v>3688</v>
      </c>
      <c r="D326" t="s">
        <v>17</v>
      </c>
      <c r="E326" t="s">
        <v>24</v>
      </c>
      <c r="F326" t="s">
        <v>19</v>
      </c>
      <c r="G326" t="s">
        <v>20</v>
      </c>
      <c r="H326">
        <v>5</v>
      </c>
      <c r="I326">
        <v>79.55</v>
      </c>
      <c r="J326">
        <v>10</v>
      </c>
      <c r="K326">
        <v>397.75</v>
      </c>
      <c r="L326">
        <v>39.774999999999999</v>
      </c>
      <c r="M326">
        <v>357.97500000000002</v>
      </c>
      <c r="N326">
        <v>110.47</v>
      </c>
      <c r="O326">
        <v>552.35</v>
      </c>
      <c r="P326">
        <v>-194.375</v>
      </c>
      <c r="Q326">
        <v>-54.298484531042597</v>
      </c>
    </row>
    <row r="327" spans="1:17" x14ac:dyDescent="0.25">
      <c r="A327">
        <v>10326</v>
      </c>
      <c r="B327" s="1">
        <v>45983</v>
      </c>
      <c r="C327">
        <v>3846</v>
      </c>
      <c r="D327" t="s">
        <v>23</v>
      </c>
      <c r="E327" t="s">
        <v>24</v>
      </c>
      <c r="F327" t="s">
        <v>19</v>
      </c>
      <c r="G327" t="s">
        <v>28</v>
      </c>
      <c r="H327">
        <v>8</v>
      </c>
      <c r="I327">
        <v>98.65</v>
      </c>
      <c r="J327">
        <v>20</v>
      </c>
      <c r="K327">
        <v>789.2</v>
      </c>
      <c r="L327">
        <v>157.84</v>
      </c>
      <c r="M327">
        <v>631.36</v>
      </c>
      <c r="N327">
        <v>93.84</v>
      </c>
      <c r="O327">
        <v>750.72</v>
      </c>
      <c r="P327">
        <v>-119.36</v>
      </c>
      <c r="Q327">
        <v>-18.905220476431801</v>
      </c>
    </row>
    <row r="328" spans="1:17" x14ac:dyDescent="0.25">
      <c r="A328">
        <v>10327</v>
      </c>
      <c r="B328" s="1">
        <v>45984</v>
      </c>
      <c r="C328">
        <v>3559</v>
      </c>
      <c r="D328" t="s">
        <v>29</v>
      </c>
      <c r="E328" t="s">
        <v>18</v>
      </c>
      <c r="F328" t="s">
        <v>33</v>
      </c>
      <c r="G328" t="s">
        <v>31</v>
      </c>
      <c r="H328">
        <v>3</v>
      </c>
      <c r="I328">
        <v>132.06</v>
      </c>
      <c r="J328">
        <v>5</v>
      </c>
      <c r="K328">
        <v>396.18</v>
      </c>
      <c r="L328">
        <v>19.809000000000001</v>
      </c>
      <c r="M328">
        <v>376.37099999999998</v>
      </c>
      <c r="N328">
        <v>68.72</v>
      </c>
      <c r="O328">
        <v>206.16</v>
      </c>
      <c r="P328">
        <v>170.21099999999899</v>
      </c>
      <c r="Q328">
        <v>45.224260105055897</v>
      </c>
    </row>
    <row r="329" spans="1:17" x14ac:dyDescent="0.25">
      <c r="A329">
        <v>10328</v>
      </c>
      <c r="B329" s="1">
        <v>45985</v>
      </c>
      <c r="C329">
        <v>3638</v>
      </c>
      <c r="D329" t="s">
        <v>21</v>
      </c>
      <c r="E329" t="s">
        <v>18</v>
      </c>
      <c r="F329" t="s">
        <v>25</v>
      </c>
      <c r="G329" t="s">
        <v>30</v>
      </c>
      <c r="H329">
        <v>1</v>
      </c>
      <c r="I329">
        <v>55.67</v>
      </c>
      <c r="J329">
        <v>10</v>
      </c>
      <c r="K329">
        <v>55.67</v>
      </c>
      <c r="L329">
        <v>5.5670000000000002</v>
      </c>
      <c r="M329">
        <v>50.103000000000002</v>
      </c>
      <c r="N329">
        <v>27.58</v>
      </c>
      <c r="O329">
        <v>27.58</v>
      </c>
      <c r="P329">
        <v>22.523</v>
      </c>
      <c r="Q329">
        <v>44.953396004231202</v>
      </c>
    </row>
    <row r="330" spans="1:17" x14ac:dyDescent="0.25">
      <c r="A330">
        <v>10329</v>
      </c>
      <c r="B330" s="1">
        <v>45986</v>
      </c>
      <c r="C330">
        <v>3958</v>
      </c>
      <c r="D330" t="s">
        <v>21</v>
      </c>
      <c r="E330" t="s">
        <v>18</v>
      </c>
      <c r="F330" t="s">
        <v>26</v>
      </c>
      <c r="G330" t="s">
        <v>30</v>
      </c>
      <c r="H330">
        <v>2</v>
      </c>
      <c r="I330">
        <v>184.53</v>
      </c>
      <c r="J330">
        <v>10</v>
      </c>
      <c r="K330">
        <v>369.06</v>
      </c>
      <c r="L330">
        <v>36.905999999999999</v>
      </c>
      <c r="M330">
        <v>332.154</v>
      </c>
      <c r="N330">
        <v>11.9</v>
      </c>
      <c r="O330">
        <v>23.8</v>
      </c>
      <c r="P330">
        <v>308.35399999999998</v>
      </c>
      <c r="Q330">
        <v>92.834648988119895</v>
      </c>
    </row>
    <row r="331" spans="1:17" x14ac:dyDescent="0.25">
      <c r="A331">
        <v>10330</v>
      </c>
      <c r="B331" s="1">
        <v>45987</v>
      </c>
      <c r="C331">
        <v>3461</v>
      </c>
      <c r="D331" t="s">
        <v>23</v>
      </c>
      <c r="E331" t="s">
        <v>24</v>
      </c>
      <c r="F331" t="s">
        <v>33</v>
      </c>
      <c r="G331" t="s">
        <v>27</v>
      </c>
      <c r="H331">
        <v>6</v>
      </c>
      <c r="I331">
        <v>35.770000000000003</v>
      </c>
      <c r="J331">
        <v>0</v>
      </c>
      <c r="K331">
        <v>214.62</v>
      </c>
      <c r="L331">
        <v>0</v>
      </c>
      <c r="M331">
        <v>214.62</v>
      </c>
      <c r="N331">
        <v>63.16</v>
      </c>
      <c r="O331">
        <v>378.96</v>
      </c>
      <c r="P331">
        <v>-164.33999999999901</v>
      </c>
      <c r="Q331">
        <v>-76.572546826949903</v>
      </c>
    </row>
    <row r="332" spans="1:17" x14ac:dyDescent="0.25">
      <c r="A332">
        <v>10331</v>
      </c>
      <c r="B332" s="1">
        <v>45988</v>
      </c>
      <c r="C332">
        <v>3211</v>
      </c>
      <c r="D332" t="s">
        <v>29</v>
      </c>
      <c r="E332" t="s">
        <v>18</v>
      </c>
      <c r="F332" t="s">
        <v>33</v>
      </c>
      <c r="G332" t="s">
        <v>31</v>
      </c>
      <c r="H332">
        <v>8</v>
      </c>
      <c r="I332">
        <v>191.73</v>
      </c>
      <c r="J332">
        <v>0</v>
      </c>
      <c r="K332">
        <v>1533.84</v>
      </c>
      <c r="L332">
        <v>0</v>
      </c>
      <c r="M332">
        <v>1533.84</v>
      </c>
      <c r="N332">
        <v>104.8</v>
      </c>
      <c r="O332">
        <v>838.4</v>
      </c>
      <c r="P332">
        <v>695.43999999999903</v>
      </c>
      <c r="Q332">
        <v>45.339800761487503</v>
      </c>
    </row>
    <row r="333" spans="1:17" x14ac:dyDescent="0.25">
      <c r="A333">
        <v>10332</v>
      </c>
      <c r="B333" s="1">
        <v>45989</v>
      </c>
      <c r="C333">
        <v>3105</v>
      </c>
      <c r="D333" t="s">
        <v>29</v>
      </c>
      <c r="E333" t="s">
        <v>18</v>
      </c>
      <c r="F333" t="s">
        <v>26</v>
      </c>
      <c r="G333" t="s">
        <v>32</v>
      </c>
      <c r="H333">
        <v>7</v>
      </c>
      <c r="I333">
        <v>21.08</v>
      </c>
      <c r="J333">
        <v>15</v>
      </c>
      <c r="K333">
        <v>147.56</v>
      </c>
      <c r="L333">
        <v>22.134</v>
      </c>
      <c r="M333">
        <v>125.426</v>
      </c>
      <c r="N333">
        <v>43.84</v>
      </c>
      <c r="O333">
        <v>306.88</v>
      </c>
      <c r="P333">
        <v>-181.45400000000001</v>
      </c>
      <c r="Q333">
        <v>-144.67016408081199</v>
      </c>
    </row>
    <row r="334" spans="1:17" x14ac:dyDescent="0.25">
      <c r="A334">
        <v>10333</v>
      </c>
      <c r="B334" s="1">
        <v>45990</v>
      </c>
      <c r="C334">
        <v>3077</v>
      </c>
      <c r="D334" t="s">
        <v>29</v>
      </c>
      <c r="E334" t="s">
        <v>24</v>
      </c>
      <c r="F334" t="s">
        <v>26</v>
      </c>
      <c r="G334" t="s">
        <v>20</v>
      </c>
      <c r="H334">
        <v>1</v>
      </c>
      <c r="I334">
        <v>126.12</v>
      </c>
      <c r="J334">
        <v>15</v>
      </c>
      <c r="K334">
        <v>126.12</v>
      </c>
      <c r="L334">
        <v>18.917999999999999</v>
      </c>
      <c r="M334">
        <v>107.202</v>
      </c>
      <c r="N334">
        <v>135.80000000000001</v>
      </c>
      <c r="O334">
        <v>135.80000000000001</v>
      </c>
      <c r="P334">
        <v>-28.597999999999999</v>
      </c>
      <c r="Q334">
        <v>-26.676741105576401</v>
      </c>
    </row>
    <row r="335" spans="1:17" x14ac:dyDescent="0.25">
      <c r="A335">
        <v>10334</v>
      </c>
      <c r="B335" s="1">
        <v>45991</v>
      </c>
      <c r="C335">
        <v>3536</v>
      </c>
      <c r="D335" t="s">
        <v>21</v>
      </c>
      <c r="E335" t="s">
        <v>24</v>
      </c>
      <c r="F335" t="s">
        <v>26</v>
      </c>
      <c r="G335" t="s">
        <v>20</v>
      </c>
      <c r="H335">
        <v>3</v>
      </c>
      <c r="I335">
        <v>151.97</v>
      </c>
      <c r="J335">
        <v>20</v>
      </c>
      <c r="K335">
        <v>455.909999999999</v>
      </c>
      <c r="L335">
        <v>91.182000000000002</v>
      </c>
      <c r="M335">
        <v>364.72799999999899</v>
      </c>
      <c r="N335">
        <v>94.83</v>
      </c>
      <c r="O335">
        <v>284.49</v>
      </c>
      <c r="P335">
        <v>80.2379999999999</v>
      </c>
      <c r="Q335">
        <v>21.999407777850799</v>
      </c>
    </row>
    <row r="336" spans="1:17" x14ac:dyDescent="0.25">
      <c r="A336">
        <v>10335</v>
      </c>
      <c r="B336" s="1">
        <v>45992</v>
      </c>
      <c r="C336">
        <v>3067</v>
      </c>
      <c r="D336" t="s">
        <v>29</v>
      </c>
      <c r="E336" t="s">
        <v>18</v>
      </c>
      <c r="F336" t="s">
        <v>25</v>
      </c>
      <c r="G336" t="s">
        <v>31</v>
      </c>
      <c r="H336">
        <v>1</v>
      </c>
      <c r="I336">
        <v>63.24</v>
      </c>
      <c r="J336">
        <v>15</v>
      </c>
      <c r="K336">
        <v>63.24</v>
      </c>
      <c r="L336">
        <v>9.4860000000000007</v>
      </c>
      <c r="M336">
        <v>53.753999999999998</v>
      </c>
      <c r="N336">
        <v>71.010000000000005</v>
      </c>
      <c r="O336">
        <v>71.010000000000005</v>
      </c>
      <c r="P336">
        <v>-17.256</v>
      </c>
      <c r="Q336">
        <v>-32.101797075566402</v>
      </c>
    </row>
    <row r="337" spans="1:17" x14ac:dyDescent="0.25">
      <c r="A337">
        <v>10336</v>
      </c>
      <c r="B337" s="1">
        <v>45993</v>
      </c>
      <c r="C337">
        <v>3903</v>
      </c>
      <c r="D337" t="s">
        <v>23</v>
      </c>
      <c r="E337" t="s">
        <v>18</v>
      </c>
      <c r="F337" t="s">
        <v>25</v>
      </c>
      <c r="G337" t="s">
        <v>20</v>
      </c>
      <c r="H337">
        <v>8</v>
      </c>
      <c r="I337">
        <v>17.940000000000001</v>
      </c>
      <c r="J337">
        <v>20</v>
      </c>
      <c r="K337">
        <v>143.52000000000001</v>
      </c>
      <c r="L337">
        <v>28.704000000000001</v>
      </c>
      <c r="M337">
        <v>114.816</v>
      </c>
      <c r="N337">
        <v>114.43</v>
      </c>
      <c r="O337">
        <v>915.44</v>
      </c>
      <c r="P337">
        <v>-800.62400000000002</v>
      </c>
      <c r="Q337">
        <v>-697.31047937569599</v>
      </c>
    </row>
    <row r="338" spans="1:17" x14ac:dyDescent="0.25">
      <c r="A338">
        <v>10337</v>
      </c>
      <c r="B338" s="1">
        <v>45994</v>
      </c>
      <c r="C338">
        <v>3561</v>
      </c>
      <c r="D338" t="s">
        <v>29</v>
      </c>
      <c r="E338" t="s">
        <v>24</v>
      </c>
      <c r="F338" t="s">
        <v>26</v>
      </c>
      <c r="G338" t="s">
        <v>30</v>
      </c>
      <c r="H338">
        <v>3</v>
      </c>
      <c r="I338">
        <v>179.45</v>
      </c>
      <c r="J338">
        <v>0</v>
      </c>
      <c r="K338">
        <v>538.349999999999</v>
      </c>
      <c r="L338">
        <v>0</v>
      </c>
      <c r="M338">
        <v>538.349999999999</v>
      </c>
      <c r="N338">
        <v>48.45</v>
      </c>
      <c r="O338">
        <v>145.35</v>
      </c>
      <c r="P338">
        <v>392.99999999999898</v>
      </c>
      <c r="Q338">
        <v>73.000835887433794</v>
      </c>
    </row>
    <row r="339" spans="1:17" x14ac:dyDescent="0.25">
      <c r="A339">
        <v>10338</v>
      </c>
      <c r="B339" s="1">
        <v>45995</v>
      </c>
      <c r="C339">
        <v>3490</v>
      </c>
      <c r="D339" t="s">
        <v>29</v>
      </c>
      <c r="E339" t="s">
        <v>18</v>
      </c>
      <c r="F339" t="s">
        <v>26</v>
      </c>
      <c r="G339" t="s">
        <v>28</v>
      </c>
      <c r="H339">
        <v>4</v>
      </c>
      <c r="I339">
        <v>176.51</v>
      </c>
      <c r="J339">
        <v>15</v>
      </c>
      <c r="K339">
        <v>706.04</v>
      </c>
      <c r="L339">
        <v>105.905999999999</v>
      </c>
      <c r="M339">
        <v>600.13400000000001</v>
      </c>
      <c r="N339">
        <v>134.62</v>
      </c>
      <c r="O339">
        <v>538.48</v>
      </c>
      <c r="P339">
        <v>61.653999999999897</v>
      </c>
      <c r="Q339">
        <v>10.273372280190699</v>
      </c>
    </row>
    <row r="340" spans="1:17" x14ac:dyDescent="0.25">
      <c r="A340">
        <v>10339</v>
      </c>
      <c r="B340" s="1">
        <v>45996</v>
      </c>
      <c r="C340">
        <v>3416</v>
      </c>
      <c r="D340" t="s">
        <v>17</v>
      </c>
      <c r="E340" t="s">
        <v>18</v>
      </c>
      <c r="F340" t="s">
        <v>19</v>
      </c>
      <c r="G340" t="s">
        <v>20</v>
      </c>
      <c r="H340">
        <v>9</v>
      </c>
      <c r="I340">
        <v>17.13</v>
      </c>
      <c r="J340">
        <v>20</v>
      </c>
      <c r="K340">
        <v>154.16999999999999</v>
      </c>
      <c r="L340">
        <v>30.834</v>
      </c>
      <c r="M340">
        <v>123.335999999999</v>
      </c>
      <c r="N340">
        <v>58.29</v>
      </c>
      <c r="O340">
        <v>524.61</v>
      </c>
      <c r="P340">
        <v>-401.274</v>
      </c>
      <c r="Q340">
        <v>-325.350262697022</v>
      </c>
    </row>
    <row r="341" spans="1:17" x14ac:dyDescent="0.25">
      <c r="A341">
        <v>10340</v>
      </c>
      <c r="B341" s="1">
        <v>45997</v>
      </c>
      <c r="C341">
        <v>3033</v>
      </c>
      <c r="D341" t="s">
        <v>23</v>
      </c>
      <c r="E341" t="s">
        <v>18</v>
      </c>
      <c r="F341" t="s">
        <v>26</v>
      </c>
      <c r="G341" t="s">
        <v>20</v>
      </c>
      <c r="H341">
        <v>9</v>
      </c>
      <c r="I341">
        <v>51.16</v>
      </c>
      <c r="J341">
        <v>10</v>
      </c>
      <c r="K341">
        <v>460.43999999999897</v>
      </c>
      <c r="L341">
        <v>46.043999999999997</v>
      </c>
      <c r="M341">
        <v>414.39599999999899</v>
      </c>
      <c r="N341">
        <v>5.76</v>
      </c>
      <c r="O341">
        <v>51.839999999999897</v>
      </c>
      <c r="P341">
        <v>362.55599999999998</v>
      </c>
      <c r="Q341">
        <v>87.490226739640306</v>
      </c>
    </row>
    <row r="342" spans="1:17" x14ac:dyDescent="0.25">
      <c r="A342">
        <v>10341</v>
      </c>
      <c r="B342" s="1">
        <v>45998</v>
      </c>
      <c r="C342">
        <v>3331</v>
      </c>
      <c r="D342" t="s">
        <v>29</v>
      </c>
      <c r="E342" t="s">
        <v>18</v>
      </c>
      <c r="F342" t="s">
        <v>33</v>
      </c>
      <c r="G342" t="s">
        <v>27</v>
      </c>
      <c r="H342">
        <v>4</v>
      </c>
      <c r="I342">
        <v>44.97</v>
      </c>
      <c r="J342">
        <v>0</v>
      </c>
      <c r="K342">
        <v>179.88</v>
      </c>
      <c r="L342">
        <v>0</v>
      </c>
      <c r="M342">
        <v>179.88</v>
      </c>
      <c r="N342">
        <v>146.88999999999999</v>
      </c>
      <c r="O342">
        <v>587.55999999999995</v>
      </c>
      <c r="P342">
        <v>-407.67999999999898</v>
      </c>
      <c r="Q342">
        <v>-226.63998221036201</v>
      </c>
    </row>
    <row r="343" spans="1:17" x14ac:dyDescent="0.25">
      <c r="A343">
        <v>10342</v>
      </c>
      <c r="B343" s="1">
        <v>45999</v>
      </c>
      <c r="C343">
        <v>3859</v>
      </c>
      <c r="D343" t="s">
        <v>23</v>
      </c>
      <c r="E343" t="s">
        <v>18</v>
      </c>
      <c r="F343" t="s">
        <v>19</v>
      </c>
      <c r="G343" t="s">
        <v>27</v>
      </c>
      <c r="H343">
        <v>8</v>
      </c>
      <c r="I343">
        <v>93.09</v>
      </c>
      <c r="J343">
        <v>20</v>
      </c>
      <c r="K343">
        <v>744.72</v>
      </c>
      <c r="L343">
        <v>148.94399999999999</v>
      </c>
      <c r="M343">
        <v>595.77599999999995</v>
      </c>
      <c r="N343">
        <v>76.930000000000007</v>
      </c>
      <c r="O343">
        <v>615.44000000000005</v>
      </c>
      <c r="P343">
        <v>-19.663999999999898</v>
      </c>
      <c r="Q343">
        <v>-3.3005693414974702</v>
      </c>
    </row>
    <row r="344" spans="1:17" x14ac:dyDescent="0.25">
      <c r="A344">
        <v>10343</v>
      </c>
      <c r="B344" s="1">
        <v>46000</v>
      </c>
      <c r="C344">
        <v>3068</v>
      </c>
      <c r="D344" t="s">
        <v>21</v>
      </c>
      <c r="E344" t="s">
        <v>24</v>
      </c>
      <c r="F344" t="s">
        <v>25</v>
      </c>
      <c r="G344" t="s">
        <v>22</v>
      </c>
      <c r="H344">
        <v>9</v>
      </c>
      <c r="I344">
        <v>48.35</v>
      </c>
      <c r="J344">
        <v>10</v>
      </c>
      <c r="K344">
        <v>435.15</v>
      </c>
      <c r="L344">
        <v>43.515000000000001</v>
      </c>
      <c r="M344">
        <v>391.63499999999999</v>
      </c>
      <c r="N344">
        <v>136.02000000000001</v>
      </c>
      <c r="O344">
        <v>1224.18</v>
      </c>
      <c r="P344">
        <v>-832.54499999999996</v>
      </c>
      <c r="Q344">
        <v>-212.58186832126799</v>
      </c>
    </row>
    <row r="345" spans="1:17" x14ac:dyDescent="0.25">
      <c r="A345">
        <v>10344</v>
      </c>
      <c r="B345" s="1">
        <v>46001</v>
      </c>
      <c r="C345">
        <v>3230</v>
      </c>
      <c r="D345" t="s">
        <v>23</v>
      </c>
      <c r="E345" t="s">
        <v>24</v>
      </c>
      <c r="F345" t="s">
        <v>33</v>
      </c>
      <c r="G345" t="s">
        <v>30</v>
      </c>
      <c r="H345">
        <v>4</v>
      </c>
      <c r="I345">
        <v>113.77</v>
      </c>
      <c r="J345">
        <v>5</v>
      </c>
      <c r="K345">
        <v>455.08</v>
      </c>
      <c r="L345">
        <v>22.754000000000001</v>
      </c>
      <c r="M345">
        <v>432.325999999999</v>
      </c>
      <c r="N345">
        <v>20.81</v>
      </c>
      <c r="O345">
        <v>83.24</v>
      </c>
      <c r="P345">
        <v>349.08599999999899</v>
      </c>
      <c r="Q345">
        <v>80.746011111984899</v>
      </c>
    </row>
    <row r="346" spans="1:17" x14ac:dyDescent="0.25">
      <c r="A346">
        <v>10345</v>
      </c>
      <c r="B346" s="1">
        <v>46002</v>
      </c>
      <c r="C346">
        <v>3607</v>
      </c>
      <c r="D346" t="s">
        <v>29</v>
      </c>
      <c r="E346" t="s">
        <v>18</v>
      </c>
      <c r="F346" t="s">
        <v>19</v>
      </c>
      <c r="G346" t="s">
        <v>30</v>
      </c>
      <c r="H346">
        <v>3</v>
      </c>
      <c r="I346">
        <v>183.97</v>
      </c>
      <c r="J346">
        <v>5</v>
      </c>
      <c r="K346">
        <v>551.91</v>
      </c>
      <c r="L346">
        <v>27.595500000000001</v>
      </c>
      <c r="M346">
        <v>524.31449999999995</v>
      </c>
      <c r="N346">
        <v>33.99</v>
      </c>
      <c r="O346">
        <v>101.97</v>
      </c>
      <c r="P346">
        <v>422.34449999999902</v>
      </c>
      <c r="Q346">
        <v>80.551748997977299</v>
      </c>
    </row>
    <row r="347" spans="1:17" x14ac:dyDescent="0.25">
      <c r="A347">
        <v>10346</v>
      </c>
      <c r="B347" s="1">
        <v>46003</v>
      </c>
      <c r="C347">
        <v>3637</v>
      </c>
      <c r="D347" t="s">
        <v>23</v>
      </c>
      <c r="E347" t="s">
        <v>24</v>
      </c>
      <c r="F347" t="s">
        <v>26</v>
      </c>
      <c r="G347" t="s">
        <v>28</v>
      </c>
      <c r="H347">
        <v>1</v>
      </c>
      <c r="I347">
        <v>204.94</v>
      </c>
      <c r="J347">
        <v>20</v>
      </c>
      <c r="K347">
        <v>204.94</v>
      </c>
      <c r="L347">
        <v>40.988</v>
      </c>
      <c r="M347">
        <v>163.952</v>
      </c>
      <c r="N347">
        <v>75.14</v>
      </c>
      <c r="O347">
        <v>75.14</v>
      </c>
      <c r="P347">
        <v>88.811999999999998</v>
      </c>
      <c r="Q347">
        <v>54.169513028203298</v>
      </c>
    </row>
    <row r="348" spans="1:17" x14ac:dyDescent="0.25">
      <c r="A348">
        <v>10347</v>
      </c>
      <c r="B348" s="1">
        <v>46004</v>
      </c>
      <c r="C348">
        <v>3763</v>
      </c>
      <c r="D348" t="s">
        <v>17</v>
      </c>
      <c r="E348" t="s">
        <v>24</v>
      </c>
      <c r="F348" t="s">
        <v>25</v>
      </c>
      <c r="G348" t="s">
        <v>32</v>
      </c>
      <c r="H348">
        <v>6</v>
      </c>
      <c r="I348">
        <v>211.08</v>
      </c>
      <c r="J348">
        <v>5</v>
      </c>
      <c r="K348">
        <v>1266.48</v>
      </c>
      <c r="L348">
        <v>63.323999999999998</v>
      </c>
      <c r="M348">
        <v>1203.1559999999999</v>
      </c>
      <c r="N348">
        <v>134.84</v>
      </c>
      <c r="O348">
        <v>809.04</v>
      </c>
      <c r="P348">
        <v>394.11599999999999</v>
      </c>
      <c r="Q348">
        <v>32.7568494858522</v>
      </c>
    </row>
    <row r="349" spans="1:17" x14ac:dyDescent="0.25">
      <c r="A349">
        <v>10348</v>
      </c>
      <c r="B349" s="1">
        <v>46005</v>
      </c>
      <c r="C349">
        <v>3573</v>
      </c>
      <c r="D349" t="s">
        <v>29</v>
      </c>
      <c r="E349" t="s">
        <v>18</v>
      </c>
      <c r="F349" t="s">
        <v>25</v>
      </c>
      <c r="G349" t="s">
        <v>20</v>
      </c>
      <c r="H349">
        <v>1</v>
      </c>
      <c r="I349">
        <v>67.959999999999994</v>
      </c>
      <c r="J349">
        <v>20</v>
      </c>
      <c r="K349">
        <v>67.959999999999994</v>
      </c>
      <c r="L349">
        <v>13.591999999999899</v>
      </c>
      <c r="M349">
        <v>54.367999999999903</v>
      </c>
      <c r="N349">
        <v>18.34</v>
      </c>
      <c r="O349">
        <v>18.34</v>
      </c>
      <c r="P349">
        <v>36.027999999999899</v>
      </c>
      <c r="Q349">
        <v>66.266921718657997</v>
      </c>
    </row>
    <row r="350" spans="1:17" x14ac:dyDescent="0.25">
      <c r="A350">
        <v>10349</v>
      </c>
      <c r="B350" s="1">
        <v>46006</v>
      </c>
      <c r="C350">
        <v>3862</v>
      </c>
      <c r="D350" t="s">
        <v>23</v>
      </c>
      <c r="E350" t="s">
        <v>18</v>
      </c>
      <c r="F350" t="s">
        <v>25</v>
      </c>
      <c r="G350" t="s">
        <v>28</v>
      </c>
      <c r="H350">
        <v>4</v>
      </c>
      <c r="I350">
        <v>128.41999999999999</v>
      </c>
      <c r="J350">
        <v>5</v>
      </c>
      <c r="K350">
        <v>513.67999999999995</v>
      </c>
      <c r="L350">
        <v>25.683999999999902</v>
      </c>
      <c r="M350">
        <v>487.99599999999998</v>
      </c>
      <c r="N350">
        <v>83.08</v>
      </c>
      <c r="O350">
        <v>332.32</v>
      </c>
      <c r="P350">
        <v>155.67599999999999</v>
      </c>
      <c r="Q350">
        <v>31.901081156402899</v>
      </c>
    </row>
    <row r="351" spans="1:17" x14ac:dyDescent="0.25">
      <c r="A351">
        <v>10350</v>
      </c>
      <c r="B351" s="1">
        <v>46007</v>
      </c>
      <c r="C351">
        <v>3078</v>
      </c>
      <c r="D351" t="s">
        <v>21</v>
      </c>
      <c r="E351" t="s">
        <v>24</v>
      </c>
      <c r="F351" t="s">
        <v>19</v>
      </c>
      <c r="G351" t="s">
        <v>30</v>
      </c>
      <c r="H351">
        <v>2</v>
      </c>
      <c r="I351">
        <v>209.46</v>
      </c>
      <c r="J351">
        <v>15</v>
      </c>
      <c r="K351">
        <v>418.92</v>
      </c>
      <c r="L351">
        <v>62.838000000000001</v>
      </c>
      <c r="M351">
        <v>356.08199999999999</v>
      </c>
      <c r="N351">
        <v>114.93</v>
      </c>
      <c r="O351">
        <v>229.86</v>
      </c>
      <c r="P351">
        <v>126.221999999999</v>
      </c>
      <c r="Q351">
        <v>35.447453114731999</v>
      </c>
    </row>
    <row r="352" spans="1:17" x14ac:dyDescent="0.25">
      <c r="A352">
        <v>10351</v>
      </c>
      <c r="B352" s="1">
        <v>46008</v>
      </c>
      <c r="C352">
        <v>3876</v>
      </c>
      <c r="D352" t="s">
        <v>17</v>
      </c>
      <c r="E352" t="s">
        <v>18</v>
      </c>
      <c r="F352" t="s">
        <v>26</v>
      </c>
      <c r="G352" t="s">
        <v>30</v>
      </c>
      <c r="H352">
        <v>5</v>
      </c>
      <c r="I352">
        <v>228.77</v>
      </c>
      <c r="J352">
        <v>20</v>
      </c>
      <c r="K352">
        <v>1143.8499999999999</v>
      </c>
      <c r="L352">
        <v>228.77</v>
      </c>
      <c r="M352">
        <v>915.08</v>
      </c>
      <c r="N352">
        <v>61.61</v>
      </c>
      <c r="O352">
        <v>308.05</v>
      </c>
      <c r="P352">
        <v>607.03</v>
      </c>
      <c r="Q352">
        <v>66.336276609695304</v>
      </c>
    </row>
    <row r="353" spans="1:17" x14ac:dyDescent="0.25">
      <c r="A353">
        <v>10352</v>
      </c>
      <c r="B353" s="1">
        <v>46009</v>
      </c>
      <c r="C353">
        <v>3427</v>
      </c>
      <c r="D353" t="s">
        <v>23</v>
      </c>
      <c r="E353" t="s">
        <v>24</v>
      </c>
      <c r="F353" t="s">
        <v>25</v>
      </c>
      <c r="G353" t="s">
        <v>28</v>
      </c>
      <c r="H353">
        <v>7</v>
      </c>
      <c r="I353">
        <v>183.76</v>
      </c>
      <c r="J353">
        <v>5</v>
      </c>
      <c r="K353">
        <v>1286.32</v>
      </c>
      <c r="L353">
        <v>64.316000000000003</v>
      </c>
      <c r="M353">
        <v>1222.0039999999999</v>
      </c>
      <c r="N353">
        <v>69.569999999999993</v>
      </c>
      <c r="O353">
        <v>486.98999999999899</v>
      </c>
      <c r="P353">
        <v>735.01399999999899</v>
      </c>
      <c r="Q353">
        <v>60.148248287239603</v>
      </c>
    </row>
    <row r="354" spans="1:17" x14ac:dyDescent="0.25">
      <c r="A354">
        <v>10353</v>
      </c>
      <c r="B354" s="1">
        <v>46010</v>
      </c>
      <c r="C354">
        <v>3588</v>
      </c>
      <c r="D354" t="s">
        <v>29</v>
      </c>
      <c r="E354" t="s">
        <v>24</v>
      </c>
      <c r="F354" t="s">
        <v>33</v>
      </c>
      <c r="G354" t="s">
        <v>28</v>
      </c>
      <c r="H354">
        <v>4</v>
      </c>
      <c r="I354">
        <v>124.8</v>
      </c>
      <c r="J354">
        <v>15</v>
      </c>
      <c r="K354">
        <v>499.2</v>
      </c>
      <c r="L354">
        <v>74.88</v>
      </c>
      <c r="M354">
        <v>424.32</v>
      </c>
      <c r="N354">
        <v>140.38999999999999</v>
      </c>
      <c r="O354">
        <v>561.55999999999995</v>
      </c>
      <c r="P354">
        <v>-137.23999999999899</v>
      </c>
      <c r="Q354">
        <v>-32.343514328808403</v>
      </c>
    </row>
    <row r="355" spans="1:17" x14ac:dyDescent="0.25">
      <c r="A355">
        <v>10354</v>
      </c>
      <c r="B355" s="1">
        <v>46011</v>
      </c>
      <c r="C355">
        <v>3400</v>
      </c>
      <c r="D355" t="s">
        <v>29</v>
      </c>
      <c r="E355" t="s">
        <v>18</v>
      </c>
      <c r="F355" t="s">
        <v>26</v>
      </c>
      <c r="G355" t="s">
        <v>20</v>
      </c>
      <c r="H355">
        <v>2</v>
      </c>
      <c r="I355">
        <v>48.98</v>
      </c>
      <c r="J355">
        <v>0</v>
      </c>
      <c r="K355">
        <v>97.96</v>
      </c>
      <c r="L355">
        <v>0</v>
      </c>
      <c r="M355">
        <v>97.96</v>
      </c>
      <c r="N355">
        <v>82.87</v>
      </c>
      <c r="O355">
        <v>165.74</v>
      </c>
      <c r="P355">
        <v>-67.78</v>
      </c>
      <c r="Q355">
        <v>-69.191506737443802</v>
      </c>
    </row>
    <row r="356" spans="1:17" x14ac:dyDescent="0.25">
      <c r="A356">
        <v>10355</v>
      </c>
      <c r="B356" s="1">
        <v>46012</v>
      </c>
      <c r="C356">
        <v>3369</v>
      </c>
      <c r="D356" t="s">
        <v>29</v>
      </c>
      <c r="E356" t="s">
        <v>24</v>
      </c>
      <c r="F356" t="s">
        <v>33</v>
      </c>
      <c r="G356" t="s">
        <v>28</v>
      </c>
      <c r="H356">
        <v>1</v>
      </c>
      <c r="I356">
        <v>199.85</v>
      </c>
      <c r="J356">
        <v>15</v>
      </c>
      <c r="K356">
        <v>199.85</v>
      </c>
      <c r="L356">
        <v>29.977499999999999</v>
      </c>
      <c r="M356">
        <v>169.8725</v>
      </c>
      <c r="N356">
        <v>105.05</v>
      </c>
      <c r="O356">
        <v>105.05</v>
      </c>
      <c r="P356">
        <v>64.822500000000005</v>
      </c>
      <c r="Q356">
        <v>38.159501979425698</v>
      </c>
    </row>
    <row r="357" spans="1:17" x14ac:dyDescent="0.25">
      <c r="A357">
        <v>10356</v>
      </c>
      <c r="B357" s="1">
        <v>46013</v>
      </c>
      <c r="C357">
        <v>3634</v>
      </c>
      <c r="D357" t="s">
        <v>21</v>
      </c>
      <c r="E357" t="s">
        <v>24</v>
      </c>
      <c r="F357" t="s">
        <v>19</v>
      </c>
      <c r="G357" t="s">
        <v>22</v>
      </c>
      <c r="H357">
        <v>6</v>
      </c>
      <c r="I357">
        <v>78.540000000000006</v>
      </c>
      <c r="J357">
        <v>15</v>
      </c>
      <c r="K357">
        <v>471.24</v>
      </c>
      <c r="L357">
        <v>70.685999999999893</v>
      </c>
      <c r="M357">
        <v>400.55399999999997</v>
      </c>
      <c r="N357">
        <v>102.58</v>
      </c>
      <c r="O357">
        <v>615.48</v>
      </c>
      <c r="P357">
        <v>-214.92599999999999</v>
      </c>
      <c r="Q357">
        <v>-53.657184799053297</v>
      </c>
    </row>
    <row r="358" spans="1:17" x14ac:dyDescent="0.25">
      <c r="A358">
        <v>10357</v>
      </c>
      <c r="B358" s="1">
        <v>46014</v>
      </c>
      <c r="C358">
        <v>3410</v>
      </c>
      <c r="D358" t="s">
        <v>21</v>
      </c>
      <c r="E358" t="s">
        <v>24</v>
      </c>
      <c r="F358" t="s">
        <v>26</v>
      </c>
      <c r="G358" t="s">
        <v>32</v>
      </c>
      <c r="H358">
        <v>5</v>
      </c>
      <c r="I358">
        <v>49.62</v>
      </c>
      <c r="J358">
        <v>5</v>
      </c>
      <c r="K358">
        <v>248.1</v>
      </c>
      <c r="L358">
        <v>12.404999999999999</v>
      </c>
      <c r="M358">
        <v>235.69499999999999</v>
      </c>
      <c r="N358">
        <v>135.1</v>
      </c>
      <c r="O358">
        <v>675.5</v>
      </c>
      <c r="P358">
        <v>-439.80500000000001</v>
      </c>
      <c r="Q358">
        <v>-186.599206601752</v>
      </c>
    </row>
    <row r="359" spans="1:17" x14ac:dyDescent="0.25">
      <c r="A359">
        <v>10358</v>
      </c>
      <c r="B359" s="1">
        <v>46015</v>
      </c>
      <c r="C359">
        <v>3992</v>
      </c>
      <c r="D359" t="s">
        <v>17</v>
      </c>
      <c r="E359" t="s">
        <v>18</v>
      </c>
      <c r="F359" t="s">
        <v>19</v>
      </c>
      <c r="G359" t="s">
        <v>28</v>
      </c>
      <c r="H359">
        <v>2</v>
      </c>
      <c r="I359">
        <v>53.83</v>
      </c>
      <c r="J359">
        <v>5</v>
      </c>
      <c r="K359">
        <v>107.66</v>
      </c>
      <c r="L359">
        <v>5.383</v>
      </c>
      <c r="M359">
        <v>102.277</v>
      </c>
      <c r="N359">
        <v>54.51</v>
      </c>
      <c r="O359">
        <v>109.02</v>
      </c>
      <c r="P359">
        <v>-6.7429999999999897</v>
      </c>
      <c r="Q359">
        <v>-6.59288011967499</v>
      </c>
    </row>
    <row r="360" spans="1:17" x14ac:dyDescent="0.25">
      <c r="A360">
        <v>10359</v>
      </c>
      <c r="B360" s="1">
        <v>46016</v>
      </c>
      <c r="C360">
        <v>3380</v>
      </c>
      <c r="D360" t="s">
        <v>17</v>
      </c>
      <c r="E360" t="s">
        <v>18</v>
      </c>
      <c r="F360" t="s">
        <v>25</v>
      </c>
      <c r="G360" t="s">
        <v>32</v>
      </c>
      <c r="H360">
        <v>3</v>
      </c>
      <c r="I360">
        <v>178</v>
      </c>
      <c r="J360">
        <v>15</v>
      </c>
      <c r="K360">
        <v>534</v>
      </c>
      <c r="L360">
        <v>80.099999999999994</v>
      </c>
      <c r="M360">
        <v>453.9</v>
      </c>
      <c r="N360">
        <v>84.34</v>
      </c>
      <c r="O360">
        <v>253.02</v>
      </c>
      <c r="P360">
        <v>200.879999999999</v>
      </c>
      <c r="Q360">
        <v>44.256444150693902</v>
      </c>
    </row>
    <row r="361" spans="1:17" x14ac:dyDescent="0.25">
      <c r="A361">
        <v>10360</v>
      </c>
      <c r="B361" s="1">
        <v>46017</v>
      </c>
      <c r="C361">
        <v>3865</v>
      </c>
      <c r="D361" t="s">
        <v>21</v>
      </c>
      <c r="E361" t="s">
        <v>18</v>
      </c>
      <c r="F361" t="s">
        <v>33</v>
      </c>
      <c r="G361" t="s">
        <v>20</v>
      </c>
      <c r="H361">
        <v>4</v>
      </c>
      <c r="I361">
        <v>231.1</v>
      </c>
      <c r="J361">
        <v>0</v>
      </c>
      <c r="K361">
        <v>924.4</v>
      </c>
      <c r="L361">
        <v>0</v>
      </c>
      <c r="M361">
        <v>924.4</v>
      </c>
      <c r="N361">
        <v>35.97</v>
      </c>
      <c r="O361">
        <v>143.88</v>
      </c>
      <c r="P361">
        <v>780.52</v>
      </c>
      <c r="Q361">
        <v>84.435309389874504</v>
      </c>
    </row>
    <row r="362" spans="1:17" x14ac:dyDescent="0.25">
      <c r="A362">
        <v>10361</v>
      </c>
      <c r="B362" s="1">
        <v>46018</v>
      </c>
      <c r="C362">
        <v>3520</v>
      </c>
      <c r="D362" t="s">
        <v>29</v>
      </c>
      <c r="E362" t="s">
        <v>24</v>
      </c>
      <c r="F362" t="s">
        <v>19</v>
      </c>
      <c r="G362" t="s">
        <v>27</v>
      </c>
      <c r="H362">
        <v>9</v>
      </c>
      <c r="I362">
        <v>42.21</v>
      </c>
      <c r="J362">
        <v>5</v>
      </c>
      <c r="K362">
        <v>379.89</v>
      </c>
      <c r="L362">
        <v>18.994499999999999</v>
      </c>
      <c r="M362">
        <v>360.895499999999</v>
      </c>
      <c r="N362">
        <v>53.26</v>
      </c>
      <c r="O362">
        <v>479.34</v>
      </c>
      <c r="P362">
        <v>-118.44450000000001</v>
      </c>
      <c r="Q362">
        <v>-32.819611217097403</v>
      </c>
    </row>
    <row r="363" spans="1:17" x14ac:dyDescent="0.25">
      <c r="A363">
        <v>10362</v>
      </c>
      <c r="B363" s="1">
        <v>46019</v>
      </c>
      <c r="C363">
        <v>3692</v>
      </c>
      <c r="D363" t="s">
        <v>21</v>
      </c>
      <c r="E363" t="s">
        <v>24</v>
      </c>
      <c r="F363" t="s">
        <v>25</v>
      </c>
      <c r="G363" t="s">
        <v>28</v>
      </c>
      <c r="H363">
        <v>8</v>
      </c>
      <c r="I363">
        <v>245.22</v>
      </c>
      <c r="J363">
        <v>10</v>
      </c>
      <c r="K363">
        <v>1961.76</v>
      </c>
      <c r="L363">
        <v>196.17599999999999</v>
      </c>
      <c r="M363">
        <v>1765.5840000000001</v>
      </c>
      <c r="N363">
        <v>124.17</v>
      </c>
      <c r="O363">
        <v>993.36</v>
      </c>
      <c r="P363">
        <v>772.22400000000005</v>
      </c>
      <c r="Q363">
        <v>43.737596172144698</v>
      </c>
    </row>
    <row r="364" spans="1:17" x14ac:dyDescent="0.25">
      <c r="A364">
        <v>10363</v>
      </c>
      <c r="B364" s="1">
        <v>46020</v>
      </c>
      <c r="C364">
        <v>3606</v>
      </c>
      <c r="D364" t="s">
        <v>21</v>
      </c>
      <c r="E364" t="s">
        <v>18</v>
      </c>
      <c r="F364" t="s">
        <v>19</v>
      </c>
      <c r="G364" t="s">
        <v>27</v>
      </c>
      <c r="H364">
        <v>6</v>
      </c>
      <c r="I364">
        <v>195.28</v>
      </c>
      <c r="J364">
        <v>15</v>
      </c>
      <c r="K364">
        <v>1171.68</v>
      </c>
      <c r="L364">
        <v>175.75200000000001</v>
      </c>
      <c r="M364">
        <v>995.928</v>
      </c>
      <c r="N364">
        <v>144.74</v>
      </c>
      <c r="O364">
        <v>868.44</v>
      </c>
      <c r="P364">
        <v>127.488</v>
      </c>
      <c r="Q364">
        <v>12.8009253680989</v>
      </c>
    </row>
    <row r="365" spans="1:17" x14ac:dyDescent="0.25">
      <c r="A365">
        <v>10364</v>
      </c>
      <c r="B365" s="1">
        <v>46021</v>
      </c>
      <c r="C365">
        <v>3865</v>
      </c>
      <c r="D365" t="s">
        <v>21</v>
      </c>
      <c r="E365" t="s">
        <v>18</v>
      </c>
      <c r="F365" t="s">
        <v>19</v>
      </c>
      <c r="G365" t="s">
        <v>28</v>
      </c>
      <c r="H365">
        <v>8</v>
      </c>
      <c r="I365">
        <v>93.85</v>
      </c>
      <c r="J365">
        <v>5</v>
      </c>
      <c r="K365">
        <v>750.8</v>
      </c>
      <c r="L365">
        <v>37.54</v>
      </c>
      <c r="M365">
        <v>713.26</v>
      </c>
      <c r="N365">
        <v>52.55</v>
      </c>
      <c r="O365">
        <v>420.4</v>
      </c>
      <c r="P365">
        <v>292.86</v>
      </c>
      <c r="Q365">
        <v>41.059361242744501</v>
      </c>
    </row>
    <row r="366" spans="1:17" x14ac:dyDescent="0.25">
      <c r="A366">
        <v>10365</v>
      </c>
      <c r="B366" s="1">
        <v>46022</v>
      </c>
      <c r="C366">
        <v>3719</v>
      </c>
      <c r="D366" t="s">
        <v>29</v>
      </c>
      <c r="E366" t="s">
        <v>18</v>
      </c>
      <c r="F366" t="s">
        <v>26</v>
      </c>
      <c r="G366" t="s">
        <v>20</v>
      </c>
      <c r="H366">
        <v>5</v>
      </c>
      <c r="I366">
        <v>25.78</v>
      </c>
      <c r="J366">
        <v>10</v>
      </c>
      <c r="K366">
        <v>128.9</v>
      </c>
      <c r="L366">
        <v>12.89</v>
      </c>
      <c r="M366">
        <v>116.01</v>
      </c>
      <c r="N366">
        <v>115.45</v>
      </c>
      <c r="O366">
        <v>577.25</v>
      </c>
      <c r="P366">
        <v>-461.24</v>
      </c>
      <c r="Q366">
        <v>-397.586414964227</v>
      </c>
    </row>
    <row r="367" spans="1:17" x14ac:dyDescent="0.25">
      <c r="A367">
        <v>10366</v>
      </c>
      <c r="B367" s="1">
        <v>46023</v>
      </c>
      <c r="C367">
        <v>3406</v>
      </c>
      <c r="D367" t="s">
        <v>23</v>
      </c>
      <c r="E367" t="s">
        <v>24</v>
      </c>
      <c r="F367" t="s">
        <v>33</v>
      </c>
      <c r="G367" t="s">
        <v>28</v>
      </c>
      <c r="H367">
        <v>1</v>
      </c>
      <c r="I367">
        <v>109.46</v>
      </c>
      <c r="J367">
        <v>0</v>
      </c>
      <c r="K367">
        <v>109.46</v>
      </c>
      <c r="L367">
        <v>0</v>
      </c>
      <c r="M367">
        <v>109.46</v>
      </c>
      <c r="N367">
        <v>82.96</v>
      </c>
      <c r="O367">
        <v>82.96</v>
      </c>
      <c r="P367">
        <v>26.5</v>
      </c>
      <c r="Q367">
        <v>24.209756988854298</v>
      </c>
    </row>
    <row r="368" spans="1:17" x14ac:dyDescent="0.25">
      <c r="A368">
        <v>10367</v>
      </c>
      <c r="B368" s="1">
        <v>46024</v>
      </c>
      <c r="C368">
        <v>3184</v>
      </c>
      <c r="D368" t="s">
        <v>17</v>
      </c>
      <c r="E368" t="s">
        <v>18</v>
      </c>
      <c r="F368" t="s">
        <v>33</v>
      </c>
      <c r="G368" t="s">
        <v>31</v>
      </c>
      <c r="H368">
        <v>2</v>
      </c>
      <c r="I368">
        <v>140.09</v>
      </c>
      <c r="J368">
        <v>5</v>
      </c>
      <c r="K368">
        <v>280.18</v>
      </c>
      <c r="L368">
        <v>14.009</v>
      </c>
      <c r="M368">
        <v>266.17099999999999</v>
      </c>
      <c r="N368">
        <v>105.43</v>
      </c>
      <c r="O368">
        <v>210.86</v>
      </c>
      <c r="P368">
        <v>55.3109999999999</v>
      </c>
      <c r="Q368">
        <v>20.780250290226899</v>
      </c>
    </row>
    <row r="369" spans="1:17" x14ac:dyDescent="0.25">
      <c r="A369">
        <v>10368</v>
      </c>
      <c r="B369" s="1">
        <v>46025</v>
      </c>
      <c r="C369">
        <v>3181</v>
      </c>
      <c r="D369" t="s">
        <v>29</v>
      </c>
      <c r="E369" t="s">
        <v>24</v>
      </c>
      <c r="F369" t="s">
        <v>19</v>
      </c>
      <c r="G369" t="s">
        <v>31</v>
      </c>
      <c r="H369">
        <v>4</v>
      </c>
      <c r="I369">
        <v>93.98</v>
      </c>
      <c r="J369">
        <v>20</v>
      </c>
      <c r="K369">
        <v>375.92</v>
      </c>
      <c r="L369">
        <v>75.183999999999997</v>
      </c>
      <c r="M369">
        <v>300.73599999999999</v>
      </c>
      <c r="N369">
        <v>58.13</v>
      </c>
      <c r="O369">
        <v>232.52</v>
      </c>
      <c r="P369">
        <v>68.215999999999894</v>
      </c>
      <c r="Q369">
        <v>22.683017663332599</v>
      </c>
    </row>
    <row r="370" spans="1:17" x14ac:dyDescent="0.25">
      <c r="A370">
        <v>10369</v>
      </c>
      <c r="B370" s="1">
        <v>46026</v>
      </c>
      <c r="C370">
        <v>3546</v>
      </c>
      <c r="D370" t="s">
        <v>23</v>
      </c>
      <c r="E370" t="s">
        <v>18</v>
      </c>
      <c r="F370" t="s">
        <v>26</v>
      </c>
      <c r="G370" t="s">
        <v>27</v>
      </c>
      <c r="H370">
        <v>9</v>
      </c>
      <c r="I370">
        <v>205.1</v>
      </c>
      <c r="J370">
        <v>20</v>
      </c>
      <c r="K370">
        <v>1845.8999999999901</v>
      </c>
      <c r="L370">
        <v>369.18</v>
      </c>
      <c r="M370">
        <v>1476.71999999999</v>
      </c>
      <c r="N370">
        <v>56.24</v>
      </c>
      <c r="O370">
        <v>506.16</v>
      </c>
      <c r="P370">
        <v>970.55999999999904</v>
      </c>
      <c r="Q370">
        <v>65.724037055094996</v>
      </c>
    </row>
    <row r="371" spans="1:17" x14ac:dyDescent="0.25">
      <c r="A371">
        <v>10370</v>
      </c>
      <c r="B371" s="1">
        <v>46027</v>
      </c>
      <c r="C371">
        <v>3780</v>
      </c>
      <c r="D371" t="s">
        <v>29</v>
      </c>
      <c r="E371" t="s">
        <v>24</v>
      </c>
      <c r="F371" t="s">
        <v>33</v>
      </c>
      <c r="G371" t="s">
        <v>32</v>
      </c>
      <c r="H371">
        <v>7</v>
      </c>
      <c r="I371">
        <v>100.57</v>
      </c>
      <c r="J371">
        <v>15</v>
      </c>
      <c r="K371">
        <v>703.99</v>
      </c>
      <c r="L371">
        <v>105.5985</v>
      </c>
      <c r="M371">
        <v>598.39149999999995</v>
      </c>
      <c r="N371">
        <v>34.9</v>
      </c>
      <c r="O371">
        <v>244.29999999999899</v>
      </c>
      <c r="P371">
        <v>354.0915</v>
      </c>
      <c r="Q371">
        <v>59.173885324239997</v>
      </c>
    </row>
    <row r="372" spans="1:17" x14ac:dyDescent="0.25">
      <c r="A372">
        <v>10371</v>
      </c>
      <c r="B372" s="1">
        <v>46028</v>
      </c>
      <c r="C372">
        <v>3260</v>
      </c>
      <c r="D372" t="s">
        <v>23</v>
      </c>
      <c r="E372" t="s">
        <v>18</v>
      </c>
      <c r="F372" t="s">
        <v>33</v>
      </c>
      <c r="G372" t="s">
        <v>22</v>
      </c>
      <c r="H372">
        <v>1</v>
      </c>
      <c r="I372">
        <v>137.51</v>
      </c>
      <c r="J372">
        <v>20</v>
      </c>
      <c r="K372">
        <v>137.51</v>
      </c>
      <c r="L372">
        <v>27.501999999999999</v>
      </c>
      <c r="M372">
        <v>110.008</v>
      </c>
      <c r="N372">
        <v>77.709999999999994</v>
      </c>
      <c r="O372">
        <v>77.709999999999994</v>
      </c>
      <c r="P372">
        <v>32.298000000000002</v>
      </c>
      <c r="Q372">
        <v>29.359682932150299</v>
      </c>
    </row>
    <row r="373" spans="1:17" x14ac:dyDescent="0.25">
      <c r="A373">
        <v>10372</v>
      </c>
      <c r="B373" s="1">
        <v>46029</v>
      </c>
      <c r="C373">
        <v>3044</v>
      </c>
      <c r="D373" t="s">
        <v>23</v>
      </c>
      <c r="E373" t="s">
        <v>24</v>
      </c>
      <c r="F373" t="s">
        <v>25</v>
      </c>
      <c r="G373" t="s">
        <v>22</v>
      </c>
      <c r="H373">
        <v>3</v>
      </c>
      <c r="I373">
        <v>148.61000000000001</v>
      </c>
      <c r="J373">
        <v>10</v>
      </c>
      <c r="K373">
        <v>445.83</v>
      </c>
      <c r="L373">
        <v>44.582999999999998</v>
      </c>
      <c r="M373">
        <v>401.24700000000001</v>
      </c>
      <c r="N373">
        <v>13.09</v>
      </c>
      <c r="O373">
        <v>39.269999999999897</v>
      </c>
      <c r="P373">
        <v>361.97699999999998</v>
      </c>
      <c r="Q373">
        <v>90.213010938399506</v>
      </c>
    </row>
    <row r="374" spans="1:17" x14ac:dyDescent="0.25">
      <c r="A374">
        <v>10373</v>
      </c>
      <c r="B374" s="1">
        <v>46030</v>
      </c>
      <c r="C374">
        <v>3311</v>
      </c>
      <c r="D374" t="s">
        <v>17</v>
      </c>
      <c r="E374" t="s">
        <v>18</v>
      </c>
      <c r="F374" t="s">
        <v>33</v>
      </c>
      <c r="G374" t="s">
        <v>28</v>
      </c>
      <c r="H374">
        <v>6</v>
      </c>
      <c r="I374">
        <v>198.51</v>
      </c>
      <c r="J374">
        <v>0</v>
      </c>
      <c r="K374">
        <v>1191.06</v>
      </c>
      <c r="L374">
        <v>0</v>
      </c>
      <c r="M374">
        <v>1191.06</v>
      </c>
      <c r="N374">
        <v>129.75</v>
      </c>
      <c r="O374">
        <v>778.5</v>
      </c>
      <c r="P374">
        <v>412.55999999999898</v>
      </c>
      <c r="Q374">
        <v>34.638053498564297</v>
      </c>
    </row>
    <row r="375" spans="1:17" x14ac:dyDescent="0.25">
      <c r="A375">
        <v>10374</v>
      </c>
      <c r="B375" s="1">
        <v>46031</v>
      </c>
      <c r="C375">
        <v>3276</v>
      </c>
      <c r="D375" t="s">
        <v>29</v>
      </c>
      <c r="E375" t="s">
        <v>18</v>
      </c>
      <c r="F375" t="s">
        <v>25</v>
      </c>
      <c r="G375" t="s">
        <v>30</v>
      </c>
      <c r="H375">
        <v>5</v>
      </c>
      <c r="I375">
        <v>32.909999999999997</v>
      </c>
      <c r="J375">
        <v>20</v>
      </c>
      <c r="K375">
        <v>164.54999999999899</v>
      </c>
      <c r="L375">
        <v>32.909999999999997</v>
      </c>
      <c r="M375">
        <v>131.63999999999999</v>
      </c>
      <c r="N375">
        <v>40.380000000000003</v>
      </c>
      <c r="O375">
        <v>201.9</v>
      </c>
      <c r="P375">
        <v>-70.260000000000005</v>
      </c>
      <c r="Q375">
        <v>-53.372835004557899</v>
      </c>
    </row>
    <row r="376" spans="1:17" x14ac:dyDescent="0.25">
      <c r="A376">
        <v>10375</v>
      </c>
      <c r="B376" s="1">
        <v>46032</v>
      </c>
      <c r="C376">
        <v>3811</v>
      </c>
      <c r="D376" t="s">
        <v>17</v>
      </c>
      <c r="E376" t="s">
        <v>24</v>
      </c>
      <c r="F376" t="s">
        <v>26</v>
      </c>
      <c r="G376" t="s">
        <v>32</v>
      </c>
      <c r="H376">
        <v>5</v>
      </c>
      <c r="I376">
        <v>210.52</v>
      </c>
      <c r="J376">
        <v>0</v>
      </c>
      <c r="K376">
        <v>1052.5999999999999</v>
      </c>
      <c r="L376">
        <v>0</v>
      </c>
      <c r="M376">
        <v>1052.5999999999999</v>
      </c>
      <c r="N376">
        <v>96.89</v>
      </c>
      <c r="O376">
        <v>484.45</v>
      </c>
      <c r="P376">
        <v>568.15</v>
      </c>
      <c r="Q376">
        <v>53.9758692760782</v>
      </c>
    </row>
    <row r="377" spans="1:17" x14ac:dyDescent="0.25">
      <c r="A377">
        <v>10376</v>
      </c>
      <c r="B377" s="1">
        <v>46033</v>
      </c>
      <c r="C377">
        <v>3433</v>
      </c>
      <c r="D377" t="s">
        <v>17</v>
      </c>
      <c r="E377" t="s">
        <v>18</v>
      </c>
      <c r="F377" t="s">
        <v>19</v>
      </c>
      <c r="G377" t="s">
        <v>32</v>
      </c>
      <c r="H377">
        <v>8</v>
      </c>
      <c r="I377">
        <v>150.9</v>
      </c>
      <c r="J377">
        <v>15</v>
      </c>
      <c r="K377">
        <v>1207.2</v>
      </c>
      <c r="L377">
        <v>181.08</v>
      </c>
      <c r="M377">
        <v>1026.1199999999999</v>
      </c>
      <c r="N377">
        <v>78.36</v>
      </c>
      <c r="O377">
        <v>626.88</v>
      </c>
      <c r="P377">
        <v>399.24</v>
      </c>
      <c r="Q377">
        <v>38.907730090047899</v>
      </c>
    </row>
    <row r="378" spans="1:17" x14ac:dyDescent="0.25">
      <c r="A378">
        <v>10377</v>
      </c>
      <c r="B378" s="1">
        <v>46034</v>
      </c>
      <c r="C378">
        <v>3274</v>
      </c>
      <c r="D378" t="s">
        <v>21</v>
      </c>
      <c r="E378" t="s">
        <v>18</v>
      </c>
      <c r="F378" t="s">
        <v>19</v>
      </c>
      <c r="G378" t="s">
        <v>31</v>
      </c>
      <c r="H378">
        <v>5</v>
      </c>
      <c r="I378">
        <v>209.63</v>
      </c>
      <c r="J378">
        <v>20</v>
      </c>
      <c r="K378">
        <v>1048.1500000000001</v>
      </c>
      <c r="L378">
        <v>209.63</v>
      </c>
      <c r="M378">
        <v>838.52</v>
      </c>
      <c r="N378">
        <v>55.38</v>
      </c>
      <c r="O378">
        <v>276.89999999999998</v>
      </c>
      <c r="P378">
        <v>561.62</v>
      </c>
      <c r="Q378">
        <v>66.9775318418165</v>
      </c>
    </row>
    <row r="379" spans="1:17" x14ac:dyDescent="0.25">
      <c r="A379">
        <v>10378</v>
      </c>
      <c r="B379" s="1">
        <v>46035</v>
      </c>
      <c r="C379">
        <v>3184</v>
      </c>
      <c r="D379" t="s">
        <v>23</v>
      </c>
      <c r="E379" t="s">
        <v>24</v>
      </c>
      <c r="F379" t="s">
        <v>33</v>
      </c>
      <c r="G379" t="s">
        <v>32</v>
      </c>
      <c r="H379">
        <v>2</v>
      </c>
      <c r="I379">
        <v>129.81</v>
      </c>
      <c r="J379">
        <v>15</v>
      </c>
      <c r="K379">
        <v>259.62</v>
      </c>
      <c r="L379">
        <v>38.942999999999998</v>
      </c>
      <c r="M379">
        <v>220.67699999999999</v>
      </c>
      <c r="N379">
        <v>141.85</v>
      </c>
      <c r="O379">
        <v>283.7</v>
      </c>
      <c r="P379">
        <v>-63.022999999999897</v>
      </c>
      <c r="Q379">
        <v>-28.558934551403102</v>
      </c>
    </row>
    <row r="380" spans="1:17" x14ac:dyDescent="0.25">
      <c r="A380">
        <v>10379</v>
      </c>
      <c r="B380" s="1">
        <v>46036</v>
      </c>
      <c r="C380">
        <v>3661</v>
      </c>
      <c r="D380" t="s">
        <v>21</v>
      </c>
      <c r="E380" t="s">
        <v>18</v>
      </c>
      <c r="F380" t="s">
        <v>33</v>
      </c>
      <c r="G380" t="s">
        <v>31</v>
      </c>
      <c r="H380">
        <v>3</v>
      </c>
      <c r="I380">
        <v>145</v>
      </c>
      <c r="J380">
        <v>15</v>
      </c>
      <c r="K380">
        <v>435</v>
      </c>
      <c r="L380">
        <v>65.25</v>
      </c>
      <c r="M380">
        <v>369.75</v>
      </c>
      <c r="N380">
        <v>128.1</v>
      </c>
      <c r="O380">
        <v>384.29999999999899</v>
      </c>
      <c r="P380">
        <v>-14.549999999999899</v>
      </c>
      <c r="Q380">
        <v>-3.9350912778904501</v>
      </c>
    </row>
    <row r="381" spans="1:17" x14ac:dyDescent="0.25">
      <c r="A381">
        <v>10380</v>
      </c>
      <c r="B381" s="1">
        <v>46037</v>
      </c>
      <c r="C381">
        <v>3946</v>
      </c>
      <c r="D381" t="s">
        <v>17</v>
      </c>
      <c r="E381" t="s">
        <v>24</v>
      </c>
      <c r="F381" t="s">
        <v>19</v>
      </c>
      <c r="G381" t="s">
        <v>20</v>
      </c>
      <c r="H381">
        <v>8</v>
      </c>
      <c r="I381">
        <v>233.82</v>
      </c>
      <c r="J381">
        <v>0</v>
      </c>
      <c r="K381">
        <v>1870.56</v>
      </c>
      <c r="L381">
        <v>0</v>
      </c>
      <c r="M381">
        <v>1870.56</v>
      </c>
      <c r="N381">
        <v>111.63</v>
      </c>
      <c r="O381">
        <v>893.04</v>
      </c>
      <c r="P381">
        <v>977.52</v>
      </c>
      <c r="Q381">
        <v>52.258147292789303</v>
      </c>
    </row>
    <row r="382" spans="1:17" x14ac:dyDescent="0.25">
      <c r="A382">
        <v>10381</v>
      </c>
      <c r="B382" s="1">
        <v>46038</v>
      </c>
      <c r="C382">
        <v>3121</v>
      </c>
      <c r="D382" t="s">
        <v>17</v>
      </c>
      <c r="E382" t="s">
        <v>18</v>
      </c>
      <c r="F382" t="s">
        <v>25</v>
      </c>
      <c r="G382" t="s">
        <v>31</v>
      </c>
      <c r="H382">
        <v>9</v>
      </c>
      <c r="I382">
        <v>159.38999999999999</v>
      </c>
      <c r="J382">
        <v>5</v>
      </c>
      <c r="K382">
        <v>1434.50999999999</v>
      </c>
      <c r="L382">
        <v>71.725499999999997</v>
      </c>
      <c r="M382">
        <v>1362.78449999999</v>
      </c>
      <c r="N382">
        <v>22.16</v>
      </c>
      <c r="O382">
        <v>199.44</v>
      </c>
      <c r="P382">
        <v>1163.3444999999899</v>
      </c>
      <c r="Q382">
        <v>85.365257676470407</v>
      </c>
    </row>
    <row r="383" spans="1:17" x14ac:dyDescent="0.25">
      <c r="A383">
        <v>10382</v>
      </c>
      <c r="B383" s="1">
        <v>46039</v>
      </c>
      <c r="C383">
        <v>3406</v>
      </c>
      <c r="D383" t="s">
        <v>17</v>
      </c>
      <c r="E383" t="s">
        <v>18</v>
      </c>
      <c r="F383" t="s">
        <v>33</v>
      </c>
      <c r="G383" t="s">
        <v>30</v>
      </c>
      <c r="H383">
        <v>7</v>
      </c>
      <c r="I383">
        <v>164.88</v>
      </c>
      <c r="J383">
        <v>0</v>
      </c>
      <c r="K383">
        <v>1154.1599999999901</v>
      </c>
      <c r="L383">
        <v>0</v>
      </c>
      <c r="M383">
        <v>1154.1599999999901</v>
      </c>
      <c r="N383">
        <v>72.040000000000006</v>
      </c>
      <c r="O383">
        <v>504.28</v>
      </c>
      <c r="P383">
        <v>649.87999999999897</v>
      </c>
      <c r="Q383">
        <v>56.307617661329402</v>
      </c>
    </row>
    <row r="384" spans="1:17" x14ac:dyDescent="0.25">
      <c r="A384">
        <v>10383</v>
      </c>
      <c r="B384" s="1">
        <v>46040</v>
      </c>
      <c r="C384">
        <v>3018</v>
      </c>
      <c r="D384" t="s">
        <v>21</v>
      </c>
      <c r="E384" t="s">
        <v>24</v>
      </c>
      <c r="F384" t="s">
        <v>25</v>
      </c>
      <c r="G384" t="s">
        <v>31</v>
      </c>
      <c r="H384">
        <v>6</v>
      </c>
      <c r="I384">
        <v>210.98</v>
      </c>
      <c r="J384">
        <v>0</v>
      </c>
      <c r="K384">
        <v>1265.8799999999901</v>
      </c>
      <c r="L384">
        <v>0</v>
      </c>
      <c r="M384">
        <v>1265.8799999999901</v>
      </c>
      <c r="N384">
        <v>99.41</v>
      </c>
      <c r="O384">
        <v>596.46</v>
      </c>
      <c r="P384">
        <v>669.41999999999905</v>
      </c>
      <c r="Q384">
        <v>52.881789743103603</v>
      </c>
    </row>
    <row r="385" spans="1:17" x14ac:dyDescent="0.25">
      <c r="A385">
        <v>10384</v>
      </c>
      <c r="B385" s="1">
        <v>46041</v>
      </c>
      <c r="C385">
        <v>3965</v>
      </c>
      <c r="D385" t="s">
        <v>17</v>
      </c>
      <c r="E385" t="s">
        <v>18</v>
      </c>
      <c r="F385" t="s">
        <v>19</v>
      </c>
      <c r="G385" t="s">
        <v>27</v>
      </c>
      <c r="H385">
        <v>4</v>
      </c>
      <c r="I385">
        <v>227.99</v>
      </c>
      <c r="J385">
        <v>10</v>
      </c>
      <c r="K385">
        <v>911.96</v>
      </c>
      <c r="L385">
        <v>91.195999999999998</v>
      </c>
      <c r="M385">
        <v>820.76400000000001</v>
      </c>
      <c r="N385">
        <v>18.829999999999998</v>
      </c>
      <c r="O385">
        <v>75.319999999999993</v>
      </c>
      <c r="P385">
        <v>745.44399999999996</v>
      </c>
      <c r="Q385">
        <v>90.823184252720594</v>
      </c>
    </row>
    <row r="386" spans="1:17" x14ac:dyDescent="0.25">
      <c r="A386">
        <v>10385</v>
      </c>
      <c r="B386" s="1">
        <v>46042</v>
      </c>
      <c r="C386">
        <v>3871</v>
      </c>
      <c r="D386" t="s">
        <v>17</v>
      </c>
      <c r="E386" t="s">
        <v>24</v>
      </c>
      <c r="F386" t="s">
        <v>33</v>
      </c>
      <c r="G386" t="s">
        <v>28</v>
      </c>
      <c r="H386">
        <v>7</v>
      </c>
      <c r="I386">
        <v>68.47</v>
      </c>
      <c r="J386">
        <v>15</v>
      </c>
      <c r="K386">
        <v>479.289999999999</v>
      </c>
      <c r="L386">
        <v>71.893499999999904</v>
      </c>
      <c r="M386">
        <v>407.39649999999898</v>
      </c>
      <c r="N386">
        <v>105.89</v>
      </c>
      <c r="O386">
        <v>741.23</v>
      </c>
      <c r="P386">
        <v>-333.83350000000002</v>
      </c>
      <c r="Q386">
        <v>-81.943143841441895</v>
      </c>
    </row>
    <row r="387" spans="1:17" x14ac:dyDescent="0.25">
      <c r="A387">
        <v>10386</v>
      </c>
      <c r="B387" s="1">
        <v>46043</v>
      </c>
      <c r="C387">
        <v>3247</v>
      </c>
      <c r="D387" t="s">
        <v>17</v>
      </c>
      <c r="E387" t="s">
        <v>24</v>
      </c>
      <c r="F387" t="s">
        <v>19</v>
      </c>
      <c r="G387" t="s">
        <v>22</v>
      </c>
      <c r="H387">
        <v>1</v>
      </c>
      <c r="I387">
        <v>168.91</v>
      </c>
      <c r="J387">
        <v>15</v>
      </c>
      <c r="K387">
        <v>168.91</v>
      </c>
      <c r="L387">
        <v>25.336499999999901</v>
      </c>
      <c r="M387">
        <v>143.5735</v>
      </c>
      <c r="N387">
        <v>123.38</v>
      </c>
      <c r="O387">
        <v>123.38</v>
      </c>
      <c r="P387">
        <v>20.1935</v>
      </c>
      <c r="Q387">
        <v>14.064921451382</v>
      </c>
    </row>
    <row r="388" spans="1:17" x14ac:dyDescent="0.25">
      <c r="A388">
        <v>10387</v>
      </c>
      <c r="B388" s="1">
        <v>46044</v>
      </c>
      <c r="C388">
        <v>3005</v>
      </c>
      <c r="D388" t="s">
        <v>17</v>
      </c>
      <c r="E388" t="s">
        <v>24</v>
      </c>
      <c r="F388" t="s">
        <v>26</v>
      </c>
      <c r="G388" t="s">
        <v>22</v>
      </c>
      <c r="H388">
        <v>7</v>
      </c>
      <c r="I388">
        <v>38.89</v>
      </c>
      <c r="J388">
        <v>0</v>
      </c>
      <c r="K388">
        <v>272.23</v>
      </c>
      <c r="L388">
        <v>0</v>
      </c>
      <c r="M388">
        <v>272.23</v>
      </c>
      <c r="N388">
        <v>142.63</v>
      </c>
      <c r="O388">
        <v>998.41</v>
      </c>
      <c r="P388">
        <v>-726.18</v>
      </c>
      <c r="Q388">
        <v>-266.75237850347099</v>
      </c>
    </row>
    <row r="389" spans="1:17" x14ac:dyDescent="0.25">
      <c r="A389">
        <v>10388</v>
      </c>
      <c r="B389" s="1">
        <v>46045</v>
      </c>
      <c r="C389">
        <v>3645</v>
      </c>
      <c r="D389" t="s">
        <v>21</v>
      </c>
      <c r="E389" t="s">
        <v>18</v>
      </c>
      <c r="F389" t="s">
        <v>25</v>
      </c>
      <c r="G389" t="s">
        <v>27</v>
      </c>
      <c r="H389">
        <v>1</v>
      </c>
      <c r="I389">
        <v>25.67</v>
      </c>
      <c r="J389">
        <v>10</v>
      </c>
      <c r="K389">
        <v>25.67</v>
      </c>
      <c r="L389">
        <v>2.5670000000000002</v>
      </c>
      <c r="M389">
        <v>23.103000000000002</v>
      </c>
      <c r="N389">
        <v>77.8</v>
      </c>
      <c r="O389">
        <v>77.8</v>
      </c>
      <c r="P389">
        <v>-54.696999999999903</v>
      </c>
      <c r="Q389">
        <v>-236.75280266632001</v>
      </c>
    </row>
    <row r="390" spans="1:17" x14ac:dyDescent="0.25">
      <c r="A390">
        <v>10389</v>
      </c>
      <c r="B390" s="1">
        <v>46046</v>
      </c>
      <c r="C390">
        <v>3838</v>
      </c>
      <c r="D390" t="s">
        <v>21</v>
      </c>
      <c r="E390" t="s">
        <v>24</v>
      </c>
      <c r="F390" t="s">
        <v>26</v>
      </c>
      <c r="G390" t="s">
        <v>27</v>
      </c>
      <c r="H390">
        <v>7</v>
      </c>
      <c r="I390">
        <v>162.94</v>
      </c>
      <c r="J390">
        <v>15</v>
      </c>
      <c r="K390">
        <v>1140.58</v>
      </c>
      <c r="L390">
        <v>171.08699999999999</v>
      </c>
      <c r="M390">
        <v>969.49299999999903</v>
      </c>
      <c r="N390">
        <v>9.16</v>
      </c>
      <c r="O390">
        <v>64.12</v>
      </c>
      <c r="P390">
        <v>905.37299999999902</v>
      </c>
      <c r="Q390">
        <v>93.386233835623301</v>
      </c>
    </row>
    <row r="391" spans="1:17" x14ac:dyDescent="0.25">
      <c r="A391">
        <v>10390</v>
      </c>
      <c r="B391" s="1">
        <v>46047</v>
      </c>
      <c r="C391">
        <v>3479</v>
      </c>
      <c r="D391" t="s">
        <v>23</v>
      </c>
      <c r="E391" t="s">
        <v>24</v>
      </c>
      <c r="F391" t="s">
        <v>26</v>
      </c>
      <c r="G391" t="s">
        <v>22</v>
      </c>
      <c r="H391">
        <v>6</v>
      </c>
      <c r="I391">
        <v>127.65</v>
      </c>
      <c r="J391">
        <v>10</v>
      </c>
      <c r="K391">
        <v>765.9</v>
      </c>
      <c r="L391">
        <v>76.59</v>
      </c>
      <c r="M391">
        <v>689.31</v>
      </c>
      <c r="N391">
        <v>35.159999999999997</v>
      </c>
      <c r="O391">
        <v>210.95999999999901</v>
      </c>
      <c r="P391">
        <v>478.35</v>
      </c>
      <c r="Q391">
        <v>69.395482438960698</v>
      </c>
    </row>
    <row r="392" spans="1:17" x14ac:dyDescent="0.25">
      <c r="A392">
        <v>10391</v>
      </c>
      <c r="B392" s="1">
        <v>46048</v>
      </c>
      <c r="C392">
        <v>3157</v>
      </c>
      <c r="D392" t="s">
        <v>17</v>
      </c>
      <c r="E392" t="s">
        <v>18</v>
      </c>
      <c r="F392" t="s">
        <v>33</v>
      </c>
      <c r="G392" t="s">
        <v>30</v>
      </c>
      <c r="H392">
        <v>2</v>
      </c>
      <c r="I392">
        <v>221.52</v>
      </c>
      <c r="J392">
        <v>5</v>
      </c>
      <c r="K392">
        <v>443.04</v>
      </c>
      <c r="L392">
        <v>22.152000000000001</v>
      </c>
      <c r="M392">
        <v>420.88799999999998</v>
      </c>
      <c r="N392">
        <v>121.76</v>
      </c>
      <c r="O392">
        <v>243.52</v>
      </c>
      <c r="P392">
        <v>177.36799999999999</v>
      </c>
      <c r="Q392">
        <v>42.141377278515897</v>
      </c>
    </row>
    <row r="393" spans="1:17" x14ac:dyDescent="0.25">
      <c r="A393">
        <v>10392</v>
      </c>
      <c r="B393" s="1">
        <v>46049</v>
      </c>
      <c r="C393">
        <v>3400</v>
      </c>
      <c r="D393" t="s">
        <v>29</v>
      </c>
      <c r="E393" t="s">
        <v>18</v>
      </c>
      <c r="F393" t="s">
        <v>19</v>
      </c>
      <c r="G393" t="s">
        <v>31</v>
      </c>
      <c r="H393">
        <v>2</v>
      </c>
      <c r="I393">
        <v>98.54</v>
      </c>
      <c r="J393">
        <v>15</v>
      </c>
      <c r="K393">
        <v>197.08</v>
      </c>
      <c r="L393">
        <v>29.562000000000001</v>
      </c>
      <c r="M393">
        <v>167.518</v>
      </c>
      <c r="N393">
        <v>26.51</v>
      </c>
      <c r="O393">
        <v>53.02</v>
      </c>
      <c r="P393">
        <v>114.497999999999</v>
      </c>
      <c r="Q393">
        <v>68.349669886221093</v>
      </c>
    </row>
    <row r="394" spans="1:17" x14ac:dyDescent="0.25">
      <c r="A394">
        <v>10393</v>
      </c>
      <c r="B394" s="1">
        <v>46050</v>
      </c>
      <c r="C394">
        <v>3938</v>
      </c>
      <c r="D394" t="s">
        <v>21</v>
      </c>
      <c r="E394" t="s">
        <v>24</v>
      </c>
      <c r="F394" t="s">
        <v>25</v>
      </c>
      <c r="G394" t="s">
        <v>27</v>
      </c>
      <c r="H394">
        <v>5</v>
      </c>
      <c r="I394">
        <v>215.07</v>
      </c>
      <c r="J394">
        <v>20</v>
      </c>
      <c r="K394">
        <v>1075.3499999999999</v>
      </c>
      <c r="L394">
        <v>215.07</v>
      </c>
      <c r="M394">
        <v>860.28</v>
      </c>
      <c r="N394">
        <v>95.23</v>
      </c>
      <c r="O394">
        <v>476.15</v>
      </c>
      <c r="P394">
        <v>384.12999999999897</v>
      </c>
      <c r="Q394">
        <v>44.651741293532297</v>
      </c>
    </row>
    <row r="395" spans="1:17" x14ac:dyDescent="0.25">
      <c r="A395">
        <v>10394</v>
      </c>
      <c r="B395" s="1">
        <v>46051</v>
      </c>
      <c r="C395">
        <v>3246</v>
      </c>
      <c r="D395" t="s">
        <v>21</v>
      </c>
      <c r="E395" t="s">
        <v>24</v>
      </c>
      <c r="F395" t="s">
        <v>25</v>
      </c>
      <c r="G395" t="s">
        <v>20</v>
      </c>
      <c r="H395">
        <v>6</v>
      </c>
      <c r="I395">
        <v>193.14</v>
      </c>
      <c r="J395">
        <v>10</v>
      </c>
      <c r="K395">
        <v>1158.8399999999999</v>
      </c>
      <c r="L395">
        <v>115.884</v>
      </c>
      <c r="M395">
        <v>1042.9559999999999</v>
      </c>
      <c r="N395">
        <v>99.71</v>
      </c>
      <c r="O395">
        <v>598.26</v>
      </c>
      <c r="P395">
        <v>444.695999999999</v>
      </c>
      <c r="Q395">
        <v>42.6380403391897</v>
      </c>
    </row>
    <row r="396" spans="1:17" x14ac:dyDescent="0.25">
      <c r="A396">
        <v>10395</v>
      </c>
      <c r="B396" s="1">
        <v>46052</v>
      </c>
      <c r="C396">
        <v>3942</v>
      </c>
      <c r="D396" t="s">
        <v>23</v>
      </c>
      <c r="E396" t="s">
        <v>18</v>
      </c>
      <c r="F396" t="s">
        <v>26</v>
      </c>
      <c r="G396" t="s">
        <v>27</v>
      </c>
      <c r="H396">
        <v>6</v>
      </c>
      <c r="I396">
        <v>88.09</v>
      </c>
      <c r="J396">
        <v>15</v>
      </c>
      <c r="K396">
        <v>528.54</v>
      </c>
      <c r="L396">
        <v>79.280999999999906</v>
      </c>
      <c r="M396">
        <v>449.25899999999899</v>
      </c>
      <c r="N396">
        <v>69.459999999999994</v>
      </c>
      <c r="O396">
        <v>416.76</v>
      </c>
      <c r="P396">
        <v>32.498999999999903</v>
      </c>
      <c r="Q396">
        <v>7.2339118414989896</v>
      </c>
    </row>
    <row r="397" spans="1:17" x14ac:dyDescent="0.25">
      <c r="A397">
        <v>10396</v>
      </c>
      <c r="B397" s="1">
        <v>46053</v>
      </c>
      <c r="C397">
        <v>3068</v>
      </c>
      <c r="D397" t="s">
        <v>17</v>
      </c>
      <c r="E397" t="s">
        <v>24</v>
      </c>
      <c r="F397" t="s">
        <v>33</v>
      </c>
      <c r="G397" t="s">
        <v>31</v>
      </c>
      <c r="H397">
        <v>1</v>
      </c>
      <c r="I397">
        <v>76.790000000000006</v>
      </c>
      <c r="J397">
        <v>0</v>
      </c>
      <c r="K397">
        <v>76.790000000000006</v>
      </c>
      <c r="L397">
        <v>0</v>
      </c>
      <c r="M397">
        <v>76.790000000000006</v>
      </c>
      <c r="N397">
        <v>118.85</v>
      </c>
      <c r="O397">
        <v>118.85</v>
      </c>
      <c r="P397">
        <v>-42.059999999999903</v>
      </c>
      <c r="Q397">
        <v>-54.772756869383997</v>
      </c>
    </row>
    <row r="398" spans="1:17" x14ac:dyDescent="0.25">
      <c r="A398">
        <v>10397</v>
      </c>
      <c r="B398" s="1">
        <v>46054</v>
      </c>
      <c r="C398">
        <v>3238</v>
      </c>
      <c r="D398" t="s">
        <v>21</v>
      </c>
      <c r="E398" t="s">
        <v>18</v>
      </c>
      <c r="F398" t="s">
        <v>26</v>
      </c>
      <c r="G398" t="s">
        <v>32</v>
      </c>
      <c r="H398">
        <v>9</v>
      </c>
      <c r="I398">
        <v>180.27</v>
      </c>
      <c r="J398">
        <v>0</v>
      </c>
      <c r="K398">
        <v>1622.43</v>
      </c>
      <c r="L398">
        <v>0</v>
      </c>
      <c r="M398">
        <v>1622.43</v>
      </c>
      <c r="N398">
        <v>22.82</v>
      </c>
      <c r="O398">
        <v>205.38</v>
      </c>
      <c r="P398">
        <v>1417.05</v>
      </c>
      <c r="Q398">
        <v>87.341210406612305</v>
      </c>
    </row>
    <row r="399" spans="1:17" x14ac:dyDescent="0.25">
      <c r="A399">
        <v>10398</v>
      </c>
      <c r="B399" s="1">
        <v>46055</v>
      </c>
      <c r="C399">
        <v>3102</v>
      </c>
      <c r="D399" t="s">
        <v>23</v>
      </c>
      <c r="E399" t="s">
        <v>18</v>
      </c>
      <c r="F399" t="s">
        <v>25</v>
      </c>
      <c r="G399" t="s">
        <v>32</v>
      </c>
      <c r="H399">
        <v>6</v>
      </c>
      <c r="I399">
        <v>196.2</v>
      </c>
      <c r="J399">
        <v>20</v>
      </c>
      <c r="K399">
        <v>1177.19999999999</v>
      </c>
      <c r="L399">
        <v>235.439999999999</v>
      </c>
      <c r="M399">
        <v>941.75999999999897</v>
      </c>
      <c r="N399">
        <v>94.91</v>
      </c>
      <c r="O399">
        <v>569.46</v>
      </c>
      <c r="P399">
        <v>372.29999999999899</v>
      </c>
      <c r="Q399">
        <v>39.532364933741</v>
      </c>
    </row>
    <row r="400" spans="1:17" x14ac:dyDescent="0.25">
      <c r="A400">
        <v>10399</v>
      </c>
      <c r="B400" s="1">
        <v>46056</v>
      </c>
      <c r="C400">
        <v>3717</v>
      </c>
      <c r="D400" t="s">
        <v>29</v>
      </c>
      <c r="E400" t="s">
        <v>24</v>
      </c>
      <c r="F400" t="s">
        <v>25</v>
      </c>
      <c r="G400" t="s">
        <v>31</v>
      </c>
      <c r="H400">
        <v>9</v>
      </c>
      <c r="I400">
        <v>148.32</v>
      </c>
      <c r="J400">
        <v>10</v>
      </c>
      <c r="K400">
        <v>1334.8799999999901</v>
      </c>
      <c r="L400">
        <v>133.488</v>
      </c>
      <c r="M400">
        <v>1201.39199999999</v>
      </c>
      <c r="N400">
        <v>60.17</v>
      </c>
      <c r="O400">
        <v>541.53</v>
      </c>
      <c r="P400">
        <v>659.86199999999894</v>
      </c>
      <c r="Q400">
        <v>54.924787246793699</v>
      </c>
    </row>
    <row r="401" spans="1:17" x14ac:dyDescent="0.25">
      <c r="A401">
        <v>10400</v>
      </c>
      <c r="B401" s="1">
        <v>46057</v>
      </c>
      <c r="C401">
        <v>3450</v>
      </c>
      <c r="D401" t="s">
        <v>29</v>
      </c>
      <c r="E401" t="s">
        <v>18</v>
      </c>
      <c r="F401" t="s">
        <v>19</v>
      </c>
      <c r="G401" t="s">
        <v>20</v>
      </c>
      <c r="H401">
        <v>4</v>
      </c>
      <c r="I401">
        <v>42.86</v>
      </c>
      <c r="J401">
        <v>10</v>
      </c>
      <c r="K401">
        <v>171.44</v>
      </c>
      <c r="L401">
        <v>17.143999999999998</v>
      </c>
      <c r="M401">
        <v>154.29599999999999</v>
      </c>
      <c r="N401">
        <v>129.34</v>
      </c>
      <c r="O401">
        <v>517.36</v>
      </c>
      <c r="P401">
        <v>-363.06400000000002</v>
      </c>
      <c r="Q401">
        <v>-235.303572354435</v>
      </c>
    </row>
    <row r="402" spans="1:17" x14ac:dyDescent="0.25">
      <c r="A402">
        <v>10401</v>
      </c>
      <c r="B402" s="1">
        <v>46058</v>
      </c>
      <c r="C402">
        <v>3908</v>
      </c>
      <c r="D402" t="s">
        <v>29</v>
      </c>
      <c r="E402" t="s">
        <v>18</v>
      </c>
      <c r="F402" t="s">
        <v>33</v>
      </c>
      <c r="G402" t="s">
        <v>22</v>
      </c>
      <c r="H402">
        <v>2</v>
      </c>
      <c r="I402">
        <v>201.66</v>
      </c>
      <c r="J402">
        <v>0</v>
      </c>
      <c r="K402">
        <v>403.32</v>
      </c>
      <c r="L402">
        <v>0</v>
      </c>
      <c r="M402">
        <v>403.32</v>
      </c>
      <c r="N402">
        <v>62.46</v>
      </c>
      <c r="O402">
        <v>124.92</v>
      </c>
      <c r="P402">
        <v>278.39999999999998</v>
      </c>
      <c r="Q402">
        <v>69.027075275215694</v>
      </c>
    </row>
    <row r="403" spans="1:17" x14ac:dyDescent="0.25">
      <c r="A403">
        <v>10402</v>
      </c>
      <c r="B403" s="1">
        <v>46059</v>
      </c>
      <c r="C403">
        <v>3822</v>
      </c>
      <c r="D403" t="s">
        <v>17</v>
      </c>
      <c r="E403" t="s">
        <v>24</v>
      </c>
      <c r="F403" t="s">
        <v>25</v>
      </c>
      <c r="G403" t="s">
        <v>30</v>
      </c>
      <c r="H403">
        <v>7</v>
      </c>
      <c r="I403">
        <v>160.79</v>
      </c>
      <c r="J403">
        <v>20</v>
      </c>
      <c r="K403">
        <v>1125.53</v>
      </c>
      <c r="L403">
        <v>225.10599999999999</v>
      </c>
      <c r="M403">
        <v>900.42399999999998</v>
      </c>
      <c r="N403">
        <v>32.380000000000003</v>
      </c>
      <c r="O403">
        <v>226.66</v>
      </c>
      <c r="P403">
        <v>673.76399999999899</v>
      </c>
      <c r="Q403">
        <v>74.827414640213902</v>
      </c>
    </row>
    <row r="404" spans="1:17" x14ac:dyDescent="0.25">
      <c r="A404">
        <v>10403</v>
      </c>
      <c r="B404" s="1">
        <v>46060</v>
      </c>
      <c r="C404">
        <v>3088</v>
      </c>
      <c r="D404" t="s">
        <v>21</v>
      </c>
      <c r="E404" t="s">
        <v>24</v>
      </c>
      <c r="F404" t="s">
        <v>19</v>
      </c>
      <c r="G404" t="s">
        <v>32</v>
      </c>
      <c r="H404">
        <v>8</v>
      </c>
      <c r="I404">
        <v>164.16</v>
      </c>
      <c r="J404">
        <v>5</v>
      </c>
      <c r="K404">
        <v>1313.28</v>
      </c>
      <c r="L404">
        <v>65.664000000000001</v>
      </c>
      <c r="M404">
        <v>1247.616</v>
      </c>
      <c r="N404">
        <v>54.95</v>
      </c>
      <c r="O404">
        <v>439.6</v>
      </c>
      <c r="P404">
        <v>808.01599999999996</v>
      </c>
      <c r="Q404">
        <v>64.764799425464204</v>
      </c>
    </row>
    <row r="405" spans="1:17" x14ac:dyDescent="0.25">
      <c r="A405">
        <v>10404</v>
      </c>
      <c r="B405" s="1">
        <v>46061</v>
      </c>
      <c r="C405">
        <v>3091</v>
      </c>
      <c r="D405" t="s">
        <v>21</v>
      </c>
      <c r="E405" t="s">
        <v>18</v>
      </c>
      <c r="F405" t="s">
        <v>26</v>
      </c>
      <c r="G405" t="s">
        <v>20</v>
      </c>
      <c r="H405">
        <v>8</v>
      </c>
      <c r="I405">
        <v>138.32</v>
      </c>
      <c r="J405">
        <v>10</v>
      </c>
      <c r="K405">
        <v>1106.56</v>
      </c>
      <c r="L405">
        <v>110.65600000000001</v>
      </c>
      <c r="M405">
        <v>995.904</v>
      </c>
      <c r="N405">
        <v>81.12</v>
      </c>
      <c r="O405">
        <v>648.96</v>
      </c>
      <c r="P405">
        <v>346.94399999999899</v>
      </c>
      <c r="Q405">
        <v>34.8370927318295</v>
      </c>
    </row>
    <row r="406" spans="1:17" x14ac:dyDescent="0.25">
      <c r="A406">
        <v>10405</v>
      </c>
      <c r="B406" s="1">
        <v>46062</v>
      </c>
      <c r="C406">
        <v>3439</v>
      </c>
      <c r="D406" t="s">
        <v>29</v>
      </c>
      <c r="E406" t="s">
        <v>24</v>
      </c>
      <c r="F406" t="s">
        <v>25</v>
      </c>
      <c r="G406" t="s">
        <v>20</v>
      </c>
      <c r="H406">
        <v>8</v>
      </c>
      <c r="I406">
        <v>106.67</v>
      </c>
      <c r="J406">
        <v>5</v>
      </c>
      <c r="K406">
        <v>853.36</v>
      </c>
      <c r="L406">
        <v>42.667999999999999</v>
      </c>
      <c r="M406">
        <v>810.69200000000001</v>
      </c>
      <c r="N406">
        <v>16.62</v>
      </c>
      <c r="O406">
        <v>132.96</v>
      </c>
      <c r="P406">
        <v>677.73199999999997</v>
      </c>
      <c r="Q406">
        <v>83.599196735628297</v>
      </c>
    </row>
    <row r="407" spans="1:17" x14ac:dyDescent="0.25">
      <c r="A407">
        <v>10406</v>
      </c>
      <c r="B407" s="1">
        <v>46063</v>
      </c>
      <c r="C407">
        <v>3016</v>
      </c>
      <c r="D407" t="s">
        <v>17</v>
      </c>
      <c r="E407" t="s">
        <v>18</v>
      </c>
      <c r="F407" t="s">
        <v>19</v>
      </c>
      <c r="G407" t="s">
        <v>30</v>
      </c>
      <c r="H407">
        <v>9</v>
      </c>
      <c r="I407">
        <v>205.32</v>
      </c>
      <c r="J407">
        <v>10</v>
      </c>
      <c r="K407">
        <v>1847.8799999999901</v>
      </c>
      <c r="L407">
        <v>184.78800000000001</v>
      </c>
      <c r="M407">
        <v>1663.0919999999901</v>
      </c>
      <c r="N407">
        <v>130.25</v>
      </c>
      <c r="O407">
        <v>1172.25</v>
      </c>
      <c r="P407">
        <v>490.84199999999902</v>
      </c>
      <c r="Q407">
        <v>29.513821243803701</v>
      </c>
    </row>
    <row r="408" spans="1:17" x14ac:dyDescent="0.25">
      <c r="A408">
        <v>10407</v>
      </c>
      <c r="B408" s="1">
        <v>46064</v>
      </c>
      <c r="C408">
        <v>3494</v>
      </c>
      <c r="D408" t="s">
        <v>17</v>
      </c>
      <c r="E408" t="s">
        <v>18</v>
      </c>
      <c r="F408" t="s">
        <v>33</v>
      </c>
      <c r="G408" t="s">
        <v>27</v>
      </c>
      <c r="H408">
        <v>9</v>
      </c>
      <c r="I408">
        <v>136.41</v>
      </c>
      <c r="J408">
        <v>0</v>
      </c>
      <c r="K408">
        <v>1227.69</v>
      </c>
      <c r="L408">
        <v>0</v>
      </c>
      <c r="M408">
        <v>1227.69</v>
      </c>
      <c r="N408">
        <v>99.43</v>
      </c>
      <c r="O408">
        <v>894.87</v>
      </c>
      <c r="P408">
        <v>332.81999999999903</v>
      </c>
      <c r="Q408">
        <v>27.109449453852299</v>
      </c>
    </row>
    <row r="409" spans="1:17" x14ac:dyDescent="0.25">
      <c r="A409">
        <v>10408</v>
      </c>
      <c r="B409" s="1">
        <v>46065</v>
      </c>
      <c r="C409">
        <v>3380</v>
      </c>
      <c r="D409" t="s">
        <v>17</v>
      </c>
      <c r="E409" t="s">
        <v>18</v>
      </c>
      <c r="F409" t="s">
        <v>26</v>
      </c>
      <c r="G409" t="s">
        <v>22</v>
      </c>
      <c r="H409">
        <v>2</v>
      </c>
      <c r="I409">
        <v>189.57</v>
      </c>
      <c r="J409">
        <v>20</v>
      </c>
      <c r="K409">
        <v>379.14</v>
      </c>
      <c r="L409">
        <v>75.828000000000003</v>
      </c>
      <c r="M409">
        <v>303.31200000000001</v>
      </c>
      <c r="N409">
        <v>50.35</v>
      </c>
      <c r="O409">
        <v>100.7</v>
      </c>
      <c r="P409">
        <v>202.61199999999999</v>
      </c>
      <c r="Q409">
        <v>66.799862847496897</v>
      </c>
    </row>
    <row r="410" spans="1:17" x14ac:dyDescent="0.25">
      <c r="A410">
        <v>10409</v>
      </c>
      <c r="B410" s="1">
        <v>46066</v>
      </c>
      <c r="C410">
        <v>3645</v>
      </c>
      <c r="D410" t="s">
        <v>23</v>
      </c>
      <c r="E410" t="s">
        <v>24</v>
      </c>
      <c r="F410" t="s">
        <v>26</v>
      </c>
      <c r="G410" t="s">
        <v>22</v>
      </c>
      <c r="H410">
        <v>2</v>
      </c>
      <c r="I410">
        <v>133.97999999999999</v>
      </c>
      <c r="J410">
        <v>0</v>
      </c>
      <c r="K410">
        <v>267.95999999999998</v>
      </c>
      <c r="L410">
        <v>0</v>
      </c>
      <c r="M410">
        <v>267.95999999999998</v>
      </c>
      <c r="N410">
        <v>93.17</v>
      </c>
      <c r="O410">
        <v>186.34</v>
      </c>
      <c r="P410">
        <v>81.619999999999905</v>
      </c>
      <c r="Q410">
        <v>30.459770114942501</v>
      </c>
    </row>
    <row r="411" spans="1:17" x14ac:dyDescent="0.25">
      <c r="A411">
        <v>10410</v>
      </c>
      <c r="B411" s="1">
        <v>46067</v>
      </c>
      <c r="C411">
        <v>3104</v>
      </c>
      <c r="D411" t="s">
        <v>29</v>
      </c>
      <c r="E411" t="s">
        <v>24</v>
      </c>
      <c r="F411" t="s">
        <v>33</v>
      </c>
      <c r="G411" t="s">
        <v>27</v>
      </c>
      <c r="H411">
        <v>1</v>
      </c>
      <c r="I411">
        <v>42.94</v>
      </c>
      <c r="J411">
        <v>0</v>
      </c>
      <c r="K411">
        <v>42.94</v>
      </c>
      <c r="L411">
        <v>0</v>
      </c>
      <c r="M411">
        <v>42.94</v>
      </c>
      <c r="N411">
        <v>147.63999999999999</v>
      </c>
      <c r="O411">
        <v>147.63999999999999</v>
      </c>
      <c r="P411">
        <v>-104.69999999999899</v>
      </c>
      <c r="Q411">
        <v>-243.82859804378199</v>
      </c>
    </row>
    <row r="412" spans="1:17" x14ac:dyDescent="0.25">
      <c r="A412">
        <v>10411</v>
      </c>
      <c r="B412" s="1">
        <v>46068</v>
      </c>
      <c r="C412">
        <v>3605</v>
      </c>
      <c r="D412" t="s">
        <v>17</v>
      </c>
      <c r="E412" t="s">
        <v>24</v>
      </c>
      <c r="F412" t="s">
        <v>19</v>
      </c>
      <c r="G412" t="s">
        <v>31</v>
      </c>
      <c r="H412">
        <v>2</v>
      </c>
      <c r="I412">
        <v>38.93</v>
      </c>
      <c r="J412">
        <v>5</v>
      </c>
      <c r="K412">
        <v>77.86</v>
      </c>
      <c r="L412">
        <v>3.8929999999999998</v>
      </c>
      <c r="M412">
        <v>73.966999999999999</v>
      </c>
      <c r="N412">
        <v>92.41</v>
      </c>
      <c r="O412">
        <v>184.82</v>
      </c>
      <c r="P412">
        <v>-110.85299999999999</v>
      </c>
      <c r="Q412">
        <v>-149.868184460637</v>
      </c>
    </row>
    <row r="413" spans="1:17" x14ac:dyDescent="0.25">
      <c r="A413">
        <v>10412</v>
      </c>
      <c r="B413" s="1">
        <v>46069</v>
      </c>
      <c r="C413">
        <v>3073</v>
      </c>
      <c r="D413" t="s">
        <v>21</v>
      </c>
      <c r="E413" t="s">
        <v>24</v>
      </c>
      <c r="F413" t="s">
        <v>33</v>
      </c>
      <c r="G413" t="s">
        <v>20</v>
      </c>
      <c r="H413">
        <v>7</v>
      </c>
      <c r="I413">
        <v>17.43</v>
      </c>
      <c r="J413">
        <v>10</v>
      </c>
      <c r="K413">
        <v>122.009999999999</v>
      </c>
      <c r="L413">
        <v>12.201000000000001</v>
      </c>
      <c r="M413">
        <v>109.809</v>
      </c>
      <c r="N413">
        <v>63.91</v>
      </c>
      <c r="O413">
        <v>447.37</v>
      </c>
      <c r="P413">
        <v>-337.56099999999998</v>
      </c>
      <c r="Q413">
        <v>-307.40740740740699</v>
      </c>
    </row>
    <row r="414" spans="1:17" x14ac:dyDescent="0.25">
      <c r="A414">
        <v>10413</v>
      </c>
      <c r="B414" s="1">
        <v>46070</v>
      </c>
      <c r="C414">
        <v>3428</v>
      </c>
      <c r="D414" t="s">
        <v>29</v>
      </c>
      <c r="E414" t="s">
        <v>24</v>
      </c>
      <c r="F414" t="s">
        <v>33</v>
      </c>
      <c r="G414" t="s">
        <v>32</v>
      </c>
      <c r="H414">
        <v>8</v>
      </c>
      <c r="I414">
        <v>82.85</v>
      </c>
      <c r="J414">
        <v>10</v>
      </c>
      <c r="K414">
        <v>662.8</v>
      </c>
      <c r="L414">
        <v>66.28</v>
      </c>
      <c r="M414">
        <v>596.52</v>
      </c>
      <c r="N414">
        <v>103.81</v>
      </c>
      <c r="O414">
        <v>830.48</v>
      </c>
      <c r="P414">
        <v>-233.96</v>
      </c>
      <c r="Q414">
        <v>-39.220814054851402</v>
      </c>
    </row>
    <row r="415" spans="1:17" x14ac:dyDescent="0.25">
      <c r="A415">
        <v>10414</v>
      </c>
      <c r="B415" s="1">
        <v>46071</v>
      </c>
      <c r="C415">
        <v>3695</v>
      </c>
      <c r="D415" t="s">
        <v>23</v>
      </c>
      <c r="E415" t="s">
        <v>24</v>
      </c>
      <c r="F415" t="s">
        <v>25</v>
      </c>
      <c r="G415" t="s">
        <v>32</v>
      </c>
      <c r="H415">
        <v>1</v>
      </c>
      <c r="I415">
        <v>41.33</v>
      </c>
      <c r="J415">
        <v>15</v>
      </c>
      <c r="K415">
        <v>41.33</v>
      </c>
      <c r="L415">
        <v>6.1994999999999996</v>
      </c>
      <c r="M415">
        <v>35.130499999999998</v>
      </c>
      <c r="N415">
        <v>114.66</v>
      </c>
      <c r="O415">
        <v>114.66</v>
      </c>
      <c r="P415">
        <v>-79.529499999999999</v>
      </c>
      <c r="Q415">
        <v>-226.38305745719501</v>
      </c>
    </row>
    <row r="416" spans="1:17" x14ac:dyDescent="0.25">
      <c r="A416">
        <v>10415</v>
      </c>
      <c r="B416" s="1">
        <v>46072</v>
      </c>
      <c r="C416">
        <v>3295</v>
      </c>
      <c r="D416" t="s">
        <v>17</v>
      </c>
      <c r="E416" t="s">
        <v>18</v>
      </c>
      <c r="F416" t="s">
        <v>19</v>
      </c>
      <c r="G416" t="s">
        <v>27</v>
      </c>
      <c r="H416">
        <v>7</v>
      </c>
      <c r="I416">
        <v>203.96</v>
      </c>
      <c r="J416">
        <v>5</v>
      </c>
      <c r="K416">
        <v>1427.72</v>
      </c>
      <c r="L416">
        <v>71.385999999999996</v>
      </c>
      <c r="M416">
        <v>1356.3340000000001</v>
      </c>
      <c r="N416">
        <v>104.56</v>
      </c>
      <c r="O416">
        <v>731.92</v>
      </c>
      <c r="P416">
        <v>624.41399999999999</v>
      </c>
      <c r="Q416">
        <v>46.036890618387503</v>
      </c>
    </row>
    <row r="417" spans="1:17" x14ac:dyDescent="0.25">
      <c r="A417">
        <v>10416</v>
      </c>
      <c r="B417" s="1">
        <v>46073</v>
      </c>
      <c r="C417">
        <v>3206</v>
      </c>
      <c r="D417" t="s">
        <v>21</v>
      </c>
      <c r="E417" t="s">
        <v>24</v>
      </c>
      <c r="F417" t="s">
        <v>19</v>
      </c>
      <c r="G417" t="s">
        <v>22</v>
      </c>
      <c r="H417">
        <v>2</v>
      </c>
      <c r="I417">
        <v>130.84</v>
      </c>
      <c r="J417">
        <v>10</v>
      </c>
      <c r="K417">
        <v>261.68</v>
      </c>
      <c r="L417">
        <v>26.167999999999999</v>
      </c>
      <c r="M417">
        <v>235.512</v>
      </c>
      <c r="N417">
        <v>35.61</v>
      </c>
      <c r="O417">
        <v>71.22</v>
      </c>
      <c r="P417">
        <v>164.292</v>
      </c>
      <c r="Q417">
        <v>69.759502700499297</v>
      </c>
    </row>
    <row r="418" spans="1:17" x14ac:dyDescent="0.25">
      <c r="A418">
        <v>10417</v>
      </c>
      <c r="B418" s="1">
        <v>46074</v>
      </c>
      <c r="C418">
        <v>3966</v>
      </c>
      <c r="D418" t="s">
        <v>21</v>
      </c>
      <c r="E418" t="s">
        <v>18</v>
      </c>
      <c r="F418" t="s">
        <v>26</v>
      </c>
      <c r="G418" t="s">
        <v>30</v>
      </c>
      <c r="H418">
        <v>2</v>
      </c>
      <c r="I418">
        <v>147.21</v>
      </c>
      <c r="J418">
        <v>20</v>
      </c>
      <c r="K418">
        <v>294.42</v>
      </c>
      <c r="L418">
        <v>58.884</v>
      </c>
      <c r="M418">
        <v>235.536</v>
      </c>
      <c r="N418">
        <v>8.0299999999999994</v>
      </c>
      <c r="O418">
        <v>16.059999999999999</v>
      </c>
      <c r="P418">
        <v>219.476</v>
      </c>
      <c r="Q418">
        <v>93.181509408328196</v>
      </c>
    </row>
    <row r="419" spans="1:17" x14ac:dyDescent="0.25">
      <c r="A419">
        <v>10418</v>
      </c>
      <c r="B419" s="1">
        <v>46075</v>
      </c>
      <c r="C419">
        <v>3190</v>
      </c>
      <c r="D419" t="s">
        <v>23</v>
      </c>
      <c r="E419" t="s">
        <v>24</v>
      </c>
      <c r="F419" t="s">
        <v>33</v>
      </c>
      <c r="G419" t="s">
        <v>27</v>
      </c>
      <c r="H419">
        <v>1</v>
      </c>
      <c r="I419">
        <v>120.22</v>
      </c>
      <c r="J419">
        <v>0</v>
      </c>
      <c r="K419">
        <v>120.22</v>
      </c>
      <c r="L419">
        <v>0</v>
      </c>
      <c r="M419">
        <v>120.22</v>
      </c>
      <c r="N419">
        <v>50.95</v>
      </c>
      <c r="O419">
        <v>50.95</v>
      </c>
      <c r="P419">
        <v>69.27</v>
      </c>
      <c r="Q419">
        <v>57.6193644984195</v>
      </c>
    </row>
    <row r="420" spans="1:17" x14ac:dyDescent="0.25">
      <c r="A420">
        <v>10419</v>
      </c>
      <c r="B420" s="1">
        <v>46076</v>
      </c>
      <c r="C420">
        <v>3386</v>
      </c>
      <c r="D420" t="s">
        <v>17</v>
      </c>
      <c r="E420" t="s">
        <v>24</v>
      </c>
      <c r="F420" t="s">
        <v>19</v>
      </c>
      <c r="G420" t="s">
        <v>31</v>
      </c>
      <c r="H420">
        <v>1</v>
      </c>
      <c r="I420">
        <v>168.83</v>
      </c>
      <c r="J420">
        <v>10</v>
      </c>
      <c r="K420">
        <v>168.83</v>
      </c>
      <c r="L420">
        <v>16.882999999999999</v>
      </c>
      <c r="M420">
        <v>151.947</v>
      </c>
      <c r="N420">
        <v>68.03</v>
      </c>
      <c r="O420">
        <v>68.03</v>
      </c>
      <c r="P420">
        <v>83.917000000000002</v>
      </c>
      <c r="Q420">
        <v>55.227809696802098</v>
      </c>
    </row>
    <row r="421" spans="1:17" x14ac:dyDescent="0.25">
      <c r="A421">
        <v>10420</v>
      </c>
      <c r="B421" s="1">
        <v>46077</v>
      </c>
      <c r="C421">
        <v>3549</v>
      </c>
      <c r="D421" t="s">
        <v>21</v>
      </c>
      <c r="E421" t="s">
        <v>18</v>
      </c>
      <c r="F421" t="s">
        <v>26</v>
      </c>
      <c r="G421" t="s">
        <v>27</v>
      </c>
      <c r="H421">
        <v>4</v>
      </c>
      <c r="I421">
        <v>135.77000000000001</v>
      </c>
      <c r="J421">
        <v>15</v>
      </c>
      <c r="K421">
        <v>543.08000000000004</v>
      </c>
      <c r="L421">
        <v>81.462000000000003</v>
      </c>
      <c r="M421">
        <v>461.61799999999999</v>
      </c>
      <c r="N421">
        <v>125.54</v>
      </c>
      <c r="O421">
        <v>502.16</v>
      </c>
      <c r="P421">
        <v>-40.541999999999902</v>
      </c>
      <c r="Q421">
        <v>-8.7825864675987404</v>
      </c>
    </row>
    <row r="422" spans="1:17" x14ac:dyDescent="0.25">
      <c r="A422">
        <v>10421</v>
      </c>
      <c r="B422" s="1">
        <v>46078</v>
      </c>
      <c r="C422">
        <v>3342</v>
      </c>
      <c r="D422" t="s">
        <v>29</v>
      </c>
      <c r="E422" t="s">
        <v>18</v>
      </c>
      <c r="F422" t="s">
        <v>19</v>
      </c>
      <c r="G422" t="s">
        <v>32</v>
      </c>
      <c r="H422">
        <v>5</v>
      </c>
      <c r="I422">
        <v>234.23</v>
      </c>
      <c r="J422">
        <v>20</v>
      </c>
      <c r="K422">
        <v>1171.1499999999901</v>
      </c>
      <c r="L422">
        <v>234.23</v>
      </c>
      <c r="M422">
        <v>936.91999999999905</v>
      </c>
      <c r="N422">
        <v>17.809999999999999</v>
      </c>
      <c r="O422">
        <v>89.05</v>
      </c>
      <c r="P422">
        <v>847.86999999999898</v>
      </c>
      <c r="Q422">
        <v>90.495453187038393</v>
      </c>
    </row>
    <row r="423" spans="1:17" x14ac:dyDescent="0.25">
      <c r="A423">
        <v>10422</v>
      </c>
      <c r="B423" s="1">
        <v>46079</v>
      </c>
      <c r="C423">
        <v>3241</v>
      </c>
      <c r="D423" t="s">
        <v>29</v>
      </c>
      <c r="E423" t="s">
        <v>24</v>
      </c>
      <c r="F423" t="s">
        <v>33</v>
      </c>
      <c r="G423" t="s">
        <v>22</v>
      </c>
      <c r="H423">
        <v>8</v>
      </c>
      <c r="I423">
        <v>212</v>
      </c>
      <c r="J423">
        <v>15</v>
      </c>
      <c r="K423">
        <v>1696</v>
      </c>
      <c r="L423">
        <v>254.39999999999901</v>
      </c>
      <c r="M423">
        <v>1441.6</v>
      </c>
      <c r="N423">
        <v>127.33</v>
      </c>
      <c r="O423">
        <v>1018.64</v>
      </c>
      <c r="P423">
        <v>422.95999999999901</v>
      </c>
      <c r="Q423">
        <v>29.339622641509401</v>
      </c>
    </row>
    <row r="424" spans="1:17" x14ac:dyDescent="0.25">
      <c r="A424">
        <v>10423</v>
      </c>
      <c r="B424" s="1">
        <v>46080</v>
      </c>
      <c r="C424">
        <v>3814</v>
      </c>
      <c r="D424" t="s">
        <v>29</v>
      </c>
      <c r="E424" t="s">
        <v>24</v>
      </c>
      <c r="F424" t="s">
        <v>26</v>
      </c>
      <c r="G424" t="s">
        <v>32</v>
      </c>
      <c r="H424">
        <v>8</v>
      </c>
      <c r="I424">
        <v>54.55</v>
      </c>
      <c r="J424">
        <v>10</v>
      </c>
      <c r="K424">
        <v>436.4</v>
      </c>
      <c r="L424">
        <v>43.64</v>
      </c>
      <c r="M424">
        <v>392.76</v>
      </c>
      <c r="N424">
        <v>13.62</v>
      </c>
      <c r="O424">
        <v>108.96</v>
      </c>
      <c r="P424">
        <v>283.8</v>
      </c>
      <c r="Q424">
        <v>72.257867399938903</v>
      </c>
    </row>
    <row r="425" spans="1:17" x14ac:dyDescent="0.25">
      <c r="A425">
        <v>10424</v>
      </c>
      <c r="B425" s="1">
        <v>46081</v>
      </c>
      <c r="C425">
        <v>3265</v>
      </c>
      <c r="D425" t="s">
        <v>17</v>
      </c>
      <c r="E425" t="s">
        <v>24</v>
      </c>
      <c r="F425" t="s">
        <v>19</v>
      </c>
      <c r="G425" t="s">
        <v>32</v>
      </c>
      <c r="H425">
        <v>8</v>
      </c>
      <c r="I425">
        <v>219.66</v>
      </c>
      <c r="J425">
        <v>10</v>
      </c>
      <c r="K425">
        <v>1757.28</v>
      </c>
      <c r="L425">
        <v>175.72800000000001</v>
      </c>
      <c r="M425">
        <v>1581.5519999999999</v>
      </c>
      <c r="N425">
        <v>50.52</v>
      </c>
      <c r="O425">
        <v>404.16</v>
      </c>
      <c r="P425">
        <v>1177.39199999999</v>
      </c>
      <c r="Q425">
        <v>74.445354942486802</v>
      </c>
    </row>
    <row r="426" spans="1:17" x14ac:dyDescent="0.25">
      <c r="A426">
        <v>10425</v>
      </c>
      <c r="B426" s="1">
        <v>46082</v>
      </c>
      <c r="C426">
        <v>3675</v>
      </c>
      <c r="D426" t="s">
        <v>29</v>
      </c>
      <c r="E426" t="s">
        <v>24</v>
      </c>
      <c r="F426" t="s">
        <v>19</v>
      </c>
      <c r="G426" t="s">
        <v>27</v>
      </c>
      <c r="H426">
        <v>2</v>
      </c>
      <c r="I426">
        <v>122.67</v>
      </c>
      <c r="J426">
        <v>0</v>
      </c>
      <c r="K426">
        <v>245.34</v>
      </c>
      <c r="L426">
        <v>0</v>
      </c>
      <c r="M426">
        <v>245.34</v>
      </c>
      <c r="N426">
        <v>63.59</v>
      </c>
      <c r="O426">
        <v>127.18</v>
      </c>
      <c r="P426">
        <v>118.16</v>
      </c>
      <c r="Q426">
        <v>48.161734735469103</v>
      </c>
    </row>
    <row r="427" spans="1:17" x14ac:dyDescent="0.25">
      <c r="A427">
        <v>10426</v>
      </c>
      <c r="B427" s="1">
        <v>46083</v>
      </c>
      <c r="C427">
        <v>3527</v>
      </c>
      <c r="D427" t="s">
        <v>21</v>
      </c>
      <c r="E427" t="s">
        <v>24</v>
      </c>
      <c r="F427" t="s">
        <v>26</v>
      </c>
      <c r="G427" t="s">
        <v>27</v>
      </c>
      <c r="H427">
        <v>1</v>
      </c>
      <c r="I427">
        <v>242.37</v>
      </c>
      <c r="J427">
        <v>5</v>
      </c>
      <c r="K427">
        <v>242.37</v>
      </c>
      <c r="L427">
        <v>12.118499999999999</v>
      </c>
      <c r="M427">
        <v>230.25149999999999</v>
      </c>
      <c r="N427">
        <v>140.1</v>
      </c>
      <c r="O427">
        <v>140.1</v>
      </c>
      <c r="P427">
        <v>90.151499999999999</v>
      </c>
      <c r="Q427">
        <v>39.153490856737001</v>
      </c>
    </row>
    <row r="428" spans="1:17" x14ac:dyDescent="0.25">
      <c r="A428">
        <v>10427</v>
      </c>
      <c r="B428" s="1">
        <v>46084</v>
      </c>
      <c r="C428">
        <v>3916</v>
      </c>
      <c r="D428" t="s">
        <v>29</v>
      </c>
      <c r="E428" t="s">
        <v>24</v>
      </c>
      <c r="F428" t="s">
        <v>26</v>
      </c>
      <c r="G428" t="s">
        <v>20</v>
      </c>
      <c r="H428">
        <v>4</v>
      </c>
      <c r="I428">
        <v>153.54</v>
      </c>
      <c r="J428">
        <v>0</v>
      </c>
      <c r="K428">
        <v>614.16</v>
      </c>
      <c r="L428">
        <v>0</v>
      </c>
      <c r="M428">
        <v>614.16</v>
      </c>
      <c r="N428">
        <v>142.61000000000001</v>
      </c>
      <c r="O428">
        <v>570.44000000000005</v>
      </c>
      <c r="P428">
        <v>43.719999999999899</v>
      </c>
      <c r="Q428">
        <v>7.1186661456297902</v>
      </c>
    </row>
    <row r="429" spans="1:17" x14ac:dyDescent="0.25">
      <c r="A429">
        <v>10428</v>
      </c>
      <c r="B429" s="1">
        <v>46085</v>
      </c>
      <c r="C429">
        <v>3672</v>
      </c>
      <c r="D429" t="s">
        <v>29</v>
      </c>
      <c r="E429" t="s">
        <v>24</v>
      </c>
      <c r="F429" t="s">
        <v>19</v>
      </c>
      <c r="G429" t="s">
        <v>31</v>
      </c>
      <c r="H429">
        <v>6</v>
      </c>
      <c r="I429">
        <v>10.02</v>
      </c>
      <c r="J429">
        <v>15</v>
      </c>
      <c r="K429">
        <v>60.12</v>
      </c>
      <c r="L429">
        <v>9.01799999999999</v>
      </c>
      <c r="M429">
        <v>51.101999999999997</v>
      </c>
      <c r="N429">
        <v>10.9</v>
      </c>
      <c r="O429">
        <v>65.400000000000006</v>
      </c>
      <c r="P429">
        <v>-14.298</v>
      </c>
      <c r="Q429">
        <v>-27.979335446753499</v>
      </c>
    </row>
    <row r="430" spans="1:17" x14ac:dyDescent="0.25">
      <c r="A430">
        <v>10429</v>
      </c>
      <c r="B430" s="1">
        <v>46086</v>
      </c>
      <c r="C430">
        <v>3867</v>
      </c>
      <c r="D430" t="s">
        <v>23</v>
      </c>
      <c r="E430" t="s">
        <v>24</v>
      </c>
      <c r="F430" t="s">
        <v>26</v>
      </c>
      <c r="G430" t="s">
        <v>31</v>
      </c>
      <c r="H430">
        <v>8</v>
      </c>
      <c r="I430">
        <v>12.15</v>
      </c>
      <c r="J430">
        <v>15</v>
      </c>
      <c r="K430">
        <v>97.2</v>
      </c>
      <c r="L430">
        <v>14.58</v>
      </c>
      <c r="M430">
        <v>82.62</v>
      </c>
      <c r="N430">
        <v>33.409999999999997</v>
      </c>
      <c r="O430">
        <v>267.27999999999997</v>
      </c>
      <c r="P430">
        <v>-184.659999999999</v>
      </c>
      <c r="Q430">
        <v>-223.50520455095599</v>
      </c>
    </row>
    <row r="431" spans="1:17" x14ac:dyDescent="0.25">
      <c r="A431">
        <v>10430</v>
      </c>
      <c r="B431" s="1">
        <v>46087</v>
      </c>
      <c r="C431">
        <v>3917</v>
      </c>
      <c r="D431" t="s">
        <v>17</v>
      </c>
      <c r="E431" t="s">
        <v>24</v>
      </c>
      <c r="F431" t="s">
        <v>26</v>
      </c>
      <c r="G431" t="s">
        <v>22</v>
      </c>
      <c r="H431">
        <v>9</v>
      </c>
      <c r="I431">
        <v>74.72</v>
      </c>
      <c r="J431">
        <v>0</v>
      </c>
      <c r="K431">
        <v>672.48</v>
      </c>
      <c r="L431">
        <v>0</v>
      </c>
      <c r="M431">
        <v>672.48</v>
      </c>
      <c r="N431">
        <v>69.989999999999995</v>
      </c>
      <c r="O431">
        <v>629.91</v>
      </c>
      <c r="P431">
        <v>42.57</v>
      </c>
      <c r="Q431">
        <v>6.3302997858672398</v>
      </c>
    </row>
    <row r="432" spans="1:17" x14ac:dyDescent="0.25">
      <c r="A432">
        <v>10431</v>
      </c>
      <c r="B432" s="1">
        <v>46088</v>
      </c>
      <c r="C432">
        <v>3198</v>
      </c>
      <c r="D432" t="s">
        <v>17</v>
      </c>
      <c r="E432" t="s">
        <v>24</v>
      </c>
      <c r="F432" t="s">
        <v>25</v>
      </c>
      <c r="G432" t="s">
        <v>30</v>
      </c>
      <c r="H432">
        <v>9</v>
      </c>
      <c r="I432">
        <v>207.58</v>
      </c>
      <c r="J432">
        <v>10</v>
      </c>
      <c r="K432">
        <v>1868.22</v>
      </c>
      <c r="L432">
        <v>186.822</v>
      </c>
      <c r="M432">
        <v>1681.3979999999999</v>
      </c>
      <c r="N432">
        <v>44.5</v>
      </c>
      <c r="O432">
        <v>400.5</v>
      </c>
      <c r="P432">
        <v>1280.8979999999999</v>
      </c>
      <c r="Q432">
        <v>76.180535482973099</v>
      </c>
    </row>
    <row r="433" spans="1:17" x14ac:dyDescent="0.25">
      <c r="A433">
        <v>10432</v>
      </c>
      <c r="B433" s="1">
        <v>46089</v>
      </c>
      <c r="C433">
        <v>3468</v>
      </c>
      <c r="D433" t="s">
        <v>17</v>
      </c>
      <c r="E433" t="s">
        <v>18</v>
      </c>
      <c r="F433" t="s">
        <v>25</v>
      </c>
      <c r="G433" t="s">
        <v>20</v>
      </c>
      <c r="H433">
        <v>7</v>
      </c>
      <c r="I433">
        <v>142.82</v>
      </c>
      <c r="J433">
        <v>15</v>
      </c>
      <c r="K433">
        <v>999.74</v>
      </c>
      <c r="L433">
        <v>149.96099999999899</v>
      </c>
      <c r="M433">
        <v>849.779</v>
      </c>
      <c r="N433">
        <v>143.24</v>
      </c>
      <c r="O433">
        <v>1002.68</v>
      </c>
      <c r="P433">
        <v>-152.90100000000001</v>
      </c>
      <c r="Q433">
        <v>-17.993031129270001</v>
      </c>
    </row>
    <row r="434" spans="1:17" x14ac:dyDescent="0.25">
      <c r="A434">
        <v>10433</v>
      </c>
      <c r="B434" s="1">
        <v>46090</v>
      </c>
      <c r="C434">
        <v>3896</v>
      </c>
      <c r="D434" t="s">
        <v>23</v>
      </c>
      <c r="E434" t="s">
        <v>24</v>
      </c>
      <c r="F434" t="s">
        <v>19</v>
      </c>
      <c r="G434" t="s">
        <v>32</v>
      </c>
      <c r="H434">
        <v>1</v>
      </c>
      <c r="I434">
        <v>29.68</v>
      </c>
      <c r="J434">
        <v>10</v>
      </c>
      <c r="K434">
        <v>29.68</v>
      </c>
      <c r="L434">
        <v>2.968</v>
      </c>
      <c r="M434">
        <v>26.712</v>
      </c>
      <c r="N434">
        <v>93.76</v>
      </c>
      <c r="O434">
        <v>93.76</v>
      </c>
      <c r="P434">
        <v>-67.048000000000002</v>
      </c>
      <c r="Q434">
        <v>-251.00329439952</v>
      </c>
    </row>
    <row r="435" spans="1:17" x14ac:dyDescent="0.25">
      <c r="A435">
        <v>10434</v>
      </c>
      <c r="B435" s="1">
        <v>46091</v>
      </c>
      <c r="C435">
        <v>3212</v>
      </c>
      <c r="D435" t="s">
        <v>17</v>
      </c>
      <c r="E435" t="s">
        <v>18</v>
      </c>
      <c r="F435" t="s">
        <v>19</v>
      </c>
      <c r="G435" t="s">
        <v>30</v>
      </c>
      <c r="H435">
        <v>9</v>
      </c>
      <c r="I435">
        <v>128.07</v>
      </c>
      <c r="J435">
        <v>20</v>
      </c>
      <c r="K435">
        <v>1152.6299999999901</v>
      </c>
      <c r="L435">
        <v>230.52599999999899</v>
      </c>
      <c r="M435">
        <v>922.10399999999902</v>
      </c>
      <c r="N435">
        <v>52.35</v>
      </c>
      <c r="O435">
        <v>471.15</v>
      </c>
      <c r="P435">
        <v>450.95399999999898</v>
      </c>
      <c r="Q435">
        <v>48.904895760131097</v>
      </c>
    </row>
    <row r="436" spans="1:17" x14ac:dyDescent="0.25">
      <c r="A436">
        <v>10435</v>
      </c>
      <c r="B436" s="1">
        <v>46092</v>
      </c>
      <c r="C436">
        <v>3545</v>
      </c>
      <c r="D436" t="s">
        <v>23</v>
      </c>
      <c r="E436" t="s">
        <v>24</v>
      </c>
      <c r="F436" t="s">
        <v>26</v>
      </c>
      <c r="G436" t="s">
        <v>22</v>
      </c>
      <c r="H436">
        <v>6</v>
      </c>
      <c r="I436">
        <v>60.95</v>
      </c>
      <c r="J436">
        <v>15</v>
      </c>
      <c r="K436">
        <v>365.7</v>
      </c>
      <c r="L436">
        <v>54.854999999999997</v>
      </c>
      <c r="M436">
        <v>310.84500000000003</v>
      </c>
      <c r="N436">
        <v>91.96</v>
      </c>
      <c r="O436">
        <v>551.76</v>
      </c>
      <c r="P436">
        <v>-240.914999999999</v>
      </c>
      <c r="Q436">
        <v>-77.503257250398093</v>
      </c>
    </row>
    <row r="437" spans="1:17" x14ac:dyDescent="0.25">
      <c r="A437">
        <v>10436</v>
      </c>
      <c r="B437" s="1">
        <v>46093</v>
      </c>
      <c r="C437">
        <v>3533</v>
      </c>
      <c r="D437" t="s">
        <v>21</v>
      </c>
      <c r="E437" t="s">
        <v>24</v>
      </c>
      <c r="F437" t="s">
        <v>33</v>
      </c>
      <c r="G437" t="s">
        <v>20</v>
      </c>
      <c r="H437">
        <v>4</v>
      </c>
      <c r="I437">
        <v>22.98</v>
      </c>
      <c r="J437">
        <v>20</v>
      </c>
      <c r="K437">
        <v>91.92</v>
      </c>
      <c r="L437">
        <v>18.384</v>
      </c>
      <c r="M437">
        <v>73.536000000000001</v>
      </c>
      <c r="N437">
        <v>102.79</v>
      </c>
      <c r="O437">
        <v>411.16</v>
      </c>
      <c r="P437">
        <v>-337.62400000000002</v>
      </c>
      <c r="Q437">
        <v>-459.12750217580498</v>
      </c>
    </row>
    <row r="438" spans="1:17" x14ac:dyDescent="0.25">
      <c r="A438">
        <v>10437</v>
      </c>
      <c r="B438" s="1">
        <v>46094</v>
      </c>
      <c r="C438">
        <v>3834</v>
      </c>
      <c r="D438" t="s">
        <v>21</v>
      </c>
      <c r="E438" t="s">
        <v>18</v>
      </c>
      <c r="F438" t="s">
        <v>26</v>
      </c>
      <c r="G438" t="s">
        <v>32</v>
      </c>
      <c r="H438">
        <v>2</v>
      </c>
      <c r="I438">
        <v>96.01</v>
      </c>
      <c r="J438">
        <v>10</v>
      </c>
      <c r="K438">
        <v>192.02</v>
      </c>
      <c r="L438">
        <v>19.202000000000002</v>
      </c>
      <c r="M438">
        <v>172.81800000000001</v>
      </c>
      <c r="N438">
        <v>129.21</v>
      </c>
      <c r="O438">
        <v>258.42</v>
      </c>
      <c r="P438">
        <v>-85.602000000000004</v>
      </c>
      <c r="Q438">
        <v>-49.533034753324301</v>
      </c>
    </row>
    <row r="439" spans="1:17" x14ac:dyDescent="0.25">
      <c r="A439">
        <v>10438</v>
      </c>
      <c r="B439" s="1">
        <v>46095</v>
      </c>
      <c r="C439">
        <v>3267</v>
      </c>
      <c r="D439" t="s">
        <v>21</v>
      </c>
      <c r="E439" t="s">
        <v>18</v>
      </c>
      <c r="F439" t="s">
        <v>33</v>
      </c>
      <c r="G439" t="s">
        <v>27</v>
      </c>
      <c r="H439">
        <v>2</v>
      </c>
      <c r="I439">
        <v>54.08</v>
      </c>
      <c r="J439">
        <v>5</v>
      </c>
      <c r="K439">
        <v>108.16</v>
      </c>
      <c r="L439">
        <v>5.4080000000000004</v>
      </c>
      <c r="M439">
        <v>102.752</v>
      </c>
      <c r="N439">
        <v>133.69</v>
      </c>
      <c r="O439">
        <v>267.38</v>
      </c>
      <c r="P439">
        <v>-164.62799999999999</v>
      </c>
      <c r="Q439">
        <v>-160.21877919651101</v>
      </c>
    </row>
    <row r="440" spans="1:17" x14ac:dyDescent="0.25">
      <c r="A440">
        <v>10439</v>
      </c>
      <c r="B440" s="1">
        <v>46096</v>
      </c>
      <c r="C440">
        <v>3303</v>
      </c>
      <c r="D440" t="s">
        <v>23</v>
      </c>
      <c r="E440" t="s">
        <v>18</v>
      </c>
      <c r="F440" t="s">
        <v>33</v>
      </c>
      <c r="G440" t="s">
        <v>28</v>
      </c>
      <c r="H440">
        <v>8</v>
      </c>
      <c r="I440">
        <v>53.37</v>
      </c>
      <c r="J440">
        <v>15</v>
      </c>
      <c r="K440">
        <v>426.96</v>
      </c>
      <c r="L440">
        <v>64.043999999999997</v>
      </c>
      <c r="M440">
        <v>362.916</v>
      </c>
      <c r="N440">
        <v>66.08</v>
      </c>
      <c r="O440">
        <v>528.64</v>
      </c>
      <c r="P440">
        <v>-165.72399999999999</v>
      </c>
      <c r="Q440">
        <v>-45.664561496324197</v>
      </c>
    </row>
    <row r="441" spans="1:17" x14ac:dyDescent="0.25">
      <c r="A441">
        <v>10440</v>
      </c>
      <c r="B441" s="1">
        <v>46097</v>
      </c>
      <c r="C441">
        <v>3139</v>
      </c>
      <c r="D441" t="s">
        <v>17</v>
      </c>
      <c r="E441" t="s">
        <v>24</v>
      </c>
      <c r="F441" t="s">
        <v>25</v>
      </c>
      <c r="G441" t="s">
        <v>31</v>
      </c>
      <c r="H441">
        <v>5</v>
      </c>
      <c r="I441">
        <v>136.07</v>
      </c>
      <c r="J441">
        <v>15</v>
      </c>
      <c r="K441">
        <v>680.349999999999</v>
      </c>
      <c r="L441">
        <v>102.052499999999</v>
      </c>
      <c r="M441">
        <v>578.29749999999899</v>
      </c>
      <c r="N441">
        <v>114.96</v>
      </c>
      <c r="O441">
        <v>574.79999999999995</v>
      </c>
      <c r="P441">
        <v>3.4974999999999401</v>
      </c>
      <c r="Q441">
        <v>0.60479251596279504</v>
      </c>
    </row>
    <row r="442" spans="1:17" x14ac:dyDescent="0.25">
      <c r="A442">
        <v>10441</v>
      </c>
      <c r="B442" s="1">
        <v>46098</v>
      </c>
      <c r="C442">
        <v>3036</v>
      </c>
      <c r="D442" t="s">
        <v>21</v>
      </c>
      <c r="E442" t="s">
        <v>24</v>
      </c>
      <c r="F442" t="s">
        <v>19</v>
      </c>
      <c r="G442" t="s">
        <v>28</v>
      </c>
      <c r="H442">
        <v>5</v>
      </c>
      <c r="I442">
        <v>188.95</v>
      </c>
      <c r="J442">
        <v>20</v>
      </c>
      <c r="K442">
        <v>944.75</v>
      </c>
      <c r="L442">
        <v>188.95</v>
      </c>
      <c r="M442">
        <v>755.8</v>
      </c>
      <c r="N442">
        <v>146.16</v>
      </c>
      <c r="O442">
        <v>730.8</v>
      </c>
      <c r="P442">
        <v>25</v>
      </c>
      <c r="Q442">
        <v>3.3077533739084402</v>
      </c>
    </row>
    <row r="443" spans="1:17" x14ac:dyDescent="0.25">
      <c r="A443">
        <v>10442</v>
      </c>
      <c r="B443" s="1">
        <v>46099</v>
      </c>
      <c r="C443">
        <v>3456</v>
      </c>
      <c r="D443" t="s">
        <v>29</v>
      </c>
      <c r="E443" t="s">
        <v>18</v>
      </c>
      <c r="F443" t="s">
        <v>26</v>
      </c>
      <c r="G443" t="s">
        <v>32</v>
      </c>
      <c r="H443">
        <v>9</v>
      </c>
      <c r="I443">
        <v>248.42</v>
      </c>
      <c r="J443">
        <v>20</v>
      </c>
      <c r="K443">
        <v>2235.7799999999902</v>
      </c>
      <c r="L443">
        <v>447.15599999999898</v>
      </c>
      <c r="M443">
        <v>1788.62399999999</v>
      </c>
      <c r="N443">
        <v>82.4</v>
      </c>
      <c r="O443">
        <v>741.6</v>
      </c>
      <c r="P443">
        <v>1047.0239999999999</v>
      </c>
      <c r="Q443">
        <v>58.5379599066097</v>
      </c>
    </row>
    <row r="444" spans="1:17" x14ac:dyDescent="0.25">
      <c r="A444">
        <v>10443</v>
      </c>
      <c r="B444" s="1">
        <v>46100</v>
      </c>
      <c r="C444">
        <v>3749</v>
      </c>
      <c r="D444" t="s">
        <v>17</v>
      </c>
      <c r="E444" t="s">
        <v>24</v>
      </c>
      <c r="F444" t="s">
        <v>33</v>
      </c>
      <c r="G444" t="s">
        <v>28</v>
      </c>
      <c r="H444">
        <v>4</v>
      </c>
      <c r="I444">
        <v>178.41</v>
      </c>
      <c r="J444">
        <v>0</v>
      </c>
      <c r="K444">
        <v>713.64</v>
      </c>
      <c r="L444">
        <v>0</v>
      </c>
      <c r="M444">
        <v>713.64</v>
      </c>
      <c r="N444">
        <v>111.08</v>
      </c>
      <c r="O444">
        <v>444.32</v>
      </c>
      <c r="P444">
        <v>269.32</v>
      </c>
      <c r="Q444">
        <v>37.738915980045903</v>
      </c>
    </row>
    <row r="445" spans="1:17" x14ac:dyDescent="0.25">
      <c r="A445">
        <v>10444</v>
      </c>
      <c r="B445" s="1">
        <v>46101</v>
      </c>
      <c r="C445">
        <v>3683</v>
      </c>
      <c r="D445" t="s">
        <v>17</v>
      </c>
      <c r="E445" t="s">
        <v>18</v>
      </c>
      <c r="F445" t="s">
        <v>25</v>
      </c>
      <c r="G445" t="s">
        <v>27</v>
      </c>
      <c r="H445">
        <v>3</v>
      </c>
      <c r="I445">
        <v>44.56</v>
      </c>
      <c r="J445">
        <v>0</v>
      </c>
      <c r="K445">
        <v>133.68</v>
      </c>
      <c r="L445">
        <v>0</v>
      </c>
      <c r="M445">
        <v>133.68</v>
      </c>
      <c r="N445">
        <v>75.88</v>
      </c>
      <c r="O445">
        <v>227.64</v>
      </c>
      <c r="P445">
        <v>-93.959999999999894</v>
      </c>
      <c r="Q445">
        <v>-70.287253141831201</v>
      </c>
    </row>
    <row r="446" spans="1:17" x14ac:dyDescent="0.25">
      <c r="A446">
        <v>10445</v>
      </c>
      <c r="B446" s="1">
        <v>46102</v>
      </c>
      <c r="C446">
        <v>3765</v>
      </c>
      <c r="D446" t="s">
        <v>23</v>
      </c>
      <c r="E446" t="s">
        <v>24</v>
      </c>
      <c r="F446" t="s">
        <v>33</v>
      </c>
      <c r="G446" t="s">
        <v>32</v>
      </c>
      <c r="H446">
        <v>1</v>
      </c>
      <c r="I446">
        <v>157.41</v>
      </c>
      <c r="J446">
        <v>10</v>
      </c>
      <c r="K446">
        <v>157.41</v>
      </c>
      <c r="L446">
        <v>15.741</v>
      </c>
      <c r="M446">
        <v>141.66899999999899</v>
      </c>
      <c r="N446">
        <v>60.48</v>
      </c>
      <c r="O446">
        <v>60.48</v>
      </c>
      <c r="P446">
        <v>81.188999999999993</v>
      </c>
      <c r="Q446">
        <v>57.3089384410139</v>
      </c>
    </row>
    <row r="447" spans="1:17" x14ac:dyDescent="0.25">
      <c r="A447">
        <v>10446</v>
      </c>
      <c r="B447" s="1">
        <v>46103</v>
      </c>
      <c r="C447">
        <v>3711</v>
      </c>
      <c r="D447" t="s">
        <v>21</v>
      </c>
      <c r="E447" t="s">
        <v>24</v>
      </c>
      <c r="F447" t="s">
        <v>19</v>
      </c>
      <c r="G447" t="s">
        <v>22</v>
      </c>
      <c r="H447">
        <v>1</v>
      </c>
      <c r="I447">
        <v>55.89</v>
      </c>
      <c r="J447">
        <v>15</v>
      </c>
      <c r="K447">
        <v>55.89</v>
      </c>
      <c r="L447">
        <v>8.3834999999999997</v>
      </c>
      <c r="M447">
        <v>47.506500000000003</v>
      </c>
      <c r="N447">
        <v>34.49</v>
      </c>
      <c r="O447">
        <v>34.49</v>
      </c>
      <c r="P447">
        <v>13.016500000000001</v>
      </c>
      <c r="Q447">
        <v>27.399408501994401</v>
      </c>
    </row>
    <row r="448" spans="1:17" x14ac:dyDescent="0.25">
      <c r="A448">
        <v>10447</v>
      </c>
      <c r="B448" s="1">
        <v>46104</v>
      </c>
      <c r="C448">
        <v>3821</v>
      </c>
      <c r="D448" t="s">
        <v>29</v>
      </c>
      <c r="E448" t="s">
        <v>24</v>
      </c>
      <c r="F448" t="s">
        <v>19</v>
      </c>
      <c r="G448" t="s">
        <v>27</v>
      </c>
      <c r="H448">
        <v>6</v>
      </c>
      <c r="I448">
        <v>90.17</v>
      </c>
      <c r="J448">
        <v>10</v>
      </c>
      <c r="K448">
        <v>541.02</v>
      </c>
      <c r="L448">
        <v>54.101999999999997</v>
      </c>
      <c r="M448">
        <v>486.91800000000001</v>
      </c>
      <c r="N448">
        <v>18.22</v>
      </c>
      <c r="O448">
        <v>109.32</v>
      </c>
      <c r="P448">
        <v>377.59800000000001</v>
      </c>
      <c r="Q448">
        <v>77.548581075252898</v>
      </c>
    </row>
    <row r="449" spans="1:17" x14ac:dyDescent="0.25">
      <c r="A449">
        <v>10448</v>
      </c>
      <c r="B449" s="1">
        <v>46105</v>
      </c>
      <c r="C449">
        <v>3775</v>
      </c>
      <c r="D449" t="s">
        <v>17</v>
      </c>
      <c r="E449" t="s">
        <v>18</v>
      </c>
      <c r="F449" t="s">
        <v>26</v>
      </c>
      <c r="G449" t="s">
        <v>30</v>
      </c>
      <c r="H449">
        <v>1</v>
      </c>
      <c r="I449">
        <v>163.62</v>
      </c>
      <c r="J449">
        <v>0</v>
      </c>
      <c r="K449">
        <v>163.62</v>
      </c>
      <c r="L449">
        <v>0</v>
      </c>
      <c r="M449">
        <v>163.62</v>
      </c>
      <c r="N449">
        <v>52.05</v>
      </c>
      <c r="O449">
        <v>52.05</v>
      </c>
      <c r="P449">
        <v>111.57</v>
      </c>
      <c r="Q449">
        <v>68.188485515218105</v>
      </c>
    </row>
    <row r="450" spans="1:17" x14ac:dyDescent="0.25">
      <c r="A450">
        <v>10449</v>
      </c>
      <c r="B450" s="1">
        <v>46106</v>
      </c>
      <c r="C450">
        <v>3405</v>
      </c>
      <c r="D450" t="s">
        <v>21</v>
      </c>
      <c r="E450" t="s">
        <v>24</v>
      </c>
      <c r="F450" t="s">
        <v>26</v>
      </c>
      <c r="G450" t="s">
        <v>20</v>
      </c>
      <c r="H450">
        <v>3</v>
      </c>
      <c r="I450">
        <v>208.83</v>
      </c>
      <c r="J450">
        <v>20</v>
      </c>
      <c r="K450">
        <v>626.49</v>
      </c>
      <c r="L450">
        <v>125.298</v>
      </c>
      <c r="M450">
        <v>501.19200000000001</v>
      </c>
      <c r="N450">
        <v>56.43</v>
      </c>
      <c r="O450">
        <v>169.29</v>
      </c>
      <c r="P450">
        <v>331.90199999999999</v>
      </c>
      <c r="Q450">
        <v>66.222525499209894</v>
      </c>
    </row>
    <row r="451" spans="1:17" x14ac:dyDescent="0.25">
      <c r="A451">
        <v>10450</v>
      </c>
      <c r="B451" s="1">
        <v>46107</v>
      </c>
      <c r="C451">
        <v>3126</v>
      </c>
      <c r="D451" t="s">
        <v>23</v>
      </c>
      <c r="E451" t="s">
        <v>24</v>
      </c>
      <c r="F451" t="s">
        <v>26</v>
      </c>
      <c r="G451" t="s">
        <v>20</v>
      </c>
      <c r="H451">
        <v>8</v>
      </c>
      <c r="I451">
        <v>95.73</v>
      </c>
      <c r="J451">
        <v>5</v>
      </c>
      <c r="K451">
        <v>765.84</v>
      </c>
      <c r="L451">
        <v>38.292000000000002</v>
      </c>
      <c r="M451">
        <v>727.548</v>
      </c>
      <c r="N451">
        <v>87.65</v>
      </c>
      <c r="O451">
        <v>701.2</v>
      </c>
      <c r="P451">
        <v>26.3479999999999</v>
      </c>
      <c r="Q451">
        <v>3.6214792700962599</v>
      </c>
    </row>
    <row r="452" spans="1:17" x14ac:dyDescent="0.25">
      <c r="A452">
        <v>10451</v>
      </c>
      <c r="B452" s="1">
        <v>46108</v>
      </c>
      <c r="C452">
        <v>3275</v>
      </c>
      <c r="D452" t="s">
        <v>29</v>
      </c>
      <c r="E452" t="s">
        <v>18</v>
      </c>
      <c r="F452" t="s">
        <v>25</v>
      </c>
      <c r="G452" t="s">
        <v>28</v>
      </c>
      <c r="H452">
        <v>5</v>
      </c>
      <c r="I452">
        <v>64.489999999999995</v>
      </c>
      <c r="J452">
        <v>10</v>
      </c>
      <c r="K452">
        <v>322.45</v>
      </c>
      <c r="L452">
        <v>32.244999999999997</v>
      </c>
      <c r="M452">
        <v>290.20499999999998</v>
      </c>
      <c r="N452">
        <v>102.23</v>
      </c>
      <c r="O452">
        <v>511.15</v>
      </c>
      <c r="P452">
        <v>-220.94499999999999</v>
      </c>
      <c r="Q452">
        <v>-76.134112093175503</v>
      </c>
    </row>
    <row r="453" spans="1:17" x14ac:dyDescent="0.25">
      <c r="A453">
        <v>10452</v>
      </c>
      <c r="B453" s="1">
        <v>46109</v>
      </c>
      <c r="C453">
        <v>3999</v>
      </c>
      <c r="D453" t="s">
        <v>29</v>
      </c>
      <c r="E453" t="s">
        <v>18</v>
      </c>
      <c r="F453" t="s">
        <v>26</v>
      </c>
      <c r="G453" t="s">
        <v>22</v>
      </c>
      <c r="H453">
        <v>6</v>
      </c>
      <c r="I453">
        <v>36.11</v>
      </c>
      <c r="J453">
        <v>15</v>
      </c>
      <c r="K453">
        <v>216.66</v>
      </c>
      <c r="L453">
        <v>32.498999999999903</v>
      </c>
      <c r="M453">
        <v>184.161</v>
      </c>
      <c r="N453">
        <v>108.06</v>
      </c>
      <c r="O453">
        <v>648.36</v>
      </c>
      <c r="P453">
        <v>-464.19900000000001</v>
      </c>
      <c r="Q453">
        <v>-252.06151139491999</v>
      </c>
    </row>
    <row r="454" spans="1:17" x14ac:dyDescent="0.25">
      <c r="A454">
        <v>10453</v>
      </c>
      <c r="B454" s="1">
        <v>46110</v>
      </c>
      <c r="C454">
        <v>3854</v>
      </c>
      <c r="D454" t="s">
        <v>21</v>
      </c>
      <c r="E454" t="s">
        <v>18</v>
      </c>
      <c r="F454" t="s">
        <v>26</v>
      </c>
      <c r="G454" t="s">
        <v>31</v>
      </c>
      <c r="H454">
        <v>8</v>
      </c>
      <c r="I454">
        <v>146.4</v>
      </c>
      <c r="J454">
        <v>5</v>
      </c>
      <c r="K454">
        <v>1171.2</v>
      </c>
      <c r="L454">
        <v>58.56</v>
      </c>
      <c r="M454">
        <v>1112.6400000000001</v>
      </c>
      <c r="N454">
        <v>116.53</v>
      </c>
      <c r="O454">
        <v>932.24</v>
      </c>
      <c r="P454">
        <v>180.4</v>
      </c>
      <c r="Q454">
        <v>16.213689962611401</v>
      </c>
    </row>
    <row r="455" spans="1:17" x14ac:dyDescent="0.25">
      <c r="A455">
        <v>10454</v>
      </c>
      <c r="B455" s="1">
        <v>46111</v>
      </c>
      <c r="C455">
        <v>3301</v>
      </c>
      <c r="D455" t="s">
        <v>23</v>
      </c>
      <c r="E455" t="s">
        <v>24</v>
      </c>
      <c r="F455" t="s">
        <v>25</v>
      </c>
      <c r="G455" t="s">
        <v>20</v>
      </c>
      <c r="H455">
        <v>9</v>
      </c>
      <c r="I455">
        <v>242</v>
      </c>
      <c r="J455">
        <v>10</v>
      </c>
      <c r="K455">
        <v>2178</v>
      </c>
      <c r="L455">
        <v>217.8</v>
      </c>
      <c r="M455">
        <v>1960.2</v>
      </c>
      <c r="N455">
        <v>87.98</v>
      </c>
      <c r="O455">
        <v>791.82</v>
      </c>
      <c r="P455">
        <v>1168.3800000000001</v>
      </c>
      <c r="Q455">
        <v>59.605142332414999</v>
      </c>
    </row>
    <row r="456" spans="1:17" x14ac:dyDescent="0.25">
      <c r="A456">
        <v>10455</v>
      </c>
      <c r="B456" s="1">
        <v>46112</v>
      </c>
      <c r="C456">
        <v>3434</v>
      </c>
      <c r="D456" t="s">
        <v>17</v>
      </c>
      <c r="E456" t="s">
        <v>24</v>
      </c>
      <c r="F456" t="s">
        <v>26</v>
      </c>
      <c r="G456" t="s">
        <v>20</v>
      </c>
      <c r="H456">
        <v>4</v>
      </c>
      <c r="I456">
        <v>140.34</v>
      </c>
      <c r="J456">
        <v>10</v>
      </c>
      <c r="K456">
        <v>561.36</v>
      </c>
      <c r="L456">
        <v>56.136000000000003</v>
      </c>
      <c r="M456">
        <v>505.22399999999999</v>
      </c>
      <c r="N456">
        <v>79.260000000000005</v>
      </c>
      <c r="O456">
        <v>317.04000000000002</v>
      </c>
      <c r="P456">
        <v>188.183999999999</v>
      </c>
      <c r="Q456">
        <v>37.247636691843603</v>
      </c>
    </row>
    <row r="457" spans="1:17" x14ac:dyDescent="0.25">
      <c r="A457">
        <v>10456</v>
      </c>
      <c r="B457" s="1">
        <v>46113</v>
      </c>
      <c r="C457">
        <v>3227</v>
      </c>
      <c r="D457" t="s">
        <v>29</v>
      </c>
      <c r="E457" t="s">
        <v>24</v>
      </c>
      <c r="F457" t="s">
        <v>33</v>
      </c>
      <c r="G457" t="s">
        <v>28</v>
      </c>
      <c r="H457">
        <v>3</v>
      </c>
      <c r="I457">
        <v>17.73</v>
      </c>
      <c r="J457">
        <v>20</v>
      </c>
      <c r="K457">
        <v>53.19</v>
      </c>
      <c r="L457">
        <v>10.638</v>
      </c>
      <c r="M457">
        <v>42.552</v>
      </c>
      <c r="N457">
        <v>93.7</v>
      </c>
      <c r="O457">
        <v>281.10000000000002</v>
      </c>
      <c r="P457">
        <v>-238.548</v>
      </c>
      <c r="Q457">
        <v>-560.60349689791303</v>
      </c>
    </row>
    <row r="458" spans="1:17" x14ac:dyDescent="0.25">
      <c r="A458">
        <v>10457</v>
      </c>
      <c r="B458" s="1">
        <v>46114</v>
      </c>
      <c r="C458">
        <v>3894</v>
      </c>
      <c r="D458" t="s">
        <v>23</v>
      </c>
      <c r="E458" t="s">
        <v>18</v>
      </c>
      <c r="F458" t="s">
        <v>33</v>
      </c>
      <c r="G458" t="s">
        <v>32</v>
      </c>
      <c r="H458">
        <v>7</v>
      </c>
      <c r="I458">
        <v>83.99</v>
      </c>
      <c r="J458">
        <v>20</v>
      </c>
      <c r="K458">
        <v>587.92999999999995</v>
      </c>
      <c r="L458">
        <v>117.586</v>
      </c>
      <c r="M458">
        <v>470.34399999999903</v>
      </c>
      <c r="N458">
        <v>106.87</v>
      </c>
      <c r="O458">
        <v>748.09</v>
      </c>
      <c r="P458">
        <v>-277.74599999999998</v>
      </c>
      <c r="Q458">
        <v>-59.0516728181926</v>
      </c>
    </row>
    <row r="459" spans="1:17" x14ac:dyDescent="0.25">
      <c r="A459">
        <v>10458</v>
      </c>
      <c r="B459" s="1">
        <v>46115</v>
      </c>
      <c r="C459">
        <v>3849</v>
      </c>
      <c r="D459" t="s">
        <v>21</v>
      </c>
      <c r="E459" t="s">
        <v>24</v>
      </c>
      <c r="F459" t="s">
        <v>25</v>
      </c>
      <c r="G459" t="s">
        <v>30</v>
      </c>
      <c r="H459">
        <v>3</v>
      </c>
      <c r="I459">
        <v>182.49</v>
      </c>
      <c r="J459">
        <v>15</v>
      </c>
      <c r="K459">
        <v>547.47</v>
      </c>
      <c r="L459">
        <v>82.120500000000007</v>
      </c>
      <c r="M459">
        <v>465.34949999999998</v>
      </c>
      <c r="N459">
        <v>127.61</v>
      </c>
      <c r="O459">
        <v>382.83</v>
      </c>
      <c r="P459">
        <v>82.519499999999994</v>
      </c>
      <c r="Q459">
        <v>17.732800830343599</v>
      </c>
    </row>
    <row r="460" spans="1:17" x14ac:dyDescent="0.25">
      <c r="A460">
        <v>10459</v>
      </c>
      <c r="B460" s="1">
        <v>46116</v>
      </c>
      <c r="C460">
        <v>3545</v>
      </c>
      <c r="D460" t="s">
        <v>17</v>
      </c>
      <c r="E460" t="s">
        <v>18</v>
      </c>
      <c r="F460" t="s">
        <v>19</v>
      </c>
      <c r="G460" t="s">
        <v>30</v>
      </c>
      <c r="H460">
        <v>1</v>
      </c>
      <c r="I460">
        <v>237.1</v>
      </c>
      <c r="J460">
        <v>10</v>
      </c>
      <c r="K460">
        <v>237.1</v>
      </c>
      <c r="L460">
        <v>23.71</v>
      </c>
      <c r="M460">
        <v>213.39</v>
      </c>
      <c r="N460">
        <v>41.52</v>
      </c>
      <c r="O460">
        <v>41.52</v>
      </c>
      <c r="P460">
        <v>171.86999999999901</v>
      </c>
      <c r="Q460">
        <v>80.542668353718497</v>
      </c>
    </row>
    <row r="461" spans="1:17" x14ac:dyDescent="0.25">
      <c r="A461">
        <v>10460</v>
      </c>
      <c r="B461" s="1">
        <v>46117</v>
      </c>
      <c r="C461">
        <v>3776</v>
      </c>
      <c r="D461" t="s">
        <v>17</v>
      </c>
      <c r="E461" t="s">
        <v>18</v>
      </c>
      <c r="F461" t="s">
        <v>33</v>
      </c>
      <c r="G461" t="s">
        <v>32</v>
      </c>
      <c r="H461">
        <v>2</v>
      </c>
      <c r="I461">
        <v>45.21</v>
      </c>
      <c r="J461">
        <v>15</v>
      </c>
      <c r="K461">
        <v>90.42</v>
      </c>
      <c r="L461">
        <v>13.563000000000001</v>
      </c>
      <c r="M461">
        <v>76.856999999999999</v>
      </c>
      <c r="N461">
        <v>129.56</v>
      </c>
      <c r="O461">
        <v>259.12</v>
      </c>
      <c r="P461">
        <v>-182.26300000000001</v>
      </c>
      <c r="Q461">
        <v>-237.14560807733801</v>
      </c>
    </row>
    <row r="462" spans="1:17" x14ac:dyDescent="0.25">
      <c r="A462">
        <v>10461</v>
      </c>
      <c r="B462" s="1">
        <v>46118</v>
      </c>
      <c r="C462">
        <v>3884</v>
      </c>
      <c r="D462" t="s">
        <v>17</v>
      </c>
      <c r="E462" t="s">
        <v>24</v>
      </c>
      <c r="F462" t="s">
        <v>19</v>
      </c>
      <c r="G462" t="s">
        <v>27</v>
      </c>
      <c r="H462">
        <v>3</v>
      </c>
      <c r="I462">
        <v>216.93</v>
      </c>
      <c r="J462">
        <v>20</v>
      </c>
      <c r="K462">
        <v>650.79</v>
      </c>
      <c r="L462">
        <v>130.15799999999999</v>
      </c>
      <c r="M462">
        <v>520.63199999999995</v>
      </c>
      <c r="N462">
        <v>33.71</v>
      </c>
      <c r="O462">
        <v>101.13</v>
      </c>
      <c r="P462">
        <v>419.50199999999899</v>
      </c>
      <c r="Q462">
        <v>80.575531277370501</v>
      </c>
    </row>
    <row r="463" spans="1:17" x14ac:dyDescent="0.25">
      <c r="A463">
        <v>10462</v>
      </c>
      <c r="B463" s="1">
        <v>46119</v>
      </c>
      <c r="C463">
        <v>3719</v>
      </c>
      <c r="D463" t="s">
        <v>21</v>
      </c>
      <c r="E463" t="s">
        <v>18</v>
      </c>
      <c r="F463" t="s">
        <v>33</v>
      </c>
      <c r="G463" t="s">
        <v>20</v>
      </c>
      <c r="H463">
        <v>4</v>
      </c>
      <c r="I463">
        <v>196.4</v>
      </c>
      <c r="J463">
        <v>20</v>
      </c>
      <c r="K463">
        <v>785.6</v>
      </c>
      <c r="L463">
        <v>157.12</v>
      </c>
      <c r="M463">
        <v>628.48</v>
      </c>
      <c r="N463">
        <v>7.52</v>
      </c>
      <c r="O463">
        <v>30.08</v>
      </c>
      <c r="P463">
        <v>598.4</v>
      </c>
      <c r="Q463">
        <v>95.213849287168998</v>
      </c>
    </row>
    <row r="464" spans="1:17" x14ac:dyDescent="0.25">
      <c r="A464">
        <v>10463</v>
      </c>
      <c r="B464" s="1">
        <v>46120</v>
      </c>
      <c r="C464">
        <v>3970</v>
      </c>
      <c r="D464" t="s">
        <v>21</v>
      </c>
      <c r="E464" t="s">
        <v>18</v>
      </c>
      <c r="F464" t="s">
        <v>19</v>
      </c>
      <c r="G464" t="s">
        <v>28</v>
      </c>
      <c r="H464">
        <v>4</v>
      </c>
      <c r="I464">
        <v>112.65</v>
      </c>
      <c r="J464">
        <v>20</v>
      </c>
      <c r="K464">
        <v>450.6</v>
      </c>
      <c r="L464">
        <v>90.12</v>
      </c>
      <c r="M464">
        <v>360.48</v>
      </c>
      <c r="N464">
        <v>120.52</v>
      </c>
      <c r="O464">
        <v>482.08</v>
      </c>
      <c r="P464">
        <v>-121.599999999999</v>
      </c>
      <c r="Q464">
        <v>-33.732800710164199</v>
      </c>
    </row>
    <row r="465" spans="1:17" x14ac:dyDescent="0.25">
      <c r="A465">
        <v>10464</v>
      </c>
      <c r="B465" s="1">
        <v>46121</v>
      </c>
      <c r="C465">
        <v>3786</v>
      </c>
      <c r="D465" t="s">
        <v>17</v>
      </c>
      <c r="E465" t="s">
        <v>24</v>
      </c>
      <c r="F465" t="s">
        <v>19</v>
      </c>
      <c r="G465" t="s">
        <v>30</v>
      </c>
      <c r="H465">
        <v>1</v>
      </c>
      <c r="I465">
        <v>234.67</v>
      </c>
      <c r="J465">
        <v>15</v>
      </c>
      <c r="K465">
        <v>234.67</v>
      </c>
      <c r="L465">
        <v>35.200499999999998</v>
      </c>
      <c r="M465">
        <v>199.46949999999899</v>
      </c>
      <c r="N465">
        <v>38.46</v>
      </c>
      <c r="O465">
        <v>38.46</v>
      </c>
      <c r="P465">
        <v>161.00949999999901</v>
      </c>
      <c r="Q465">
        <v>80.7188567675759</v>
      </c>
    </row>
    <row r="466" spans="1:17" x14ac:dyDescent="0.25">
      <c r="A466">
        <v>10465</v>
      </c>
      <c r="B466" s="1">
        <v>46122</v>
      </c>
      <c r="C466">
        <v>3987</v>
      </c>
      <c r="D466" t="s">
        <v>21</v>
      </c>
      <c r="E466" t="s">
        <v>18</v>
      </c>
      <c r="F466" t="s">
        <v>26</v>
      </c>
      <c r="G466" t="s">
        <v>28</v>
      </c>
      <c r="H466">
        <v>8</v>
      </c>
      <c r="I466">
        <v>137.75</v>
      </c>
      <c r="J466">
        <v>0</v>
      </c>
      <c r="K466">
        <v>1102</v>
      </c>
      <c r="L466">
        <v>0</v>
      </c>
      <c r="M466">
        <v>1102</v>
      </c>
      <c r="N466">
        <v>126.59</v>
      </c>
      <c r="O466">
        <v>1012.72</v>
      </c>
      <c r="P466">
        <v>89.279999999999902</v>
      </c>
      <c r="Q466">
        <v>8.1016333938293901</v>
      </c>
    </row>
    <row r="467" spans="1:17" x14ac:dyDescent="0.25">
      <c r="A467">
        <v>10466</v>
      </c>
      <c r="B467" s="1">
        <v>46123</v>
      </c>
      <c r="C467">
        <v>3443</v>
      </c>
      <c r="D467" t="s">
        <v>29</v>
      </c>
      <c r="E467" t="s">
        <v>24</v>
      </c>
      <c r="F467" t="s">
        <v>25</v>
      </c>
      <c r="G467" t="s">
        <v>22</v>
      </c>
      <c r="H467">
        <v>1</v>
      </c>
      <c r="I467">
        <v>91.89</v>
      </c>
      <c r="J467">
        <v>5</v>
      </c>
      <c r="K467">
        <v>91.89</v>
      </c>
      <c r="L467">
        <v>4.5945</v>
      </c>
      <c r="M467">
        <v>87.295500000000004</v>
      </c>
      <c r="N467">
        <v>56.73</v>
      </c>
      <c r="O467">
        <v>56.73</v>
      </c>
      <c r="P467">
        <v>30.5655</v>
      </c>
      <c r="Q467">
        <v>35.013832328126803</v>
      </c>
    </row>
    <row r="468" spans="1:17" x14ac:dyDescent="0.25">
      <c r="A468">
        <v>10467</v>
      </c>
      <c r="B468" s="1">
        <v>46124</v>
      </c>
      <c r="C468">
        <v>3593</v>
      </c>
      <c r="D468" t="s">
        <v>21</v>
      </c>
      <c r="E468" t="s">
        <v>24</v>
      </c>
      <c r="F468" t="s">
        <v>26</v>
      </c>
      <c r="G468" t="s">
        <v>31</v>
      </c>
      <c r="H468">
        <v>7</v>
      </c>
      <c r="I468">
        <v>110.62</v>
      </c>
      <c r="J468">
        <v>5</v>
      </c>
      <c r="K468">
        <v>774.34</v>
      </c>
      <c r="L468">
        <v>38.716999999999999</v>
      </c>
      <c r="M468">
        <v>735.62300000000005</v>
      </c>
      <c r="N468">
        <v>56.16</v>
      </c>
      <c r="O468">
        <v>393.12</v>
      </c>
      <c r="P468">
        <v>342.50299999999999</v>
      </c>
      <c r="Q468">
        <v>46.5595828297918</v>
      </c>
    </row>
    <row r="469" spans="1:17" x14ac:dyDescent="0.25">
      <c r="A469">
        <v>10468</v>
      </c>
      <c r="B469" s="1">
        <v>46125</v>
      </c>
      <c r="C469">
        <v>3986</v>
      </c>
      <c r="D469" t="s">
        <v>23</v>
      </c>
      <c r="E469" t="s">
        <v>24</v>
      </c>
      <c r="F469" t="s">
        <v>33</v>
      </c>
      <c r="G469" t="s">
        <v>30</v>
      </c>
      <c r="H469">
        <v>8</v>
      </c>
      <c r="I469">
        <v>68.64</v>
      </c>
      <c r="J469">
        <v>0</v>
      </c>
      <c r="K469">
        <v>549.12</v>
      </c>
      <c r="L469">
        <v>0</v>
      </c>
      <c r="M469">
        <v>549.12</v>
      </c>
      <c r="N469">
        <v>131.11000000000001</v>
      </c>
      <c r="O469">
        <v>1048.8800000000001</v>
      </c>
      <c r="P469">
        <v>-499.76</v>
      </c>
      <c r="Q469">
        <v>-91.011072261072201</v>
      </c>
    </row>
    <row r="470" spans="1:17" x14ac:dyDescent="0.25">
      <c r="A470">
        <v>10469</v>
      </c>
      <c r="B470" s="1">
        <v>46126</v>
      </c>
      <c r="C470">
        <v>3103</v>
      </c>
      <c r="D470" t="s">
        <v>23</v>
      </c>
      <c r="E470" t="s">
        <v>18</v>
      </c>
      <c r="F470" t="s">
        <v>26</v>
      </c>
      <c r="G470" t="s">
        <v>30</v>
      </c>
      <c r="H470">
        <v>3</v>
      </c>
      <c r="I470">
        <v>112.24</v>
      </c>
      <c r="J470">
        <v>5</v>
      </c>
      <c r="K470">
        <v>336.719999999999</v>
      </c>
      <c r="L470">
        <v>16.835999999999999</v>
      </c>
      <c r="M470">
        <v>319.88399999999899</v>
      </c>
      <c r="N470">
        <v>115.04</v>
      </c>
      <c r="O470">
        <v>345.12</v>
      </c>
      <c r="P470">
        <v>-25.236000000000001</v>
      </c>
      <c r="Q470">
        <v>-7.8891098023033503</v>
      </c>
    </row>
    <row r="471" spans="1:17" x14ac:dyDescent="0.25">
      <c r="A471">
        <v>10470</v>
      </c>
      <c r="B471" s="1">
        <v>46127</v>
      </c>
      <c r="C471">
        <v>3896</v>
      </c>
      <c r="D471" t="s">
        <v>17</v>
      </c>
      <c r="E471" t="s">
        <v>18</v>
      </c>
      <c r="F471" t="s">
        <v>33</v>
      </c>
      <c r="G471" t="s">
        <v>32</v>
      </c>
      <c r="H471">
        <v>6</v>
      </c>
      <c r="I471">
        <v>164.52</v>
      </c>
      <c r="J471">
        <v>10</v>
      </c>
      <c r="K471">
        <v>987.12</v>
      </c>
      <c r="L471">
        <v>98.712000000000003</v>
      </c>
      <c r="M471">
        <v>888.40800000000002</v>
      </c>
      <c r="N471">
        <v>13.46</v>
      </c>
      <c r="O471">
        <v>80.760000000000005</v>
      </c>
      <c r="P471">
        <v>807.64800000000002</v>
      </c>
      <c r="Q471">
        <v>90.909582083907395</v>
      </c>
    </row>
    <row r="472" spans="1:17" x14ac:dyDescent="0.25">
      <c r="A472">
        <v>10471</v>
      </c>
      <c r="B472" s="1">
        <v>46128</v>
      </c>
      <c r="C472">
        <v>3584</v>
      </c>
      <c r="D472" t="s">
        <v>29</v>
      </c>
      <c r="E472" t="s">
        <v>18</v>
      </c>
      <c r="F472" t="s">
        <v>25</v>
      </c>
      <c r="G472" t="s">
        <v>31</v>
      </c>
      <c r="H472">
        <v>8</v>
      </c>
      <c r="I472">
        <v>100.55</v>
      </c>
      <c r="J472">
        <v>15</v>
      </c>
      <c r="K472">
        <v>804.4</v>
      </c>
      <c r="L472">
        <v>120.66</v>
      </c>
      <c r="M472">
        <v>683.74</v>
      </c>
      <c r="N472">
        <v>141.91999999999999</v>
      </c>
      <c r="O472">
        <v>1135.3599999999999</v>
      </c>
      <c r="P472">
        <v>-451.61999999999898</v>
      </c>
      <c r="Q472">
        <v>-66.051423055547403</v>
      </c>
    </row>
    <row r="473" spans="1:17" x14ac:dyDescent="0.25">
      <c r="A473">
        <v>10472</v>
      </c>
      <c r="B473" s="1">
        <v>46129</v>
      </c>
      <c r="C473">
        <v>3909</v>
      </c>
      <c r="D473" t="s">
        <v>21</v>
      </c>
      <c r="E473" t="s">
        <v>24</v>
      </c>
      <c r="F473" t="s">
        <v>26</v>
      </c>
      <c r="G473" t="s">
        <v>28</v>
      </c>
      <c r="H473">
        <v>5</v>
      </c>
      <c r="I473">
        <v>41.72</v>
      </c>
      <c r="J473">
        <v>10</v>
      </c>
      <c r="K473">
        <v>208.6</v>
      </c>
      <c r="L473">
        <v>20.86</v>
      </c>
      <c r="M473">
        <v>187.74</v>
      </c>
      <c r="N473">
        <v>35.21</v>
      </c>
      <c r="O473">
        <v>176.05</v>
      </c>
      <c r="P473">
        <v>11.6899999999999</v>
      </c>
      <c r="Q473">
        <v>6.2266964951528596</v>
      </c>
    </row>
    <row r="474" spans="1:17" x14ac:dyDescent="0.25">
      <c r="A474">
        <v>10473</v>
      </c>
      <c r="B474" s="1">
        <v>46130</v>
      </c>
      <c r="C474">
        <v>3152</v>
      </c>
      <c r="D474" t="s">
        <v>29</v>
      </c>
      <c r="E474" t="s">
        <v>24</v>
      </c>
      <c r="F474" t="s">
        <v>25</v>
      </c>
      <c r="G474" t="s">
        <v>28</v>
      </c>
      <c r="H474">
        <v>5</v>
      </c>
      <c r="I474">
        <v>231.01</v>
      </c>
      <c r="J474">
        <v>5</v>
      </c>
      <c r="K474">
        <v>1155.05</v>
      </c>
      <c r="L474">
        <v>57.752499999999998</v>
      </c>
      <c r="M474">
        <v>1097.2974999999999</v>
      </c>
      <c r="N474">
        <v>101.65</v>
      </c>
      <c r="O474">
        <v>508.25</v>
      </c>
      <c r="P474">
        <v>589.04749999999899</v>
      </c>
      <c r="Q474">
        <v>53.681658802649203</v>
      </c>
    </row>
    <row r="475" spans="1:17" x14ac:dyDescent="0.25">
      <c r="A475">
        <v>10474</v>
      </c>
      <c r="B475" s="1">
        <v>46131</v>
      </c>
      <c r="C475">
        <v>3268</v>
      </c>
      <c r="D475" t="s">
        <v>17</v>
      </c>
      <c r="E475" t="s">
        <v>24</v>
      </c>
      <c r="F475" t="s">
        <v>19</v>
      </c>
      <c r="G475" t="s">
        <v>30</v>
      </c>
      <c r="H475">
        <v>2</v>
      </c>
      <c r="I475">
        <v>184.33</v>
      </c>
      <c r="J475">
        <v>20</v>
      </c>
      <c r="K475">
        <v>368.66</v>
      </c>
      <c r="L475">
        <v>73.731999999999999</v>
      </c>
      <c r="M475">
        <v>294.928</v>
      </c>
      <c r="N475">
        <v>141.38</v>
      </c>
      <c r="O475">
        <v>282.76</v>
      </c>
      <c r="P475">
        <v>12.167999999999999</v>
      </c>
      <c r="Q475">
        <v>4.1257527260890798</v>
      </c>
    </row>
    <row r="476" spans="1:17" x14ac:dyDescent="0.25">
      <c r="A476">
        <v>10475</v>
      </c>
      <c r="B476" s="1">
        <v>46132</v>
      </c>
      <c r="C476">
        <v>3689</v>
      </c>
      <c r="D476" t="s">
        <v>21</v>
      </c>
      <c r="E476" t="s">
        <v>24</v>
      </c>
      <c r="F476" t="s">
        <v>26</v>
      </c>
      <c r="G476" t="s">
        <v>30</v>
      </c>
      <c r="H476">
        <v>6</v>
      </c>
      <c r="I476">
        <v>52.43</v>
      </c>
      <c r="J476">
        <v>5</v>
      </c>
      <c r="K476">
        <v>314.58</v>
      </c>
      <c r="L476">
        <v>15.728999999999999</v>
      </c>
      <c r="M476">
        <v>298.851</v>
      </c>
      <c r="N476">
        <v>127.14</v>
      </c>
      <c r="O476">
        <v>762.84</v>
      </c>
      <c r="P476">
        <v>-463.98899999999998</v>
      </c>
      <c r="Q476">
        <v>-155.25763674874699</v>
      </c>
    </row>
    <row r="477" spans="1:17" x14ac:dyDescent="0.25">
      <c r="A477">
        <v>10476</v>
      </c>
      <c r="B477" s="1">
        <v>46133</v>
      </c>
      <c r="C477">
        <v>3226</v>
      </c>
      <c r="D477" t="s">
        <v>23</v>
      </c>
      <c r="E477" t="s">
        <v>18</v>
      </c>
      <c r="F477" t="s">
        <v>33</v>
      </c>
      <c r="G477" t="s">
        <v>28</v>
      </c>
      <c r="H477">
        <v>9</v>
      </c>
      <c r="I477">
        <v>208.37</v>
      </c>
      <c r="J477">
        <v>10</v>
      </c>
      <c r="K477">
        <v>1875.33</v>
      </c>
      <c r="L477">
        <v>187.53299999999999</v>
      </c>
      <c r="M477">
        <v>1687.797</v>
      </c>
      <c r="N477">
        <v>75.8</v>
      </c>
      <c r="O477">
        <v>682.19999999999902</v>
      </c>
      <c r="P477">
        <v>1005.597</v>
      </c>
      <c r="Q477">
        <v>59.580447174630599</v>
      </c>
    </row>
    <row r="478" spans="1:17" x14ac:dyDescent="0.25">
      <c r="A478">
        <v>10477</v>
      </c>
      <c r="B478" s="1">
        <v>46134</v>
      </c>
      <c r="C478">
        <v>3195</v>
      </c>
      <c r="D478" t="s">
        <v>29</v>
      </c>
      <c r="E478" t="s">
        <v>18</v>
      </c>
      <c r="F478" t="s">
        <v>33</v>
      </c>
      <c r="G478" t="s">
        <v>20</v>
      </c>
      <c r="H478">
        <v>5</v>
      </c>
      <c r="I478">
        <v>238.13</v>
      </c>
      <c r="J478">
        <v>20</v>
      </c>
      <c r="K478">
        <v>1190.6500000000001</v>
      </c>
      <c r="L478">
        <v>238.13</v>
      </c>
      <c r="M478">
        <v>952.52</v>
      </c>
      <c r="N478">
        <v>142.33000000000001</v>
      </c>
      <c r="O478">
        <v>711.65</v>
      </c>
      <c r="P478">
        <v>240.87</v>
      </c>
      <c r="Q478">
        <v>25.2876580019317</v>
      </c>
    </row>
    <row r="479" spans="1:17" x14ac:dyDescent="0.25">
      <c r="A479">
        <v>10478</v>
      </c>
      <c r="B479" s="1">
        <v>46135</v>
      </c>
      <c r="C479">
        <v>3124</v>
      </c>
      <c r="D479" t="s">
        <v>21</v>
      </c>
      <c r="E479" t="s">
        <v>18</v>
      </c>
      <c r="F479" t="s">
        <v>33</v>
      </c>
      <c r="G479" t="s">
        <v>30</v>
      </c>
      <c r="H479">
        <v>3</v>
      </c>
      <c r="I479">
        <v>77.52</v>
      </c>
      <c r="J479">
        <v>15</v>
      </c>
      <c r="K479">
        <v>232.56</v>
      </c>
      <c r="L479">
        <v>34.884</v>
      </c>
      <c r="M479">
        <v>197.67599999999999</v>
      </c>
      <c r="N479">
        <v>104.43</v>
      </c>
      <c r="O479">
        <v>313.29000000000002</v>
      </c>
      <c r="P479">
        <v>-115.614</v>
      </c>
      <c r="Q479">
        <v>-58.4866144600255</v>
      </c>
    </row>
    <row r="480" spans="1:17" x14ac:dyDescent="0.25">
      <c r="A480">
        <v>10479</v>
      </c>
      <c r="B480" s="1">
        <v>46136</v>
      </c>
      <c r="C480">
        <v>3608</v>
      </c>
      <c r="D480" t="s">
        <v>29</v>
      </c>
      <c r="E480" t="s">
        <v>18</v>
      </c>
      <c r="F480" t="s">
        <v>19</v>
      </c>
      <c r="G480" t="s">
        <v>28</v>
      </c>
      <c r="H480">
        <v>7</v>
      </c>
      <c r="I480">
        <v>139.22</v>
      </c>
      <c r="J480">
        <v>10</v>
      </c>
      <c r="K480">
        <v>974.54</v>
      </c>
      <c r="L480">
        <v>97.453999999999994</v>
      </c>
      <c r="M480">
        <v>877.08600000000001</v>
      </c>
      <c r="N480">
        <v>41.24</v>
      </c>
      <c r="O480">
        <v>288.68</v>
      </c>
      <c r="P480">
        <v>588.40599999999995</v>
      </c>
      <c r="Q480">
        <v>67.086465865376894</v>
      </c>
    </row>
    <row r="481" spans="1:17" x14ac:dyDescent="0.25">
      <c r="A481">
        <v>10480</v>
      </c>
      <c r="B481" s="1">
        <v>46137</v>
      </c>
      <c r="C481">
        <v>3730</v>
      </c>
      <c r="D481" t="s">
        <v>29</v>
      </c>
      <c r="E481" t="s">
        <v>24</v>
      </c>
      <c r="F481" t="s">
        <v>25</v>
      </c>
      <c r="G481" t="s">
        <v>20</v>
      </c>
      <c r="H481">
        <v>5</v>
      </c>
      <c r="I481">
        <v>234.03</v>
      </c>
      <c r="J481">
        <v>10</v>
      </c>
      <c r="K481">
        <v>1170.1500000000001</v>
      </c>
      <c r="L481">
        <v>117.015</v>
      </c>
      <c r="M481">
        <v>1053.135</v>
      </c>
      <c r="N481">
        <v>144.82</v>
      </c>
      <c r="O481">
        <v>724.099999999999</v>
      </c>
      <c r="P481">
        <v>329.03500000000003</v>
      </c>
      <c r="Q481">
        <v>31.243382852150901</v>
      </c>
    </row>
    <row r="482" spans="1:17" x14ac:dyDescent="0.25">
      <c r="A482">
        <v>10481</v>
      </c>
      <c r="B482" s="1">
        <v>46138</v>
      </c>
      <c r="C482">
        <v>3337</v>
      </c>
      <c r="D482" t="s">
        <v>17</v>
      </c>
      <c r="E482" t="s">
        <v>24</v>
      </c>
      <c r="F482" t="s">
        <v>33</v>
      </c>
      <c r="G482" t="s">
        <v>32</v>
      </c>
      <c r="H482">
        <v>9</v>
      </c>
      <c r="I482">
        <v>89.93</v>
      </c>
      <c r="J482">
        <v>15</v>
      </c>
      <c r="K482">
        <v>809.37</v>
      </c>
      <c r="L482">
        <v>121.4055</v>
      </c>
      <c r="M482">
        <v>687.96450000000004</v>
      </c>
      <c r="N482">
        <v>87.25</v>
      </c>
      <c r="O482">
        <v>785.25</v>
      </c>
      <c r="P482">
        <v>-97.2854999999999</v>
      </c>
      <c r="Q482">
        <v>-14.141063964782999</v>
      </c>
    </row>
    <row r="483" spans="1:17" x14ac:dyDescent="0.25">
      <c r="A483">
        <v>10482</v>
      </c>
      <c r="B483" s="1">
        <v>46139</v>
      </c>
      <c r="C483">
        <v>3715</v>
      </c>
      <c r="D483" t="s">
        <v>17</v>
      </c>
      <c r="E483" t="s">
        <v>18</v>
      </c>
      <c r="F483" t="s">
        <v>19</v>
      </c>
      <c r="G483" t="s">
        <v>31</v>
      </c>
      <c r="H483">
        <v>6</v>
      </c>
      <c r="I483">
        <v>97.2</v>
      </c>
      <c r="J483">
        <v>5</v>
      </c>
      <c r="K483">
        <v>583.20000000000005</v>
      </c>
      <c r="L483">
        <v>29.16</v>
      </c>
      <c r="M483">
        <v>554.04</v>
      </c>
      <c r="N483">
        <v>51.74</v>
      </c>
      <c r="O483">
        <v>310.44</v>
      </c>
      <c r="P483">
        <v>243.6</v>
      </c>
      <c r="Q483">
        <v>43.967944552739802</v>
      </c>
    </row>
    <row r="484" spans="1:17" x14ac:dyDescent="0.25">
      <c r="A484">
        <v>10483</v>
      </c>
      <c r="B484" s="1">
        <v>46140</v>
      </c>
      <c r="C484">
        <v>3129</v>
      </c>
      <c r="D484" t="s">
        <v>17</v>
      </c>
      <c r="E484" t="s">
        <v>18</v>
      </c>
      <c r="F484" t="s">
        <v>26</v>
      </c>
      <c r="G484" t="s">
        <v>20</v>
      </c>
      <c r="H484">
        <v>5</v>
      </c>
      <c r="I484">
        <v>54.43</v>
      </c>
      <c r="J484">
        <v>15</v>
      </c>
      <c r="K484">
        <v>272.14999999999998</v>
      </c>
      <c r="L484">
        <v>40.822499999999998</v>
      </c>
      <c r="M484">
        <v>231.32749999999999</v>
      </c>
      <c r="N484">
        <v>68.010000000000005</v>
      </c>
      <c r="O484">
        <v>340.05</v>
      </c>
      <c r="P484">
        <v>-108.7225</v>
      </c>
      <c r="Q484">
        <v>-46.999383990230299</v>
      </c>
    </row>
    <row r="485" spans="1:17" x14ac:dyDescent="0.25">
      <c r="A485">
        <v>10484</v>
      </c>
      <c r="B485" s="1">
        <v>46141</v>
      </c>
      <c r="C485">
        <v>3805</v>
      </c>
      <c r="D485" t="s">
        <v>17</v>
      </c>
      <c r="E485" t="s">
        <v>24</v>
      </c>
      <c r="F485" t="s">
        <v>33</v>
      </c>
      <c r="G485" t="s">
        <v>28</v>
      </c>
      <c r="H485">
        <v>1</v>
      </c>
      <c r="I485">
        <v>120.33</v>
      </c>
      <c r="J485">
        <v>5</v>
      </c>
      <c r="K485">
        <v>120.33</v>
      </c>
      <c r="L485">
        <v>6.0164999999999997</v>
      </c>
      <c r="M485">
        <v>114.3135</v>
      </c>
      <c r="N485">
        <v>33.130000000000003</v>
      </c>
      <c r="O485">
        <v>33.130000000000003</v>
      </c>
      <c r="P485">
        <v>81.183499999999995</v>
      </c>
      <c r="Q485">
        <v>71.018296176741998</v>
      </c>
    </row>
    <row r="486" spans="1:17" x14ac:dyDescent="0.25">
      <c r="A486">
        <v>10485</v>
      </c>
      <c r="B486" s="1">
        <v>46142</v>
      </c>
      <c r="C486">
        <v>3805</v>
      </c>
      <c r="D486" t="s">
        <v>21</v>
      </c>
      <c r="E486" t="s">
        <v>18</v>
      </c>
      <c r="F486" t="s">
        <v>19</v>
      </c>
      <c r="G486" t="s">
        <v>27</v>
      </c>
      <c r="H486">
        <v>8</v>
      </c>
      <c r="I486">
        <v>226.79</v>
      </c>
      <c r="J486">
        <v>20</v>
      </c>
      <c r="K486">
        <v>1814.32</v>
      </c>
      <c r="L486">
        <v>362.86399999999998</v>
      </c>
      <c r="M486">
        <v>1451.4559999999999</v>
      </c>
      <c r="N486">
        <v>88.16</v>
      </c>
      <c r="O486">
        <v>705.28</v>
      </c>
      <c r="P486">
        <v>746.17599999999902</v>
      </c>
      <c r="Q486">
        <v>51.408792274791601</v>
      </c>
    </row>
    <row r="487" spans="1:17" x14ac:dyDescent="0.25">
      <c r="A487">
        <v>10486</v>
      </c>
      <c r="B487" s="1">
        <v>46143</v>
      </c>
      <c r="C487">
        <v>3950</v>
      </c>
      <c r="D487" t="s">
        <v>29</v>
      </c>
      <c r="E487" t="s">
        <v>24</v>
      </c>
      <c r="F487" t="s">
        <v>25</v>
      </c>
      <c r="G487" t="s">
        <v>32</v>
      </c>
      <c r="H487">
        <v>6</v>
      </c>
      <c r="I487">
        <v>241.95</v>
      </c>
      <c r="J487">
        <v>0</v>
      </c>
      <c r="K487">
        <v>1451.69999999999</v>
      </c>
      <c r="L487">
        <v>0</v>
      </c>
      <c r="M487">
        <v>1451.69999999999</v>
      </c>
      <c r="N487">
        <v>87.17</v>
      </c>
      <c r="O487">
        <v>523.02</v>
      </c>
      <c r="P487">
        <v>928.67999999999904</v>
      </c>
      <c r="Q487">
        <v>63.9718950196321</v>
      </c>
    </row>
    <row r="488" spans="1:17" x14ac:dyDescent="0.25">
      <c r="A488">
        <v>10487</v>
      </c>
      <c r="B488" s="1">
        <v>46144</v>
      </c>
      <c r="C488">
        <v>3496</v>
      </c>
      <c r="D488" t="s">
        <v>29</v>
      </c>
      <c r="E488" t="s">
        <v>24</v>
      </c>
      <c r="F488" t="s">
        <v>26</v>
      </c>
      <c r="G488" t="s">
        <v>30</v>
      </c>
      <c r="H488">
        <v>4</v>
      </c>
      <c r="I488">
        <v>48.13</v>
      </c>
      <c r="J488">
        <v>0</v>
      </c>
      <c r="K488">
        <v>192.52</v>
      </c>
      <c r="L488">
        <v>0</v>
      </c>
      <c r="M488">
        <v>192.52</v>
      </c>
      <c r="N488">
        <v>28.15</v>
      </c>
      <c r="O488">
        <v>112.6</v>
      </c>
      <c r="P488">
        <v>79.92</v>
      </c>
      <c r="Q488">
        <v>41.512570122584599</v>
      </c>
    </row>
    <row r="489" spans="1:17" x14ac:dyDescent="0.25">
      <c r="A489">
        <v>10488</v>
      </c>
      <c r="B489" s="1">
        <v>46145</v>
      </c>
      <c r="C489">
        <v>3969</v>
      </c>
      <c r="D489" t="s">
        <v>29</v>
      </c>
      <c r="E489" t="s">
        <v>18</v>
      </c>
      <c r="F489" t="s">
        <v>26</v>
      </c>
      <c r="G489" t="s">
        <v>30</v>
      </c>
      <c r="H489">
        <v>8</v>
      </c>
      <c r="I489">
        <v>232.92</v>
      </c>
      <c r="J489">
        <v>5</v>
      </c>
      <c r="K489">
        <v>1863.36</v>
      </c>
      <c r="L489">
        <v>93.168000000000006</v>
      </c>
      <c r="M489">
        <v>1770.192</v>
      </c>
      <c r="N489">
        <v>65.150000000000006</v>
      </c>
      <c r="O489">
        <v>521.20000000000005</v>
      </c>
      <c r="P489">
        <v>1248.992</v>
      </c>
      <c r="Q489">
        <v>70.556866147852801</v>
      </c>
    </row>
    <row r="490" spans="1:17" x14ac:dyDescent="0.25">
      <c r="A490">
        <v>10489</v>
      </c>
      <c r="B490" s="1">
        <v>46146</v>
      </c>
      <c r="C490">
        <v>3859</v>
      </c>
      <c r="D490" t="s">
        <v>23</v>
      </c>
      <c r="E490" t="s">
        <v>24</v>
      </c>
      <c r="F490" t="s">
        <v>33</v>
      </c>
      <c r="G490" t="s">
        <v>28</v>
      </c>
      <c r="H490">
        <v>8</v>
      </c>
      <c r="I490">
        <v>57.01</v>
      </c>
      <c r="J490">
        <v>15</v>
      </c>
      <c r="K490">
        <v>456.08</v>
      </c>
      <c r="L490">
        <v>68.411999999999907</v>
      </c>
      <c r="M490">
        <v>387.66800000000001</v>
      </c>
      <c r="N490">
        <v>43.61</v>
      </c>
      <c r="O490">
        <v>348.88</v>
      </c>
      <c r="P490">
        <v>38.787999999999997</v>
      </c>
      <c r="Q490">
        <v>10.005468596840499</v>
      </c>
    </row>
    <row r="491" spans="1:17" x14ac:dyDescent="0.25">
      <c r="A491">
        <v>10490</v>
      </c>
      <c r="B491" s="1">
        <v>46147</v>
      </c>
      <c r="C491">
        <v>3723</v>
      </c>
      <c r="D491" t="s">
        <v>23</v>
      </c>
      <c r="E491" t="s">
        <v>24</v>
      </c>
      <c r="F491" t="s">
        <v>25</v>
      </c>
      <c r="G491" t="s">
        <v>22</v>
      </c>
      <c r="H491">
        <v>6</v>
      </c>
      <c r="I491">
        <v>220.77</v>
      </c>
      <c r="J491">
        <v>0</v>
      </c>
      <c r="K491">
        <v>1324.62</v>
      </c>
      <c r="L491">
        <v>0</v>
      </c>
      <c r="M491">
        <v>1324.62</v>
      </c>
      <c r="N491">
        <v>134.86000000000001</v>
      </c>
      <c r="O491">
        <v>809.16</v>
      </c>
      <c r="P491">
        <v>515.46</v>
      </c>
      <c r="Q491">
        <v>38.913801694070699</v>
      </c>
    </row>
    <row r="492" spans="1:17" x14ac:dyDescent="0.25">
      <c r="A492">
        <v>10491</v>
      </c>
      <c r="B492" s="1">
        <v>46148</v>
      </c>
      <c r="C492">
        <v>3555</v>
      </c>
      <c r="D492" t="s">
        <v>29</v>
      </c>
      <c r="E492" t="s">
        <v>18</v>
      </c>
      <c r="F492" t="s">
        <v>33</v>
      </c>
      <c r="G492" t="s">
        <v>20</v>
      </c>
      <c r="H492">
        <v>6</v>
      </c>
      <c r="I492">
        <v>200.99</v>
      </c>
      <c r="J492">
        <v>20</v>
      </c>
      <c r="K492">
        <v>1205.94</v>
      </c>
      <c r="L492">
        <v>241.18799999999999</v>
      </c>
      <c r="M492">
        <v>964.75199999999995</v>
      </c>
      <c r="N492">
        <v>33.25</v>
      </c>
      <c r="O492">
        <v>199.5</v>
      </c>
      <c r="P492">
        <v>765.25199999999995</v>
      </c>
      <c r="Q492">
        <v>79.321110503010104</v>
      </c>
    </row>
    <row r="493" spans="1:17" x14ac:dyDescent="0.25">
      <c r="A493">
        <v>10492</v>
      </c>
      <c r="B493" s="1">
        <v>46149</v>
      </c>
      <c r="C493">
        <v>3178</v>
      </c>
      <c r="D493" t="s">
        <v>17</v>
      </c>
      <c r="E493" t="s">
        <v>18</v>
      </c>
      <c r="F493" t="s">
        <v>26</v>
      </c>
      <c r="G493" t="s">
        <v>30</v>
      </c>
      <c r="H493">
        <v>1</v>
      </c>
      <c r="I493">
        <v>17.32</v>
      </c>
      <c r="J493">
        <v>15</v>
      </c>
      <c r="K493">
        <v>17.32</v>
      </c>
      <c r="L493">
        <v>2.5979999999999999</v>
      </c>
      <c r="M493">
        <v>14.722</v>
      </c>
      <c r="N493">
        <v>93.21</v>
      </c>
      <c r="O493">
        <v>93.21</v>
      </c>
      <c r="P493">
        <v>-78.488</v>
      </c>
      <c r="Q493">
        <v>-533.134085042793</v>
      </c>
    </row>
    <row r="494" spans="1:17" x14ac:dyDescent="0.25">
      <c r="A494">
        <v>10493</v>
      </c>
      <c r="B494" s="1">
        <v>46150</v>
      </c>
      <c r="C494">
        <v>3852</v>
      </c>
      <c r="D494" t="s">
        <v>23</v>
      </c>
      <c r="E494" t="s">
        <v>18</v>
      </c>
      <c r="F494" t="s">
        <v>33</v>
      </c>
      <c r="G494" t="s">
        <v>31</v>
      </c>
      <c r="H494">
        <v>9</v>
      </c>
      <c r="I494">
        <v>99.41</v>
      </c>
      <c r="J494">
        <v>10</v>
      </c>
      <c r="K494">
        <v>894.68999999999903</v>
      </c>
      <c r="L494">
        <v>89.468999999999994</v>
      </c>
      <c r="M494">
        <v>805.221</v>
      </c>
      <c r="N494">
        <v>97.82</v>
      </c>
      <c r="O494">
        <v>880.37999999999897</v>
      </c>
      <c r="P494">
        <v>-75.158999999999807</v>
      </c>
      <c r="Q494">
        <v>-9.3339592484547502</v>
      </c>
    </row>
    <row r="495" spans="1:17" x14ac:dyDescent="0.25">
      <c r="A495">
        <v>10494</v>
      </c>
      <c r="B495" s="1">
        <v>46151</v>
      </c>
      <c r="C495">
        <v>3194</v>
      </c>
      <c r="D495" t="s">
        <v>29</v>
      </c>
      <c r="E495" t="s">
        <v>24</v>
      </c>
      <c r="F495" t="s">
        <v>26</v>
      </c>
      <c r="G495" t="s">
        <v>20</v>
      </c>
      <c r="H495">
        <v>1</v>
      </c>
      <c r="I495">
        <v>79.66</v>
      </c>
      <c r="J495">
        <v>5</v>
      </c>
      <c r="K495">
        <v>79.66</v>
      </c>
      <c r="L495">
        <v>3.9830000000000001</v>
      </c>
      <c r="M495">
        <v>75.676999999999893</v>
      </c>
      <c r="N495">
        <v>92.54</v>
      </c>
      <c r="O495">
        <v>92.54</v>
      </c>
      <c r="P495">
        <v>-16.863</v>
      </c>
      <c r="Q495">
        <v>-22.2828600499491</v>
      </c>
    </row>
    <row r="496" spans="1:17" x14ac:dyDescent="0.25">
      <c r="A496">
        <v>10495</v>
      </c>
      <c r="B496" s="1">
        <v>46152</v>
      </c>
      <c r="C496">
        <v>3111</v>
      </c>
      <c r="D496" t="s">
        <v>29</v>
      </c>
      <c r="E496" t="s">
        <v>18</v>
      </c>
      <c r="F496" t="s">
        <v>25</v>
      </c>
      <c r="G496" t="s">
        <v>30</v>
      </c>
      <c r="H496">
        <v>4</v>
      </c>
      <c r="I496">
        <v>213.83</v>
      </c>
      <c r="J496">
        <v>20</v>
      </c>
      <c r="K496">
        <v>855.32</v>
      </c>
      <c r="L496">
        <v>171.06399999999999</v>
      </c>
      <c r="M496">
        <v>684.25599999999997</v>
      </c>
      <c r="N496">
        <v>59.1</v>
      </c>
      <c r="O496">
        <v>236.4</v>
      </c>
      <c r="P496">
        <v>447.85599999999999</v>
      </c>
      <c r="Q496">
        <v>65.451526913903507</v>
      </c>
    </row>
    <row r="497" spans="1:17" x14ac:dyDescent="0.25">
      <c r="A497">
        <v>10496</v>
      </c>
      <c r="B497" s="1">
        <v>46153</v>
      </c>
      <c r="C497">
        <v>3136</v>
      </c>
      <c r="D497" t="s">
        <v>29</v>
      </c>
      <c r="E497" t="s">
        <v>18</v>
      </c>
      <c r="F497" t="s">
        <v>26</v>
      </c>
      <c r="G497" t="s">
        <v>28</v>
      </c>
      <c r="H497">
        <v>1</v>
      </c>
      <c r="I497">
        <v>67.5</v>
      </c>
      <c r="J497">
        <v>0</v>
      </c>
      <c r="K497">
        <v>67.5</v>
      </c>
      <c r="L497">
        <v>0</v>
      </c>
      <c r="M497">
        <v>67.5</v>
      </c>
      <c r="N497">
        <v>40.47</v>
      </c>
      <c r="O497">
        <v>40.47</v>
      </c>
      <c r="P497">
        <v>27.03</v>
      </c>
      <c r="Q497">
        <v>40.044444444444402</v>
      </c>
    </row>
    <row r="498" spans="1:17" x14ac:dyDescent="0.25">
      <c r="A498">
        <v>10497</v>
      </c>
      <c r="B498" s="1">
        <v>46154</v>
      </c>
      <c r="C498">
        <v>3762</v>
      </c>
      <c r="D498" t="s">
        <v>23</v>
      </c>
      <c r="E498" t="s">
        <v>24</v>
      </c>
      <c r="F498" t="s">
        <v>19</v>
      </c>
      <c r="G498" t="s">
        <v>31</v>
      </c>
      <c r="H498">
        <v>5</v>
      </c>
      <c r="I498">
        <v>120.59</v>
      </c>
      <c r="J498">
        <v>10</v>
      </c>
      <c r="K498">
        <v>602.95000000000005</v>
      </c>
      <c r="L498">
        <v>60.295000000000002</v>
      </c>
      <c r="M498">
        <v>542.65499999999997</v>
      </c>
      <c r="N498">
        <v>6.2</v>
      </c>
      <c r="O498">
        <v>31</v>
      </c>
      <c r="P498">
        <v>511.65499999999997</v>
      </c>
      <c r="Q498">
        <v>94.287346472436397</v>
      </c>
    </row>
    <row r="499" spans="1:17" x14ac:dyDescent="0.25">
      <c r="A499">
        <v>10498</v>
      </c>
      <c r="B499" s="1">
        <v>46155</v>
      </c>
      <c r="C499">
        <v>3574</v>
      </c>
      <c r="D499" t="s">
        <v>17</v>
      </c>
      <c r="E499" t="s">
        <v>24</v>
      </c>
      <c r="F499" t="s">
        <v>19</v>
      </c>
      <c r="G499" t="s">
        <v>31</v>
      </c>
      <c r="H499">
        <v>3</v>
      </c>
      <c r="I499">
        <v>182.53</v>
      </c>
      <c r="J499">
        <v>20</v>
      </c>
      <c r="K499">
        <v>547.59</v>
      </c>
      <c r="L499">
        <v>109.518</v>
      </c>
      <c r="M499">
        <v>438.072</v>
      </c>
      <c r="N499">
        <v>34.68</v>
      </c>
      <c r="O499">
        <v>104.039999999999</v>
      </c>
      <c r="P499">
        <v>334.03199999999998</v>
      </c>
      <c r="Q499">
        <v>76.250479373253697</v>
      </c>
    </row>
    <row r="500" spans="1:17" x14ac:dyDescent="0.25">
      <c r="A500">
        <v>10499</v>
      </c>
      <c r="B500" s="1">
        <v>46156</v>
      </c>
      <c r="C500">
        <v>3084</v>
      </c>
      <c r="D500" t="s">
        <v>29</v>
      </c>
      <c r="E500" t="s">
        <v>18</v>
      </c>
      <c r="F500" t="s">
        <v>19</v>
      </c>
      <c r="G500" t="s">
        <v>22</v>
      </c>
      <c r="H500">
        <v>1</v>
      </c>
      <c r="I500">
        <v>249.83</v>
      </c>
      <c r="J500">
        <v>15</v>
      </c>
      <c r="K500">
        <v>249.83</v>
      </c>
      <c r="L500">
        <v>37.474499999999999</v>
      </c>
      <c r="M500">
        <v>212.35550000000001</v>
      </c>
      <c r="N500">
        <v>123.04</v>
      </c>
      <c r="O500">
        <v>123.04</v>
      </c>
      <c r="P500">
        <v>89.3155</v>
      </c>
      <c r="Q500">
        <v>42.059423937689303</v>
      </c>
    </row>
    <row r="501" spans="1:17" x14ac:dyDescent="0.25">
      <c r="A501">
        <v>10500</v>
      </c>
      <c r="B501" s="1">
        <v>46157</v>
      </c>
      <c r="C501">
        <v>3313</v>
      </c>
      <c r="D501" t="s">
        <v>29</v>
      </c>
      <c r="E501" t="s">
        <v>18</v>
      </c>
      <c r="F501" t="s">
        <v>25</v>
      </c>
      <c r="G501" t="s">
        <v>27</v>
      </c>
      <c r="H501">
        <v>7</v>
      </c>
      <c r="I501">
        <v>97.16</v>
      </c>
      <c r="J501">
        <v>20</v>
      </c>
      <c r="K501">
        <v>680.12</v>
      </c>
      <c r="L501">
        <v>136.024</v>
      </c>
      <c r="M501">
        <v>544.096</v>
      </c>
      <c r="N501">
        <v>45.31</v>
      </c>
      <c r="O501">
        <v>317.17</v>
      </c>
      <c r="P501">
        <v>226.92599999999999</v>
      </c>
      <c r="Q501">
        <v>41.706978180321101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0F93E6-7C22-479E-BF73-BA9ECC9CEBAE}">
  <dimension ref="A1:X502"/>
  <sheetViews>
    <sheetView zoomScale="96" zoomScaleNormal="96" workbookViewId="0">
      <pane ySplit="1" topLeftCell="A2" activePane="bottomLeft" state="frozen"/>
      <selection activeCell="F1" sqref="F1"/>
      <selection pane="bottomLeft" activeCell="Z29" sqref="Z29"/>
    </sheetView>
  </sheetViews>
  <sheetFormatPr defaultRowHeight="15" x14ac:dyDescent="0.25"/>
  <cols>
    <col min="1" max="1" width="7.7109375" customWidth="1"/>
    <col min="2" max="2" width="11" customWidth="1"/>
    <col min="3" max="3" width="5.5703125" customWidth="1"/>
    <col min="4" max="4" width="7" customWidth="1"/>
    <col min="5" max="5" width="7.28515625" bestFit="1" customWidth="1"/>
    <col min="6" max="6" width="6.85546875" customWidth="1"/>
    <col min="7" max="7" width="8" customWidth="1"/>
    <col min="8" max="8" width="9.140625" customWidth="1"/>
    <col min="9" max="9" width="12.7109375" customWidth="1"/>
    <col min="10" max="10" width="13.140625" customWidth="1"/>
    <col min="11" max="11" width="5.85546875" customWidth="1"/>
    <col min="12" max="12" width="8.28515625" style="2" customWidth="1"/>
    <col min="13" max="13" width="6.140625" customWidth="1"/>
    <col min="14" max="14" width="8.5703125" style="2" customWidth="1"/>
    <col min="15" max="15" width="8.42578125" style="2" customWidth="1"/>
    <col min="16" max="16" width="9" style="2" customWidth="1"/>
    <col min="17" max="17" width="8.42578125" style="2" customWidth="1"/>
    <col min="18" max="18" width="8.7109375" style="2" customWidth="1"/>
    <col min="19" max="19" width="8.42578125" style="2" customWidth="1"/>
    <col min="20" max="20" width="8.140625" customWidth="1"/>
    <col min="22" max="22" width="5.85546875" style="16" customWidth="1"/>
    <col min="23" max="23" width="6.5703125" style="16" customWidth="1"/>
    <col min="24" max="24" width="5.42578125" customWidth="1"/>
  </cols>
  <sheetData>
    <row r="1" spans="1:24" x14ac:dyDescent="0.25">
      <c r="A1" t="s">
        <v>0</v>
      </c>
      <c r="B1" t="s">
        <v>1</v>
      </c>
      <c r="C1" t="s">
        <v>36</v>
      </c>
      <c r="D1" t="s">
        <v>34</v>
      </c>
      <c r="E1" t="s">
        <v>35</v>
      </c>
      <c r="F1" t="s">
        <v>2</v>
      </c>
      <c r="G1" t="s">
        <v>3</v>
      </c>
      <c r="H1" t="s">
        <v>4</v>
      </c>
      <c r="I1" t="s">
        <v>5</v>
      </c>
      <c r="J1" t="s">
        <v>6</v>
      </c>
      <c r="K1" t="s">
        <v>7</v>
      </c>
      <c r="L1" s="2" t="s">
        <v>8</v>
      </c>
      <c r="M1" t="s">
        <v>9</v>
      </c>
      <c r="N1" s="2" t="s">
        <v>10</v>
      </c>
      <c r="O1" s="2" t="s">
        <v>11</v>
      </c>
      <c r="P1" s="2" t="s">
        <v>12</v>
      </c>
      <c r="Q1" s="2" t="s">
        <v>13</v>
      </c>
      <c r="R1" s="2" t="s">
        <v>14</v>
      </c>
      <c r="S1" s="2" t="s">
        <v>15</v>
      </c>
      <c r="T1" t="s">
        <v>16</v>
      </c>
      <c r="U1" t="s">
        <v>80</v>
      </c>
      <c r="V1" s="16" t="s">
        <v>84</v>
      </c>
      <c r="W1" s="16" t="s">
        <v>83</v>
      </c>
      <c r="X1" t="s">
        <v>91</v>
      </c>
    </row>
    <row r="2" spans="1:24" x14ac:dyDescent="0.25">
      <c r="A2">
        <v>10001</v>
      </c>
      <c r="B2" s="1">
        <v>45658</v>
      </c>
      <c r="C2" s="1" t="str">
        <f>TEXT(Table1[[#This Row],[Order_Date]],"DD")</f>
        <v>01</v>
      </c>
      <c r="D2" s="1" t="str">
        <f>TEXT(Table1[[#This Row],[Order_Date]],"MMM")</f>
        <v>Jan</v>
      </c>
      <c r="E2" s="1" t="str">
        <f>TEXT(Table1[[#This Row],[Order_Date]],"YYYY")</f>
        <v>2025</v>
      </c>
      <c r="F2">
        <v>3175</v>
      </c>
      <c r="G2" t="s">
        <v>17</v>
      </c>
      <c r="H2" t="s">
        <v>18</v>
      </c>
      <c r="I2" t="s">
        <v>33</v>
      </c>
      <c r="J2" t="s">
        <v>20</v>
      </c>
      <c r="K2">
        <v>2</v>
      </c>
      <c r="L2" s="2">
        <v>162.53</v>
      </c>
      <c r="M2" s="3">
        <v>0.15</v>
      </c>
      <c r="N2" s="2">
        <v>325.06</v>
      </c>
      <c r="O2" s="2">
        <v>48.759</v>
      </c>
      <c r="P2" s="2">
        <v>276.30099999999999</v>
      </c>
      <c r="Q2" s="2">
        <v>24.3</v>
      </c>
      <c r="R2" s="2">
        <v>48.6</v>
      </c>
      <c r="S2" s="2">
        <v>227.70099999999999</v>
      </c>
      <c r="T2" s="3">
        <v>0.824104871136912</v>
      </c>
      <c r="U2" s="2" t="str">
        <f>IF(Table1[[#This Row],[Net_Revenue]]&lt;Table1[[#This Row],[Total_Cost]], "Loss", "Gain")</f>
        <v>Gain</v>
      </c>
      <c r="V2" s="16">
        <f>IF(Table1[[#This Row],[Gain/Loss]]="Gain",Table1[[#This Row],[Quantity]], 0)</f>
        <v>2</v>
      </c>
      <c r="W2" s="16">
        <f>IF(Table1[[#This Row],[Gain/Loss]]="Loss",Table1[[#This Row],[Quantity]],0)</f>
        <v>0</v>
      </c>
      <c r="X2" s="16">
        <f>IF(OR(Table1[[#This Row],[Gain/Loss]]="Gain",Table1[[#This Row],[Gain/Loss]]="Loss"),Table1[[#This Row],[Quantity]],"")</f>
        <v>2</v>
      </c>
    </row>
    <row r="3" spans="1:24" x14ac:dyDescent="0.25">
      <c r="A3">
        <v>10002</v>
      </c>
      <c r="B3" s="1">
        <v>45659</v>
      </c>
      <c r="C3" s="1" t="str">
        <f>TEXT(Table1[[#This Row],[Order_Date]],"DD")</f>
        <v>02</v>
      </c>
      <c r="D3" s="1" t="str">
        <f>TEXT(Table1[[#This Row],[Order_Date]],"MMM")</f>
        <v>Jan</v>
      </c>
      <c r="E3" s="1" t="str">
        <f>TEXT(Table1[[#This Row],[Order_Date]],"YYYY")</f>
        <v>2025</v>
      </c>
      <c r="F3">
        <v>3196</v>
      </c>
      <c r="G3" t="s">
        <v>21</v>
      </c>
      <c r="H3" t="s">
        <v>18</v>
      </c>
      <c r="I3" t="s">
        <v>25</v>
      </c>
      <c r="J3" t="s">
        <v>22</v>
      </c>
      <c r="K3">
        <v>5</v>
      </c>
      <c r="L3" s="2">
        <v>10.4</v>
      </c>
      <c r="M3" s="3">
        <v>0.2</v>
      </c>
      <c r="N3" s="2">
        <v>52</v>
      </c>
      <c r="O3" s="2">
        <v>10.4</v>
      </c>
      <c r="P3" s="2">
        <v>41.6</v>
      </c>
      <c r="Q3" s="2">
        <v>33.71</v>
      </c>
      <c r="R3" s="2">
        <v>168.55</v>
      </c>
      <c r="S3" s="2">
        <v>-126.95</v>
      </c>
      <c r="T3" s="3">
        <v>-3.0516826923076898</v>
      </c>
      <c r="U3" s="2" t="str">
        <f>IF(Table1[[#This Row],[Net_Revenue]]&lt;Table1[[#This Row],[Total_Cost]], "Loss", "Gain")</f>
        <v>Loss</v>
      </c>
      <c r="V3" s="16">
        <f>IF(Table1[[#This Row],[Gain/Loss]]="Gain",Table1[[#This Row],[Quantity]], 0)</f>
        <v>0</v>
      </c>
      <c r="W3" s="16">
        <f>IF(Table1[[#This Row],[Gain/Loss]]="Loss",Table1[[#This Row],[Quantity]],0)</f>
        <v>5</v>
      </c>
      <c r="X3" s="16">
        <f>IF(OR(Table1[[#This Row],[Gain/Loss]]="Gain",Table1[[#This Row],[Gain/Loss]]="Loss"),Table1[[#This Row],[Quantity]],"")</f>
        <v>5</v>
      </c>
    </row>
    <row r="4" spans="1:24" x14ac:dyDescent="0.25">
      <c r="A4">
        <v>10003</v>
      </c>
      <c r="B4" s="1">
        <v>45660</v>
      </c>
      <c r="C4" s="1" t="str">
        <f>TEXT(Table1[[#This Row],[Order_Date]],"DD")</f>
        <v>03</v>
      </c>
      <c r="D4" s="1" t="str">
        <f>TEXT(Table1[[#This Row],[Order_Date]],"MMM")</f>
        <v>Jan</v>
      </c>
      <c r="E4" s="1" t="str">
        <f>TEXT(Table1[[#This Row],[Order_Date]],"YYYY")</f>
        <v>2025</v>
      </c>
      <c r="F4">
        <v>3537</v>
      </c>
      <c r="G4" t="s">
        <v>23</v>
      </c>
      <c r="H4" t="s">
        <v>24</v>
      </c>
      <c r="I4" t="s">
        <v>25</v>
      </c>
      <c r="J4" t="s">
        <v>22</v>
      </c>
      <c r="K4">
        <v>1</v>
      </c>
      <c r="L4" s="2">
        <v>211.65</v>
      </c>
      <c r="M4" s="3">
        <v>0</v>
      </c>
      <c r="N4" s="2">
        <v>211.65</v>
      </c>
      <c r="O4" s="2">
        <v>0</v>
      </c>
      <c r="P4" s="2">
        <v>211.65</v>
      </c>
      <c r="Q4" s="2">
        <v>109.14</v>
      </c>
      <c r="R4" s="2">
        <v>109.14</v>
      </c>
      <c r="S4" s="2">
        <v>102.51</v>
      </c>
      <c r="T4" s="3">
        <v>0.48433734939758999</v>
      </c>
      <c r="U4" s="2" t="str">
        <f>IF(Table1[[#This Row],[Net_Revenue]]&lt;Table1[[#This Row],[Total_Cost]], "Loss", "Gain")</f>
        <v>Gain</v>
      </c>
      <c r="V4" s="16">
        <f>IF(Table1[[#This Row],[Gain/Loss]]="Gain",Table1[[#This Row],[Quantity]], 0)</f>
        <v>1</v>
      </c>
      <c r="W4" s="16">
        <f>IF(Table1[[#This Row],[Gain/Loss]]="Loss",Table1[[#This Row],[Quantity]],0)</f>
        <v>0</v>
      </c>
      <c r="X4" s="16">
        <f>IF(OR(Table1[[#This Row],[Gain/Loss]]="Gain",Table1[[#This Row],[Gain/Loss]]="Loss"),Table1[[#This Row],[Quantity]],"")</f>
        <v>1</v>
      </c>
    </row>
    <row r="5" spans="1:24" x14ac:dyDescent="0.25">
      <c r="A5">
        <v>10004</v>
      </c>
      <c r="B5" s="1">
        <v>45661</v>
      </c>
      <c r="C5" s="1" t="str">
        <f>TEXT(Table1[[#This Row],[Order_Date]],"DD")</f>
        <v>04</v>
      </c>
      <c r="D5" s="1" t="str">
        <f>TEXT(Table1[[#This Row],[Order_Date]],"MMM")</f>
        <v>Jan</v>
      </c>
      <c r="E5" s="1" t="str">
        <f>TEXT(Table1[[#This Row],[Order_Date]],"YYYY")</f>
        <v>2025</v>
      </c>
      <c r="F5">
        <v>3502</v>
      </c>
      <c r="G5" t="s">
        <v>21</v>
      </c>
      <c r="H5" t="s">
        <v>18</v>
      </c>
      <c r="I5" t="s">
        <v>19</v>
      </c>
      <c r="J5" t="s">
        <v>27</v>
      </c>
      <c r="K5">
        <v>4</v>
      </c>
      <c r="L5" s="2">
        <v>63.72</v>
      </c>
      <c r="M5" s="3">
        <v>0.1</v>
      </c>
      <c r="N5" s="2">
        <v>254.88</v>
      </c>
      <c r="O5" s="2">
        <v>25.488</v>
      </c>
      <c r="P5" s="2">
        <v>229.392</v>
      </c>
      <c r="Q5" s="2">
        <v>82.99</v>
      </c>
      <c r="R5" s="2">
        <v>331.96</v>
      </c>
      <c r="S5" s="2">
        <v>-102.567999999999</v>
      </c>
      <c r="T5" s="3">
        <v>-0.44712980400362601</v>
      </c>
      <c r="U5" s="2" t="str">
        <f>IF(Table1[[#This Row],[Net_Revenue]]&lt;Table1[[#This Row],[Total_Cost]], "Loss", "Gain")</f>
        <v>Loss</v>
      </c>
      <c r="V5" s="16">
        <f>IF(Table1[[#This Row],[Gain/Loss]]="Gain",Table1[[#This Row],[Quantity]], 0)</f>
        <v>0</v>
      </c>
      <c r="W5" s="16">
        <f>IF(Table1[[#This Row],[Gain/Loss]]="Loss",Table1[[#This Row],[Quantity]],0)</f>
        <v>4</v>
      </c>
      <c r="X5" s="16">
        <f>IF(OR(Table1[[#This Row],[Gain/Loss]]="Gain",Table1[[#This Row],[Gain/Loss]]="Loss"),Table1[[#This Row],[Quantity]],"")</f>
        <v>4</v>
      </c>
    </row>
    <row r="6" spans="1:24" x14ac:dyDescent="0.25">
      <c r="A6">
        <v>10005</v>
      </c>
      <c r="B6" s="1">
        <v>45662</v>
      </c>
      <c r="C6" s="1" t="str">
        <f>TEXT(Table1[[#This Row],[Order_Date]],"DD")</f>
        <v>05</v>
      </c>
      <c r="D6" s="1" t="str">
        <f>TEXT(Table1[[#This Row],[Order_Date]],"MMM")</f>
        <v>Jan</v>
      </c>
      <c r="E6" s="1" t="str">
        <f>TEXT(Table1[[#This Row],[Order_Date]],"YYYY")</f>
        <v>2025</v>
      </c>
      <c r="F6">
        <v>3579</v>
      </c>
      <c r="G6" t="s">
        <v>23</v>
      </c>
      <c r="H6" t="s">
        <v>24</v>
      </c>
      <c r="I6" t="s">
        <v>25</v>
      </c>
      <c r="J6" t="s">
        <v>22</v>
      </c>
      <c r="K6">
        <v>9</v>
      </c>
      <c r="L6" s="2">
        <v>147.16</v>
      </c>
      <c r="M6" s="3">
        <v>0.15</v>
      </c>
      <c r="N6" s="2">
        <v>1324.44</v>
      </c>
      <c r="O6" s="2">
        <v>198.666</v>
      </c>
      <c r="P6" s="2">
        <v>1125.7739999999999</v>
      </c>
      <c r="Q6" s="2">
        <v>107.51</v>
      </c>
      <c r="R6" s="2">
        <v>967.59</v>
      </c>
      <c r="S6" s="2">
        <v>158.184</v>
      </c>
      <c r="T6" s="3">
        <v>0.140511328206194</v>
      </c>
      <c r="U6" s="2" t="str">
        <f>IF(Table1[[#This Row],[Net_Revenue]]&lt;Table1[[#This Row],[Total_Cost]], "Loss", "Gain")</f>
        <v>Gain</v>
      </c>
      <c r="V6" s="16">
        <f>IF(Table1[[#This Row],[Gain/Loss]]="Gain",Table1[[#This Row],[Quantity]], 0)</f>
        <v>9</v>
      </c>
      <c r="W6" s="16">
        <f>IF(Table1[[#This Row],[Gain/Loss]]="Loss",Table1[[#This Row],[Quantity]],0)</f>
        <v>0</v>
      </c>
      <c r="X6" s="16">
        <f>IF(OR(Table1[[#This Row],[Gain/Loss]]="Gain",Table1[[#This Row],[Gain/Loss]]="Loss"),Table1[[#This Row],[Quantity]],"")</f>
        <v>9</v>
      </c>
    </row>
    <row r="7" spans="1:24" x14ac:dyDescent="0.25">
      <c r="A7">
        <v>10006</v>
      </c>
      <c r="B7" s="1">
        <v>45663</v>
      </c>
      <c r="C7" s="1" t="str">
        <f>TEXT(Table1[[#This Row],[Order_Date]],"DD")</f>
        <v>06</v>
      </c>
      <c r="D7" s="1" t="str">
        <f>TEXT(Table1[[#This Row],[Order_Date]],"MMM")</f>
        <v>Jan</v>
      </c>
      <c r="E7" s="1" t="str">
        <f>TEXT(Table1[[#This Row],[Order_Date]],"YYYY")</f>
        <v>2025</v>
      </c>
      <c r="F7">
        <v>3211</v>
      </c>
      <c r="G7" t="s">
        <v>23</v>
      </c>
      <c r="H7" t="s">
        <v>24</v>
      </c>
      <c r="I7" t="s">
        <v>26</v>
      </c>
      <c r="J7" t="s">
        <v>28</v>
      </c>
      <c r="K7">
        <v>2</v>
      </c>
      <c r="L7" s="2">
        <v>94.38</v>
      </c>
      <c r="M7" s="3">
        <v>0.05</v>
      </c>
      <c r="N7" s="2">
        <v>188.76</v>
      </c>
      <c r="O7" s="2">
        <v>9.4380000000000006</v>
      </c>
      <c r="P7" s="2">
        <v>179.322</v>
      </c>
      <c r="Q7" s="2">
        <v>91.88</v>
      </c>
      <c r="R7" s="2">
        <v>183.76</v>
      </c>
      <c r="S7" s="2">
        <v>-4.4379999999999802</v>
      </c>
      <c r="T7" s="3">
        <v>-2.47487759449481E-2</v>
      </c>
      <c r="U7" s="2" t="str">
        <f>IF(Table1[[#This Row],[Net_Revenue]]&lt;Table1[[#This Row],[Total_Cost]], "Loss", "Gain")</f>
        <v>Loss</v>
      </c>
      <c r="V7" s="16">
        <f>IF(Table1[[#This Row],[Gain/Loss]]="Gain",Table1[[#This Row],[Quantity]], 0)</f>
        <v>0</v>
      </c>
      <c r="W7" s="16">
        <f>IF(Table1[[#This Row],[Gain/Loss]]="Loss",Table1[[#This Row],[Quantity]],0)</f>
        <v>2</v>
      </c>
      <c r="X7" s="16">
        <f>IF(OR(Table1[[#This Row],[Gain/Loss]]="Gain",Table1[[#This Row],[Gain/Loss]]="Loss"),Table1[[#This Row],[Quantity]],"")</f>
        <v>2</v>
      </c>
    </row>
    <row r="8" spans="1:24" x14ac:dyDescent="0.25">
      <c r="A8">
        <v>10007</v>
      </c>
      <c r="B8" s="1">
        <v>45664</v>
      </c>
      <c r="C8" s="1" t="str">
        <f>TEXT(Table1[[#This Row],[Order_Date]],"DD")</f>
        <v>07</v>
      </c>
      <c r="D8" s="1" t="str">
        <f>TEXT(Table1[[#This Row],[Order_Date]],"MMM")</f>
        <v>Jan</v>
      </c>
      <c r="E8" s="1" t="str">
        <f>TEXT(Table1[[#This Row],[Order_Date]],"YYYY")</f>
        <v>2025</v>
      </c>
      <c r="F8">
        <v>3919</v>
      </c>
      <c r="G8" t="s">
        <v>29</v>
      </c>
      <c r="H8" t="s">
        <v>24</v>
      </c>
      <c r="I8" t="s">
        <v>33</v>
      </c>
      <c r="J8" t="s">
        <v>20</v>
      </c>
      <c r="K8">
        <v>3</v>
      </c>
      <c r="L8" s="2">
        <v>150.56</v>
      </c>
      <c r="M8" s="3">
        <v>0.1</v>
      </c>
      <c r="N8" s="2">
        <v>451.68</v>
      </c>
      <c r="O8" s="2">
        <v>45.167999999999999</v>
      </c>
      <c r="P8" s="2">
        <v>406.512</v>
      </c>
      <c r="Q8" s="2">
        <v>86.16</v>
      </c>
      <c r="R8" s="2">
        <v>258.48</v>
      </c>
      <c r="S8" s="2">
        <v>148.03199999999899</v>
      </c>
      <c r="T8" s="3">
        <v>0.36415161176053801</v>
      </c>
      <c r="U8" s="2" t="str">
        <f>IF(Table1[[#This Row],[Net_Revenue]]&lt;Table1[[#This Row],[Total_Cost]], "Loss", "Gain")</f>
        <v>Gain</v>
      </c>
      <c r="V8" s="16">
        <f>IF(Table1[[#This Row],[Gain/Loss]]="Gain",Table1[[#This Row],[Quantity]], 0)</f>
        <v>3</v>
      </c>
      <c r="W8" s="16">
        <f>IF(Table1[[#This Row],[Gain/Loss]]="Loss",Table1[[#This Row],[Quantity]],0)</f>
        <v>0</v>
      </c>
      <c r="X8" s="16">
        <f>IF(OR(Table1[[#This Row],[Gain/Loss]]="Gain",Table1[[#This Row],[Gain/Loss]]="Loss"),Table1[[#This Row],[Quantity]],"")</f>
        <v>3</v>
      </c>
    </row>
    <row r="9" spans="1:24" x14ac:dyDescent="0.25">
      <c r="A9">
        <v>10008</v>
      </c>
      <c r="B9" s="1">
        <v>45665</v>
      </c>
      <c r="C9" s="1" t="str">
        <f>TEXT(Table1[[#This Row],[Order_Date]],"DD")</f>
        <v>08</v>
      </c>
      <c r="D9" s="1" t="str">
        <f>TEXT(Table1[[#This Row],[Order_Date]],"MMM")</f>
        <v>Jan</v>
      </c>
      <c r="E9" s="1" t="str">
        <f>TEXT(Table1[[#This Row],[Order_Date]],"YYYY")</f>
        <v>2025</v>
      </c>
      <c r="F9">
        <v>3615</v>
      </c>
      <c r="G9" t="s">
        <v>23</v>
      </c>
      <c r="H9" t="s">
        <v>24</v>
      </c>
      <c r="I9" t="s">
        <v>26</v>
      </c>
      <c r="J9" t="s">
        <v>30</v>
      </c>
      <c r="K9">
        <v>1</v>
      </c>
      <c r="L9" s="2">
        <v>73.819999999999993</v>
      </c>
      <c r="M9" s="3">
        <v>0</v>
      </c>
      <c r="N9" s="2">
        <v>73.819999999999993</v>
      </c>
      <c r="O9" s="2">
        <v>0</v>
      </c>
      <c r="P9" s="2">
        <v>73.819999999999993</v>
      </c>
      <c r="Q9" s="2">
        <v>31.93</v>
      </c>
      <c r="R9" s="2">
        <v>31.93</v>
      </c>
      <c r="S9" s="2">
        <v>41.889999999999901</v>
      </c>
      <c r="T9" s="3">
        <v>0.56746139257653705</v>
      </c>
      <c r="U9" s="2" t="str">
        <f>IF(Table1[[#This Row],[Net_Revenue]]&lt;Table1[[#This Row],[Total_Cost]], "Loss", "Gain")</f>
        <v>Gain</v>
      </c>
      <c r="V9" s="16">
        <f>IF(Table1[[#This Row],[Gain/Loss]]="Gain",Table1[[#This Row],[Quantity]], 0)</f>
        <v>1</v>
      </c>
      <c r="W9" s="16">
        <f>IF(Table1[[#This Row],[Gain/Loss]]="Loss",Table1[[#This Row],[Quantity]],0)</f>
        <v>0</v>
      </c>
      <c r="X9" s="16">
        <f>IF(OR(Table1[[#This Row],[Gain/Loss]]="Gain",Table1[[#This Row],[Gain/Loss]]="Loss"),Table1[[#This Row],[Quantity]],"")</f>
        <v>1</v>
      </c>
    </row>
    <row r="10" spans="1:24" x14ac:dyDescent="0.25">
      <c r="A10">
        <v>10009</v>
      </c>
      <c r="B10" s="1">
        <v>45666</v>
      </c>
      <c r="C10" s="1" t="str">
        <f>TEXT(Table1[[#This Row],[Order_Date]],"DD")</f>
        <v>09</v>
      </c>
      <c r="D10" s="1" t="str">
        <f>TEXT(Table1[[#This Row],[Order_Date]],"MMM")</f>
        <v>Jan</v>
      </c>
      <c r="E10" s="1" t="str">
        <f>TEXT(Table1[[#This Row],[Order_Date]],"YYYY")</f>
        <v>2025</v>
      </c>
      <c r="F10">
        <v>3348</v>
      </c>
      <c r="G10" t="s">
        <v>23</v>
      </c>
      <c r="H10" t="s">
        <v>18</v>
      </c>
      <c r="I10" t="s">
        <v>19</v>
      </c>
      <c r="J10" t="s">
        <v>27</v>
      </c>
      <c r="K10">
        <v>6</v>
      </c>
      <c r="L10" s="2">
        <v>194.84</v>
      </c>
      <c r="M10" s="3">
        <v>0.15</v>
      </c>
      <c r="N10" s="2">
        <v>1169.04</v>
      </c>
      <c r="O10" s="2">
        <v>175.35599999999999</v>
      </c>
      <c r="P10" s="2">
        <v>993.68399999999997</v>
      </c>
      <c r="Q10" s="2">
        <v>129.72999999999999</v>
      </c>
      <c r="R10" s="2">
        <v>778.37999999999897</v>
      </c>
      <c r="S10" s="2">
        <v>215.304</v>
      </c>
      <c r="T10" s="3">
        <v>0.21667250353231002</v>
      </c>
      <c r="U10" s="2" t="str">
        <f>IF(Table1[[#This Row],[Net_Revenue]]&lt;Table1[[#This Row],[Total_Cost]], "Loss", "Gain")</f>
        <v>Gain</v>
      </c>
      <c r="V10" s="16">
        <f>IF(Table1[[#This Row],[Gain/Loss]]="Gain",Table1[[#This Row],[Quantity]], 0)</f>
        <v>6</v>
      </c>
      <c r="W10" s="16">
        <f>IF(Table1[[#This Row],[Gain/Loss]]="Loss",Table1[[#This Row],[Quantity]],0)</f>
        <v>0</v>
      </c>
      <c r="X10" s="16">
        <f>IF(OR(Table1[[#This Row],[Gain/Loss]]="Gain",Table1[[#This Row],[Gain/Loss]]="Loss"),Table1[[#This Row],[Quantity]],"")</f>
        <v>6</v>
      </c>
    </row>
    <row r="11" spans="1:24" x14ac:dyDescent="0.25">
      <c r="A11">
        <v>10010</v>
      </c>
      <c r="B11" s="1">
        <v>45667</v>
      </c>
      <c r="C11" s="1" t="str">
        <f>TEXT(Table1[[#This Row],[Order_Date]],"DD")</f>
        <v>10</v>
      </c>
      <c r="D11" s="1" t="str">
        <f>TEXT(Table1[[#This Row],[Order_Date]],"MMM")</f>
        <v>Jan</v>
      </c>
      <c r="E11" s="1" t="str">
        <f>TEXT(Table1[[#This Row],[Order_Date]],"YYYY")</f>
        <v>2025</v>
      </c>
      <c r="F11">
        <v>3185</v>
      </c>
      <c r="G11" t="s">
        <v>21</v>
      </c>
      <c r="H11" t="s">
        <v>24</v>
      </c>
      <c r="I11" t="s">
        <v>26</v>
      </c>
      <c r="J11" t="s">
        <v>31</v>
      </c>
      <c r="K11">
        <v>8</v>
      </c>
      <c r="L11" s="2">
        <v>187.47</v>
      </c>
      <c r="M11" s="3">
        <v>0.05</v>
      </c>
      <c r="N11" s="2">
        <v>1499.76</v>
      </c>
      <c r="O11" s="2">
        <v>74.988</v>
      </c>
      <c r="P11" s="2">
        <v>1424.7719999999999</v>
      </c>
      <c r="Q11" s="2">
        <v>117.06</v>
      </c>
      <c r="R11" s="2">
        <v>936.48</v>
      </c>
      <c r="S11" s="2">
        <v>488.29199999999901</v>
      </c>
      <c r="T11" s="3">
        <v>0.34271588717352602</v>
      </c>
      <c r="U11" s="2" t="str">
        <f>IF(Table1[[#This Row],[Net_Revenue]]&lt;Table1[[#This Row],[Total_Cost]], "Loss", "Gain")</f>
        <v>Gain</v>
      </c>
      <c r="V11" s="16">
        <f>IF(Table1[[#This Row],[Gain/Loss]]="Gain",Table1[[#This Row],[Quantity]], 0)</f>
        <v>8</v>
      </c>
      <c r="W11" s="16">
        <f>IF(Table1[[#This Row],[Gain/Loss]]="Loss",Table1[[#This Row],[Quantity]],0)</f>
        <v>0</v>
      </c>
      <c r="X11" s="16">
        <f>IF(OR(Table1[[#This Row],[Gain/Loss]]="Gain",Table1[[#This Row],[Gain/Loss]]="Loss"),Table1[[#This Row],[Quantity]],"")</f>
        <v>8</v>
      </c>
    </row>
    <row r="12" spans="1:24" x14ac:dyDescent="0.25">
      <c r="A12">
        <v>10011</v>
      </c>
      <c r="B12" s="1">
        <v>45668</v>
      </c>
      <c r="C12" s="1" t="str">
        <f>TEXT(Table1[[#This Row],[Order_Date]],"DD")</f>
        <v>11</v>
      </c>
      <c r="D12" s="1" t="str">
        <f>TEXT(Table1[[#This Row],[Order_Date]],"MMM")</f>
        <v>Jan</v>
      </c>
      <c r="E12" s="1" t="str">
        <f>TEXT(Table1[[#This Row],[Order_Date]],"YYYY")</f>
        <v>2025</v>
      </c>
      <c r="F12">
        <v>3398</v>
      </c>
      <c r="G12" t="s">
        <v>17</v>
      </c>
      <c r="H12" t="s">
        <v>24</v>
      </c>
      <c r="I12" t="s">
        <v>26</v>
      </c>
      <c r="J12" t="s">
        <v>30</v>
      </c>
      <c r="K12">
        <v>6</v>
      </c>
      <c r="L12" s="2">
        <v>184.63</v>
      </c>
      <c r="M12" s="3">
        <v>0.2</v>
      </c>
      <c r="N12" s="2">
        <v>1107.78</v>
      </c>
      <c r="O12" s="2">
        <v>221.55600000000001</v>
      </c>
      <c r="P12" s="2">
        <v>886.22399999999902</v>
      </c>
      <c r="Q12" s="2">
        <v>114.62</v>
      </c>
      <c r="R12" s="2">
        <v>687.72</v>
      </c>
      <c r="S12" s="2">
        <v>198.503999999999</v>
      </c>
      <c r="T12" s="3">
        <v>0.22398851757569102</v>
      </c>
      <c r="U12" s="2" t="str">
        <f>IF(Table1[[#This Row],[Net_Revenue]]&lt;Table1[[#This Row],[Total_Cost]], "Loss", "Gain")</f>
        <v>Gain</v>
      </c>
      <c r="V12" s="16">
        <f>IF(Table1[[#This Row],[Gain/Loss]]="Gain",Table1[[#This Row],[Quantity]], 0)</f>
        <v>6</v>
      </c>
      <c r="W12" s="16">
        <f>IF(Table1[[#This Row],[Gain/Loss]]="Loss",Table1[[#This Row],[Quantity]],0)</f>
        <v>0</v>
      </c>
      <c r="X12" s="16">
        <f>IF(OR(Table1[[#This Row],[Gain/Loss]]="Gain",Table1[[#This Row],[Gain/Loss]]="Loss"),Table1[[#This Row],[Quantity]],"")</f>
        <v>6</v>
      </c>
    </row>
    <row r="13" spans="1:24" x14ac:dyDescent="0.25">
      <c r="A13">
        <v>10012</v>
      </c>
      <c r="B13" s="1">
        <v>45669</v>
      </c>
      <c r="C13" s="1" t="str">
        <f>TEXT(Table1[[#This Row],[Order_Date]],"DD")</f>
        <v>12</v>
      </c>
      <c r="D13" s="1" t="str">
        <f>TEXT(Table1[[#This Row],[Order_Date]],"MMM")</f>
        <v>Jan</v>
      </c>
      <c r="E13" s="1" t="str">
        <f>TEXT(Table1[[#This Row],[Order_Date]],"YYYY")</f>
        <v>2025</v>
      </c>
      <c r="F13">
        <v>3535</v>
      </c>
      <c r="G13" t="s">
        <v>29</v>
      </c>
      <c r="H13" t="s">
        <v>24</v>
      </c>
      <c r="I13" t="s">
        <v>26</v>
      </c>
      <c r="J13" t="s">
        <v>31</v>
      </c>
      <c r="K13">
        <v>3</v>
      </c>
      <c r="L13" s="2">
        <v>55.41</v>
      </c>
      <c r="M13" s="3">
        <v>0.15</v>
      </c>
      <c r="N13" s="2">
        <v>166.23</v>
      </c>
      <c r="O13" s="2">
        <v>24.9344999999999</v>
      </c>
      <c r="P13" s="2">
        <v>141.2955</v>
      </c>
      <c r="Q13" s="2">
        <v>140.11000000000001</v>
      </c>
      <c r="R13" s="2">
        <v>420.33</v>
      </c>
      <c r="S13" s="2">
        <v>-279.03449999999998</v>
      </c>
      <c r="T13" s="3">
        <v>-1.9748293470068001</v>
      </c>
      <c r="U13" s="2" t="str">
        <f>IF(Table1[[#This Row],[Net_Revenue]]&lt;Table1[[#This Row],[Total_Cost]], "Loss", "Gain")</f>
        <v>Loss</v>
      </c>
      <c r="V13" s="16">
        <f>IF(Table1[[#This Row],[Gain/Loss]]="Gain",Table1[[#This Row],[Quantity]], 0)</f>
        <v>0</v>
      </c>
      <c r="W13" s="16">
        <f>IF(Table1[[#This Row],[Gain/Loss]]="Loss",Table1[[#This Row],[Quantity]],0)</f>
        <v>3</v>
      </c>
      <c r="X13" s="16">
        <f>IF(OR(Table1[[#This Row],[Gain/Loss]]="Gain",Table1[[#This Row],[Gain/Loss]]="Loss"),Table1[[#This Row],[Quantity]],"")</f>
        <v>3</v>
      </c>
    </row>
    <row r="14" spans="1:24" x14ac:dyDescent="0.25">
      <c r="A14">
        <v>10013</v>
      </c>
      <c r="B14" s="1">
        <v>45670</v>
      </c>
      <c r="C14" s="1" t="str">
        <f>TEXT(Table1[[#This Row],[Order_Date]],"DD")</f>
        <v>13</v>
      </c>
      <c r="D14" s="1" t="str">
        <f>TEXT(Table1[[#This Row],[Order_Date]],"MMM")</f>
        <v>Jan</v>
      </c>
      <c r="E14" s="1" t="str">
        <f>TEXT(Table1[[#This Row],[Order_Date]],"YYYY")</f>
        <v>2025</v>
      </c>
      <c r="F14">
        <v>3584</v>
      </c>
      <c r="G14" t="s">
        <v>21</v>
      </c>
      <c r="H14" t="s">
        <v>18</v>
      </c>
      <c r="I14" t="s">
        <v>25</v>
      </c>
      <c r="J14" t="s">
        <v>32</v>
      </c>
      <c r="K14">
        <v>2</v>
      </c>
      <c r="L14" s="2">
        <v>19.73</v>
      </c>
      <c r="M14" s="3">
        <v>0.2</v>
      </c>
      <c r="N14" s="2">
        <v>39.46</v>
      </c>
      <c r="O14" s="2">
        <v>7.8920000000000003</v>
      </c>
      <c r="P14" s="2">
        <v>31.568000000000001</v>
      </c>
      <c r="Q14" s="2">
        <v>62.34</v>
      </c>
      <c r="R14" s="2">
        <v>124.68</v>
      </c>
      <c r="S14" s="2">
        <v>-93.111999999999995</v>
      </c>
      <c r="T14" s="3">
        <v>-2.9495691839837797</v>
      </c>
      <c r="U14" s="2" t="str">
        <f>IF(Table1[[#This Row],[Net_Revenue]]&lt;Table1[[#This Row],[Total_Cost]], "Loss", "Gain")</f>
        <v>Loss</v>
      </c>
      <c r="V14" s="16">
        <f>IF(Table1[[#This Row],[Gain/Loss]]="Gain",Table1[[#This Row],[Quantity]], 0)</f>
        <v>0</v>
      </c>
      <c r="W14" s="16">
        <f>IF(Table1[[#This Row],[Gain/Loss]]="Loss",Table1[[#This Row],[Quantity]],0)</f>
        <v>2</v>
      </c>
      <c r="X14" s="16">
        <f>IF(OR(Table1[[#This Row],[Gain/Loss]]="Gain",Table1[[#This Row],[Gain/Loss]]="Loss"),Table1[[#This Row],[Quantity]],"")</f>
        <v>2</v>
      </c>
    </row>
    <row r="15" spans="1:24" x14ac:dyDescent="0.25">
      <c r="A15">
        <v>10014</v>
      </c>
      <c r="B15" s="1">
        <v>45671</v>
      </c>
      <c r="C15" s="1" t="str">
        <f>TEXT(Table1[[#This Row],[Order_Date]],"DD")</f>
        <v>14</v>
      </c>
      <c r="D15" s="1" t="str">
        <f>TEXT(Table1[[#This Row],[Order_Date]],"MMM")</f>
        <v>Jan</v>
      </c>
      <c r="E15" s="1" t="str">
        <f>TEXT(Table1[[#This Row],[Order_Date]],"YYYY")</f>
        <v>2025</v>
      </c>
      <c r="F15">
        <v>3345</v>
      </c>
      <c r="G15" t="s">
        <v>29</v>
      </c>
      <c r="H15" t="s">
        <v>18</v>
      </c>
      <c r="I15" t="s">
        <v>26</v>
      </c>
      <c r="J15" t="s">
        <v>28</v>
      </c>
      <c r="K15">
        <v>8</v>
      </c>
      <c r="L15" s="2">
        <v>55.59</v>
      </c>
      <c r="M15" s="3">
        <v>0</v>
      </c>
      <c r="N15" s="2">
        <v>444.72</v>
      </c>
      <c r="O15" s="2">
        <v>0</v>
      </c>
      <c r="P15" s="2">
        <v>444.72</v>
      </c>
      <c r="Q15" s="2">
        <v>66.17</v>
      </c>
      <c r="R15" s="2">
        <v>529.36</v>
      </c>
      <c r="S15" s="2">
        <v>-84.639999999999901</v>
      </c>
      <c r="T15" s="3">
        <v>-0.19032200035977598</v>
      </c>
      <c r="U15" s="2" t="str">
        <f>IF(Table1[[#This Row],[Net_Revenue]]&lt;Table1[[#This Row],[Total_Cost]], "Loss", "Gain")</f>
        <v>Loss</v>
      </c>
      <c r="V15" s="16">
        <f>IF(Table1[[#This Row],[Gain/Loss]]="Gain",Table1[[#This Row],[Quantity]], 0)</f>
        <v>0</v>
      </c>
      <c r="W15" s="16">
        <f>IF(Table1[[#This Row],[Gain/Loss]]="Loss",Table1[[#This Row],[Quantity]],0)</f>
        <v>8</v>
      </c>
      <c r="X15" s="16">
        <f>IF(OR(Table1[[#This Row],[Gain/Loss]]="Gain",Table1[[#This Row],[Gain/Loss]]="Loss"),Table1[[#This Row],[Quantity]],"")</f>
        <v>8</v>
      </c>
    </row>
    <row r="16" spans="1:24" x14ac:dyDescent="0.25">
      <c r="A16">
        <v>10015</v>
      </c>
      <c r="B16" s="1">
        <v>45672</v>
      </c>
      <c r="C16" s="1" t="str">
        <f>TEXT(Table1[[#This Row],[Order_Date]],"DD")</f>
        <v>15</v>
      </c>
      <c r="D16" s="1" t="str">
        <f>TEXT(Table1[[#This Row],[Order_Date]],"MMM")</f>
        <v>Jan</v>
      </c>
      <c r="E16" s="1" t="str">
        <f>TEXT(Table1[[#This Row],[Order_Date]],"YYYY")</f>
        <v>2025</v>
      </c>
      <c r="F16">
        <v>3366</v>
      </c>
      <c r="G16" t="s">
        <v>17</v>
      </c>
      <c r="H16" t="s">
        <v>18</v>
      </c>
      <c r="I16" t="s">
        <v>26</v>
      </c>
      <c r="J16" t="s">
        <v>31</v>
      </c>
      <c r="K16">
        <v>7</v>
      </c>
      <c r="L16" s="2">
        <v>138.84</v>
      </c>
      <c r="M16" s="3">
        <v>0.2</v>
      </c>
      <c r="N16" s="2">
        <v>971.88</v>
      </c>
      <c r="O16" s="2">
        <v>194.376</v>
      </c>
      <c r="P16" s="2">
        <v>777.50400000000002</v>
      </c>
      <c r="Q16" s="2">
        <v>73.31</v>
      </c>
      <c r="R16" s="2">
        <v>513.16999999999996</v>
      </c>
      <c r="S16" s="2">
        <v>264.33399999999898</v>
      </c>
      <c r="T16" s="3">
        <v>0.33997767214059299</v>
      </c>
      <c r="U16" s="2" t="str">
        <f>IF(Table1[[#This Row],[Net_Revenue]]&lt;Table1[[#This Row],[Total_Cost]], "Loss", "Gain")</f>
        <v>Gain</v>
      </c>
      <c r="V16" s="16">
        <f>IF(Table1[[#This Row],[Gain/Loss]]="Gain",Table1[[#This Row],[Quantity]], 0)</f>
        <v>7</v>
      </c>
      <c r="W16" s="16">
        <f>IF(Table1[[#This Row],[Gain/Loss]]="Loss",Table1[[#This Row],[Quantity]],0)</f>
        <v>0</v>
      </c>
      <c r="X16" s="16">
        <f>IF(OR(Table1[[#This Row],[Gain/Loss]]="Gain",Table1[[#This Row],[Gain/Loss]]="Loss"),Table1[[#This Row],[Quantity]],"")</f>
        <v>7</v>
      </c>
    </row>
    <row r="17" spans="1:24" x14ac:dyDescent="0.25">
      <c r="A17">
        <v>10016</v>
      </c>
      <c r="B17" s="1">
        <v>45673</v>
      </c>
      <c r="C17" s="1" t="str">
        <f>TEXT(Table1[[#This Row],[Order_Date]],"DD")</f>
        <v>16</v>
      </c>
      <c r="D17" s="1" t="str">
        <f>TEXT(Table1[[#This Row],[Order_Date]],"MMM")</f>
        <v>Jan</v>
      </c>
      <c r="E17" s="1" t="str">
        <f>TEXT(Table1[[#This Row],[Order_Date]],"YYYY")</f>
        <v>2025</v>
      </c>
      <c r="F17">
        <v>3554</v>
      </c>
      <c r="G17" t="s">
        <v>21</v>
      </c>
      <c r="H17" t="s">
        <v>24</v>
      </c>
      <c r="I17" t="s">
        <v>26</v>
      </c>
      <c r="J17" t="s">
        <v>28</v>
      </c>
      <c r="K17">
        <v>5</v>
      </c>
      <c r="L17" s="2">
        <v>93.91</v>
      </c>
      <c r="M17" s="3">
        <v>0.1</v>
      </c>
      <c r="N17" s="2">
        <v>469.54999999999899</v>
      </c>
      <c r="O17" s="2">
        <v>46.954999999999998</v>
      </c>
      <c r="P17" s="2">
        <v>422.594999999999</v>
      </c>
      <c r="Q17" s="2">
        <v>55.71</v>
      </c>
      <c r="R17" s="2">
        <v>278.55</v>
      </c>
      <c r="S17" s="2">
        <v>144.04499999999899</v>
      </c>
      <c r="T17" s="3">
        <v>0.34085826855499901</v>
      </c>
      <c r="U17" s="2" t="str">
        <f>IF(Table1[[#This Row],[Net_Revenue]]&lt;Table1[[#This Row],[Total_Cost]], "Loss", "Gain")</f>
        <v>Gain</v>
      </c>
      <c r="V17" s="16">
        <f>IF(Table1[[#This Row],[Gain/Loss]]="Gain",Table1[[#This Row],[Quantity]], 0)</f>
        <v>5</v>
      </c>
      <c r="W17" s="16">
        <f>IF(Table1[[#This Row],[Gain/Loss]]="Loss",Table1[[#This Row],[Quantity]],0)</f>
        <v>0</v>
      </c>
      <c r="X17" s="16">
        <f>IF(OR(Table1[[#This Row],[Gain/Loss]]="Gain",Table1[[#This Row],[Gain/Loss]]="Loss"),Table1[[#This Row],[Quantity]],"")</f>
        <v>5</v>
      </c>
    </row>
    <row r="18" spans="1:24" x14ac:dyDescent="0.25">
      <c r="A18">
        <v>10017</v>
      </c>
      <c r="B18" s="1">
        <v>45674</v>
      </c>
      <c r="C18" s="1" t="str">
        <f>TEXT(Table1[[#This Row],[Order_Date]],"DD")</f>
        <v>17</v>
      </c>
      <c r="D18" s="1" t="str">
        <f>TEXT(Table1[[#This Row],[Order_Date]],"MMM")</f>
        <v>Jan</v>
      </c>
      <c r="E18" s="1" t="str">
        <f>TEXT(Table1[[#This Row],[Order_Date]],"YYYY")</f>
        <v>2025</v>
      </c>
      <c r="F18">
        <v>3730</v>
      </c>
      <c r="G18" t="s">
        <v>29</v>
      </c>
      <c r="H18" t="s">
        <v>24</v>
      </c>
      <c r="I18" t="s">
        <v>26</v>
      </c>
      <c r="J18" t="s">
        <v>31</v>
      </c>
      <c r="K18">
        <v>7</v>
      </c>
      <c r="L18" s="2">
        <v>148.75</v>
      </c>
      <c r="M18" s="3">
        <v>0.15</v>
      </c>
      <c r="N18" s="2">
        <v>1041.25</v>
      </c>
      <c r="O18" s="2">
        <v>156.1875</v>
      </c>
      <c r="P18" s="2">
        <v>885.0625</v>
      </c>
      <c r="Q18" s="2">
        <v>79.13</v>
      </c>
      <c r="R18" s="2">
        <v>553.91</v>
      </c>
      <c r="S18" s="2">
        <v>331.15249999999997</v>
      </c>
      <c r="T18" s="3">
        <v>0.37415719228868</v>
      </c>
      <c r="U18" s="2" t="str">
        <f>IF(Table1[[#This Row],[Net_Revenue]]&lt;Table1[[#This Row],[Total_Cost]], "Loss", "Gain")</f>
        <v>Gain</v>
      </c>
      <c r="V18" s="16">
        <f>IF(Table1[[#This Row],[Gain/Loss]]="Gain",Table1[[#This Row],[Quantity]], 0)</f>
        <v>7</v>
      </c>
      <c r="W18" s="16">
        <f>IF(Table1[[#This Row],[Gain/Loss]]="Loss",Table1[[#This Row],[Quantity]],0)</f>
        <v>0</v>
      </c>
      <c r="X18" s="16">
        <f>IF(OR(Table1[[#This Row],[Gain/Loss]]="Gain",Table1[[#This Row],[Gain/Loss]]="Loss"),Table1[[#This Row],[Quantity]],"")</f>
        <v>7</v>
      </c>
    </row>
    <row r="19" spans="1:24" x14ac:dyDescent="0.25">
      <c r="A19">
        <v>10018</v>
      </c>
      <c r="B19" s="1">
        <v>45675</v>
      </c>
      <c r="C19" s="1" t="str">
        <f>TEXT(Table1[[#This Row],[Order_Date]],"DD")</f>
        <v>18</v>
      </c>
      <c r="D19" s="1" t="str">
        <f>TEXT(Table1[[#This Row],[Order_Date]],"MMM")</f>
        <v>Jan</v>
      </c>
      <c r="E19" s="1" t="str">
        <f>TEXT(Table1[[#This Row],[Order_Date]],"YYYY")</f>
        <v>2025</v>
      </c>
      <c r="F19">
        <v>3904</v>
      </c>
      <c r="G19" t="s">
        <v>23</v>
      </c>
      <c r="H19" t="s">
        <v>24</v>
      </c>
      <c r="I19" t="s">
        <v>25</v>
      </c>
      <c r="J19" t="s">
        <v>22</v>
      </c>
      <c r="K19">
        <v>4</v>
      </c>
      <c r="L19" s="2">
        <v>54.52</v>
      </c>
      <c r="M19" s="3">
        <v>0.2</v>
      </c>
      <c r="N19" s="2">
        <v>218.08</v>
      </c>
      <c r="O19" s="2">
        <v>43.616</v>
      </c>
      <c r="P19" s="2">
        <v>174.464</v>
      </c>
      <c r="Q19" s="2">
        <v>95.8</v>
      </c>
      <c r="R19" s="2">
        <v>383.2</v>
      </c>
      <c r="S19" s="2">
        <v>-208.73599999999999</v>
      </c>
      <c r="T19" s="3">
        <v>-1.19644167278063</v>
      </c>
      <c r="U19" s="2" t="str">
        <f>IF(Table1[[#This Row],[Net_Revenue]]&lt;Table1[[#This Row],[Total_Cost]], "Loss", "Gain")</f>
        <v>Loss</v>
      </c>
      <c r="V19" s="16">
        <f>IF(Table1[[#This Row],[Gain/Loss]]="Gain",Table1[[#This Row],[Quantity]], 0)</f>
        <v>0</v>
      </c>
      <c r="W19" s="16">
        <f>IF(Table1[[#This Row],[Gain/Loss]]="Loss",Table1[[#This Row],[Quantity]],0)</f>
        <v>4</v>
      </c>
      <c r="X19" s="16">
        <f>IF(OR(Table1[[#This Row],[Gain/Loss]]="Gain",Table1[[#This Row],[Gain/Loss]]="Loss"),Table1[[#This Row],[Quantity]],"")</f>
        <v>4</v>
      </c>
    </row>
    <row r="20" spans="1:24" x14ac:dyDescent="0.25">
      <c r="A20">
        <v>10019</v>
      </c>
      <c r="B20" s="1">
        <v>45676</v>
      </c>
      <c r="C20" s="1" t="str">
        <f>TEXT(Table1[[#This Row],[Order_Date]],"DD")</f>
        <v>19</v>
      </c>
      <c r="D20" s="1" t="str">
        <f>TEXT(Table1[[#This Row],[Order_Date]],"MMM")</f>
        <v>Jan</v>
      </c>
      <c r="E20" s="1" t="str">
        <f>TEXT(Table1[[#This Row],[Order_Date]],"YYYY")</f>
        <v>2025</v>
      </c>
      <c r="F20">
        <v>3167</v>
      </c>
      <c r="G20" t="s">
        <v>29</v>
      </c>
      <c r="H20" t="s">
        <v>24</v>
      </c>
      <c r="I20" t="s">
        <v>25</v>
      </c>
      <c r="J20" t="s">
        <v>32</v>
      </c>
      <c r="K20">
        <v>8</v>
      </c>
      <c r="L20" s="2">
        <v>14.55</v>
      </c>
      <c r="M20" s="3">
        <v>0.05</v>
      </c>
      <c r="N20" s="2">
        <v>116.4</v>
      </c>
      <c r="O20" s="2">
        <v>5.82</v>
      </c>
      <c r="P20" s="2">
        <v>110.58</v>
      </c>
      <c r="Q20" s="2">
        <v>90.18</v>
      </c>
      <c r="R20" s="2">
        <v>721.44</v>
      </c>
      <c r="S20" s="2">
        <v>-610.86</v>
      </c>
      <c r="T20" s="3">
        <v>-5.5241454150841003</v>
      </c>
      <c r="U20" s="2" t="str">
        <f>IF(Table1[[#This Row],[Net_Revenue]]&lt;Table1[[#This Row],[Total_Cost]], "Loss", "Gain")</f>
        <v>Loss</v>
      </c>
      <c r="V20" s="16">
        <f>IF(Table1[[#This Row],[Gain/Loss]]="Gain",Table1[[#This Row],[Quantity]], 0)</f>
        <v>0</v>
      </c>
      <c r="W20" s="16">
        <f>IF(Table1[[#This Row],[Gain/Loss]]="Loss",Table1[[#This Row],[Quantity]],0)</f>
        <v>8</v>
      </c>
      <c r="X20" s="16">
        <f>IF(OR(Table1[[#This Row],[Gain/Loss]]="Gain",Table1[[#This Row],[Gain/Loss]]="Loss"),Table1[[#This Row],[Quantity]],"")</f>
        <v>8</v>
      </c>
    </row>
    <row r="21" spans="1:24" x14ac:dyDescent="0.25">
      <c r="A21">
        <v>10020</v>
      </c>
      <c r="B21" s="1">
        <v>45677</v>
      </c>
      <c r="C21" s="1" t="str">
        <f>TEXT(Table1[[#This Row],[Order_Date]],"DD")</f>
        <v>20</v>
      </c>
      <c r="D21" s="1" t="str">
        <f>TEXT(Table1[[#This Row],[Order_Date]],"MMM")</f>
        <v>Jan</v>
      </c>
      <c r="E21" s="1" t="str">
        <f>TEXT(Table1[[#This Row],[Order_Date]],"YYYY")</f>
        <v>2025</v>
      </c>
      <c r="F21">
        <v>3998</v>
      </c>
      <c r="G21" t="s">
        <v>29</v>
      </c>
      <c r="H21" t="s">
        <v>24</v>
      </c>
      <c r="I21" t="s">
        <v>26</v>
      </c>
      <c r="J21" t="s">
        <v>30</v>
      </c>
      <c r="K21">
        <v>3</v>
      </c>
      <c r="L21" s="2">
        <v>26.48</v>
      </c>
      <c r="M21" s="3">
        <v>0.15</v>
      </c>
      <c r="N21" s="2">
        <v>79.44</v>
      </c>
      <c r="O21" s="2">
        <v>11.915999999999899</v>
      </c>
      <c r="P21" s="2">
        <v>67.524000000000001</v>
      </c>
      <c r="Q21" s="2">
        <v>30.58</v>
      </c>
      <c r="R21" s="2">
        <v>91.74</v>
      </c>
      <c r="S21" s="2">
        <v>-24.215999999999902</v>
      </c>
      <c r="T21" s="3">
        <v>-0.35862804336235898</v>
      </c>
      <c r="U21" s="2" t="str">
        <f>IF(Table1[[#This Row],[Net_Revenue]]&lt;Table1[[#This Row],[Total_Cost]], "Loss", "Gain")</f>
        <v>Loss</v>
      </c>
      <c r="V21" s="16">
        <f>IF(Table1[[#This Row],[Gain/Loss]]="Gain",Table1[[#This Row],[Quantity]], 0)</f>
        <v>0</v>
      </c>
      <c r="W21" s="16">
        <f>IF(Table1[[#This Row],[Gain/Loss]]="Loss",Table1[[#This Row],[Quantity]],0)</f>
        <v>3</v>
      </c>
      <c r="X21" s="16">
        <f>IF(OR(Table1[[#This Row],[Gain/Loss]]="Gain",Table1[[#This Row],[Gain/Loss]]="Loss"),Table1[[#This Row],[Quantity]],"")</f>
        <v>3</v>
      </c>
    </row>
    <row r="22" spans="1:24" x14ac:dyDescent="0.25">
      <c r="A22">
        <v>10021</v>
      </c>
      <c r="B22" s="1">
        <v>45678</v>
      </c>
      <c r="C22" s="1" t="str">
        <f>TEXT(Table1[[#This Row],[Order_Date]],"DD")</f>
        <v>21</v>
      </c>
      <c r="D22" s="1" t="str">
        <f>TEXT(Table1[[#This Row],[Order_Date]],"MMM")</f>
        <v>Jan</v>
      </c>
      <c r="E22" s="1" t="str">
        <f>TEXT(Table1[[#This Row],[Order_Date]],"YYYY")</f>
        <v>2025</v>
      </c>
      <c r="F22">
        <v>3068</v>
      </c>
      <c r="G22" t="s">
        <v>29</v>
      </c>
      <c r="H22" t="s">
        <v>24</v>
      </c>
      <c r="I22" t="s">
        <v>25</v>
      </c>
      <c r="J22" t="s">
        <v>22</v>
      </c>
      <c r="K22">
        <v>7</v>
      </c>
      <c r="L22" s="2">
        <v>16.45</v>
      </c>
      <c r="M22" s="3">
        <v>0</v>
      </c>
      <c r="N22" s="2">
        <v>115.149999999999</v>
      </c>
      <c r="O22" s="2">
        <v>0</v>
      </c>
      <c r="P22" s="2">
        <v>115.149999999999</v>
      </c>
      <c r="Q22" s="2">
        <v>110.15</v>
      </c>
      <c r="R22" s="2">
        <v>771.05</v>
      </c>
      <c r="S22" s="2">
        <v>-655.9</v>
      </c>
      <c r="T22" s="3">
        <v>-5.6960486322188402</v>
      </c>
      <c r="U22" s="2" t="str">
        <f>IF(Table1[[#This Row],[Net_Revenue]]&lt;Table1[[#This Row],[Total_Cost]], "Loss", "Gain")</f>
        <v>Loss</v>
      </c>
      <c r="V22" s="16">
        <f>IF(Table1[[#This Row],[Gain/Loss]]="Gain",Table1[[#This Row],[Quantity]], 0)</f>
        <v>0</v>
      </c>
      <c r="W22" s="16">
        <f>IF(Table1[[#This Row],[Gain/Loss]]="Loss",Table1[[#This Row],[Quantity]],0)</f>
        <v>7</v>
      </c>
      <c r="X22" s="16">
        <f>IF(OR(Table1[[#This Row],[Gain/Loss]]="Gain",Table1[[#This Row],[Gain/Loss]]="Loss"),Table1[[#This Row],[Quantity]],"")</f>
        <v>7</v>
      </c>
    </row>
    <row r="23" spans="1:24" x14ac:dyDescent="0.25">
      <c r="A23">
        <v>10022</v>
      </c>
      <c r="B23" s="1">
        <v>45679</v>
      </c>
      <c r="C23" s="1" t="str">
        <f>TEXT(Table1[[#This Row],[Order_Date]],"DD")</f>
        <v>22</v>
      </c>
      <c r="D23" s="1" t="str">
        <f>TEXT(Table1[[#This Row],[Order_Date]],"MMM")</f>
        <v>Jan</v>
      </c>
      <c r="E23" s="1" t="str">
        <f>TEXT(Table1[[#This Row],[Order_Date]],"YYYY")</f>
        <v>2025</v>
      </c>
      <c r="F23">
        <v>3432</v>
      </c>
      <c r="G23" t="s">
        <v>21</v>
      </c>
      <c r="H23" t="s">
        <v>24</v>
      </c>
      <c r="I23" t="s">
        <v>19</v>
      </c>
      <c r="J23" t="s">
        <v>27</v>
      </c>
      <c r="K23">
        <v>3</v>
      </c>
      <c r="L23" s="2">
        <v>136.85</v>
      </c>
      <c r="M23" s="3">
        <v>0.1</v>
      </c>
      <c r="N23" s="2">
        <v>410.54999999999899</v>
      </c>
      <c r="O23" s="2">
        <v>41.055</v>
      </c>
      <c r="P23" s="2">
        <v>369.49499999999898</v>
      </c>
      <c r="Q23" s="2">
        <v>15.24</v>
      </c>
      <c r="R23" s="2">
        <v>45.72</v>
      </c>
      <c r="S23" s="2">
        <v>323.77499999999998</v>
      </c>
      <c r="T23" s="3">
        <v>0.87626354889781988</v>
      </c>
      <c r="U23" s="2" t="str">
        <f>IF(Table1[[#This Row],[Net_Revenue]]&lt;Table1[[#This Row],[Total_Cost]], "Loss", "Gain")</f>
        <v>Gain</v>
      </c>
      <c r="V23" s="16">
        <f>IF(Table1[[#This Row],[Gain/Loss]]="Gain",Table1[[#This Row],[Quantity]], 0)</f>
        <v>3</v>
      </c>
      <c r="W23" s="16">
        <f>IF(Table1[[#This Row],[Gain/Loss]]="Loss",Table1[[#This Row],[Quantity]],0)</f>
        <v>0</v>
      </c>
      <c r="X23" s="16">
        <f>IF(OR(Table1[[#This Row],[Gain/Loss]]="Gain",Table1[[#This Row],[Gain/Loss]]="Loss"),Table1[[#This Row],[Quantity]],"")</f>
        <v>3</v>
      </c>
    </row>
    <row r="24" spans="1:24" x14ac:dyDescent="0.25">
      <c r="A24">
        <v>10023</v>
      </c>
      <c r="B24" s="1">
        <v>45680</v>
      </c>
      <c r="C24" s="1" t="str">
        <f>TEXT(Table1[[#This Row],[Order_Date]],"DD")</f>
        <v>23</v>
      </c>
      <c r="D24" s="1" t="str">
        <f>TEXT(Table1[[#This Row],[Order_Date]],"MMM")</f>
        <v>Jan</v>
      </c>
      <c r="E24" s="1" t="str">
        <f>TEXT(Table1[[#This Row],[Order_Date]],"YYYY")</f>
        <v>2025</v>
      </c>
      <c r="F24">
        <v>3895</v>
      </c>
      <c r="G24" t="s">
        <v>21</v>
      </c>
      <c r="H24" t="s">
        <v>18</v>
      </c>
      <c r="I24" t="s">
        <v>19</v>
      </c>
      <c r="J24" t="s">
        <v>27</v>
      </c>
      <c r="K24">
        <v>7</v>
      </c>
      <c r="L24" s="2">
        <v>43.39</v>
      </c>
      <c r="M24" s="3">
        <v>0.1</v>
      </c>
      <c r="N24" s="2">
        <v>303.73</v>
      </c>
      <c r="O24" s="2">
        <v>30.373000000000001</v>
      </c>
      <c r="P24" s="2">
        <v>273.35700000000003</v>
      </c>
      <c r="Q24" s="2">
        <v>35.049999999999997</v>
      </c>
      <c r="R24" s="2">
        <v>245.349999999999</v>
      </c>
      <c r="S24" s="2">
        <v>28.007000000000001</v>
      </c>
      <c r="T24" s="3">
        <v>0.10245576297662</v>
      </c>
      <c r="U24" s="2" t="str">
        <f>IF(Table1[[#This Row],[Net_Revenue]]&lt;Table1[[#This Row],[Total_Cost]], "Loss", "Gain")</f>
        <v>Gain</v>
      </c>
      <c r="V24" s="16">
        <f>IF(Table1[[#This Row],[Gain/Loss]]="Gain",Table1[[#This Row],[Quantity]], 0)</f>
        <v>7</v>
      </c>
      <c r="W24" s="16">
        <f>IF(Table1[[#This Row],[Gain/Loss]]="Loss",Table1[[#This Row],[Quantity]],0)</f>
        <v>0</v>
      </c>
      <c r="X24" s="16">
        <f>IF(OR(Table1[[#This Row],[Gain/Loss]]="Gain",Table1[[#This Row],[Gain/Loss]]="Loss"),Table1[[#This Row],[Quantity]],"")</f>
        <v>7</v>
      </c>
    </row>
    <row r="25" spans="1:24" x14ac:dyDescent="0.25">
      <c r="A25">
        <v>10024</v>
      </c>
      <c r="B25" s="1">
        <v>45681</v>
      </c>
      <c r="C25" s="1" t="str">
        <f>TEXT(Table1[[#This Row],[Order_Date]],"DD")</f>
        <v>24</v>
      </c>
      <c r="D25" s="1" t="str">
        <f>TEXT(Table1[[#This Row],[Order_Date]],"MMM")</f>
        <v>Jan</v>
      </c>
      <c r="E25" s="1" t="str">
        <f>TEXT(Table1[[#This Row],[Order_Date]],"YYYY")</f>
        <v>2025</v>
      </c>
      <c r="F25">
        <v>3391</v>
      </c>
      <c r="G25" t="s">
        <v>21</v>
      </c>
      <c r="H25" t="s">
        <v>18</v>
      </c>
      <c r="I25" t="s">
        <v>26</v>
      </c>
      <c r="J25" t="s">
        <v>31</v>
      </c>
      <c r="K25">
        <v>6</v>
      </c>
      <c r="L25" s="2">
        <v>213.46</v>
      </c>
      <c r="M25" s="3">
        <v>0</v>
      </c>
      <c r="N25" s="2">
        <v>1280.76</v>
      </c>
      <c r="O25" s="2">
        <v>0</v>
      </c>
      <c r="P25" s="2">
        <v>1280.76</v>
      </c>
      <c r="Q25" s="2">
        <v>62.52</v>
      </c>
      <c r="R25" s="2">
        <v>375.12</v>
      </c>
      <c r="S25" s="2">
        <v>905.64</v>
      </c>
      <c r="T25" s="3">
        <v>0.70711140260470307</v>
      </c>
      <c r="U25" s="2" t="str">
        <f>IF(Table1[[#This Row],[Net_Revenue]]&lt;Table1[[#This Row],[Total_Cost]], "Loss", "Gain")</f>
        <v>Gain</v>
      </c>
      <c r="V25" s="16">
        <f>IF(Table1[[#This Row],[Gain/Loss]]="Gain",Table1[[#This Row],[Quantity]], 0)</f>
        <v>6</v>
      </c>
      <c r="W25" s="16">
        <f>IF(Table1[[#This Row],[Gain/Loss]]="Loss",Table1[[#This Row],[Quantity]],0)</f>
        <v>0</v>
      </c>
      <c r="X25" s="16">
        <f>IF(OR(Table1[[#This Row],[Gain/Loss]]="Gain",Table1[[#This Row],[Gain/Loss]]="Loss"),Table1[[#This Row],[Quantity]],"")</f>
        <v>6</v>
      </c>
    </row>
    <row r="26" spans="1:24" x14ac:dyDescent="0.25">
      <c r="A26">
        <v>10025</v>
      </c>
      <c r="B26" s="1">
        <v>45682</v>
      </c>
      <c r="C26" s="1" t="str">
        <f>TEXT(Table1[[#This Row],[Order_Date]],"DD")</f>
        <v>25</v>
      </c>
      <c r="D26" s="1" t="str">
        <f>TEXT(Table1[[#This Row],[Order_Date]],"MMM")</f>
        <v>Jan</v>
      </c>
      <c r="E26" s="1" t="str">
        <f>TEXT(Table1[[#This Row],[Order_Date]],"YYYY")</f>
        <v>2025</v>
      </c>
      <c r="F26">
        <v>3940</v>
      </c>
      <c r="G26" t="s">
        <v>23</v>
      </c>
      <c r="H26" t="s">
        <v>18</v>
      </c>
      <c r="I26" t="s">
        <v>33</v>
      </c>
      <c r="J26" t="s">
        <v>20</v>
      </c>
      <c r="K26">
        <v>3</v>
      </c>
      <c r="L26" s="2">
        <v>133.80000000000001</v>
      </c>
      <c r="M26" s="3">
        <v>0.15</v>
      </c>
      <c r="N26" s="2">
        <v>401.4</v>
      </c>
      <c r="O26" s="2">
        <v>60.21</v>
      </c>
      <c r="P26" s="2">
        <v>341.19</v>
      </c>
      <c r="Q26" s="2">
        <v>124.88</v>
      </c>
      <c r="R26" s="2">
        <v>374.64</v>
      </c>
      <c r="S26" s="2">
        <v>-33.449999999999903</v>
      </c>
      <c r="T26" s="3">
        <v>-9.80392156862743E-2</v>
      </c>
      <c r="U26" s="2" t="str">
        <f>IF(Table1[[#This Row],[Net_Revenue]]&lt;Table1[[#This Row],[Total_Cost]], "Loss", "Gain")</f>
        <v>Loss</v>
      </c>
      <c r="V26" s="16">
        <f>IF(Table1[[#This Row],[Gain/Loss]]="Gain",Table1[[#This Row],[Quantity]], 0)</f>
        <v>0</v>
      </c>
      <c r="W26" s="16">
        <f>IF(Table1[[#This Row],[Gain/Loss]]="Loss",Table1[[#This Row],[Quantity]],0)</f>
        <v>3</v>
      </c>
      <c r="X26" s="16">
        <f>IF(OR(Table1[[#This Row],[Gain/Loss]]="Gain",Table1[[#This Row],[Gain/Loss]]="Loss"),Table1[[#This Row],[Quantity]],"")</f>
        <v>3</v>
      </c>
    </row>
    <row r="27" spans="1:24" x14ac:dyDescent="0.25">
      <c r="A27">
        <v>10026</v>
      </c>
      <c r="B27" s="1">
        <v>45683</v>
      </c>
      <c r="C27" s="1" t="str">
        <f>TEXT(Table1[[#This Row],[Order_Date]],"DD")</f>
        <v>26</v>
      </c>
      <c r="D27" s="1" t="str">
        <f>TEXT(Table1[[#This Row],[Order_Date]],"MMM")</f>
        <v>Jan</v>
      </c>
      <c r="E27" s="1" t="str">
        <f>TEXT(Table1[[#This Row],[Order_Date]],"YYYY")</f>
        <v>2025</v>
      </c>
      <c r="F27">
        <v>3512</v>
      </c>
      <c r="G27" t="s">
        <v>21</v>
      </c>
      <c r="H27" t="s">
        <v>24</v>
      </c>
      <c r="I27" t="s">
        <v>19</v>
      </c>
      <c r="J27" t="s">
        <v>27</v>
      </c>
      <c r="K27">
        <v>5</v>
      </c>
      <c r="L27" s="2">
        <v>124.51</v>
      </c>
      <c r="M27" s="3">
        <v>0</v>
      </c>
      <c r="N27" s="2">
        <v>622.54999999999995</v>
      </c>
      <c r="O27" s="2">
        <v>0</v>
      </c>
      <c r="P27" s="2">
        <v>622.54999999999995</v>
      </c>
      <c r="Q27" s="2">
        <v>41.55</v>
      </c>
      <c r="R27" s="2">
        <v>207.75</v>
      </c>
      <c r="S27" s="2">
        <v>414.8</v>
      </c>
      <c r="T27" s="3">
        <v>0.66629186410730001</v>
      </c>
      <c r="U27" s="2" t="str">
        <f>IF(Table1[[#This Row],[Net_Revenue]]&lt;Table1[[#This Row],[Total_Cost]], "Loss", "Gain")</f>
        <v>Gain</v>
      </c>
      <c r="V27" s="16">
        <f>IF(Table1[[#This Row],[Gain/Loss]]="Gain",Table1[[#This Row],[Quantity]], 0)</f>
        <v>5</v>
      </c>
      <c r="W27" s="16">
        <f>IF(Table1[[#This Row],[Gain/Loss]]="Loss",Table1[[#This Row],[Quantity]],0)</f>
        <v>0</v>
      </c>
      <c r="X27" s="16">
        <f>IF(OR(Table1[[#This Row],[Gain/Loss]]="Gain",Table1[[#This Row],[Gain/Loss]]="Loss"),Table1[[#This Row],[Quantity]],"")</f>
        <v>5</v>
      </c>
    </row>
    <row r="28" spans="1:24" x14ac:dyDescent="0.25">
      <c r="A28">
        <v>10027</v>
      </c>
      <c r="B28" s="1">
        <v>45684</v>
      </c>
      <c r="C28" s="1" t="str">
        <f>TEXT(Table1[[#This Row],[Order_Date]],"DD")</f>
        <v>27</v>
      </c>
      <c r="D28" s="1" t="str">
        <f>TEXT(Table1[[#This Row],[Order_Date]],"MMM")</f>
        <v>Jan</v>
      </c>
      <c r="E28" s="1" t="str">
        <f>TEXT(Table1[[#This Row],[Order_Date]],"YYYY")</f>
        <v>2025</v>
      </c>
      <c r="F28">
        <v>3075</v>
      </c>
      <c r="G28" t="s">
        <v>23</v>
      </c>
      <c r="H28" t="s">
        <v>24</v>
      </c>
      <c r="I28" t="s">
        <v>26</v>
      </c>
      <c r="J28" t="s">
        <v>31</v>
      </c>
      <c r="K28">
        <v>8</v>
      </c>
      <c r="L28" s="2">
        <v>19.399999999999999</v>
      </c>
      <c r="M28" s="3">
        <v>0</v>
      </c>
      <c r="N28" s="2">
        <v>155.19999999999999</v>
      </c>
      <c r="O28" s="2">
        <v>0</v>
      </c>
      <c r="P28" s="2">
        <v>155.19999999999999</v>
      </c>
      <c r="Q28" s="2">
        <v>124.98</v>
      </c>
      <c r="R28" s="2">
        <v>999.84</v>
      </c>
      <c r="S28" s="2">
        <v>-844.64</v>
      </c>
      <c r="T28" s="3">
        <v>-5.4422680412371101</v>
      </c>
      <c r="U28" s="2" t="str">
        <f>IF(Table1[[#This Row],[Net_Revenue]]&lt;Table1[[#This Row],[Total_Cost]], "Loss", "Gain")</f>
        <v>Loss</v>
      </c>
      <c r="V28" s="16">
        <f>IF(Table1[[#This Row],[Gain/Loss]]="Gain",Table1[[#This Row],[Quantity]], 0)</f>
        <v>0</v>
      </c>
      <c r="W28" s="16">
        <f>IF(Table1[[#This Row],[Gain/Loss]]="Loss",Table1[[#This Row],[Quantity]],0)</f>
        <v>8</v>
      </c>
      <c r="X28" s="16">
        <f>IF(OR(Table1[[#This Row],[Gain/Loss]]="Gain",Table1[[#This Row],[Gain/Loss]]="Loss"),Table1[[#This Row],[Quantity]],"")</f>
        <v>8</v>
      </c>
    </row>
    <row r="29" spans="1:24" x14ac:dyDescent="0.25">
      <c r="A29">
        <v>10028</v>
      </c>
      <c r="B29" s="1">
        <v>45685</v>
      </c>
      <c r="C29" s="1" t="str">
        <f>TEXT(Table1[[#This Row],[Order_Date]],"DD")</f>
        <v>28</v>
      </c>
      <c r="D29" s="1" t="str">
        <f>TEXT(Table1[[#This Row],[Order_Date]],"MMM")</f>
        <v>Jan</v>
      </c>
      <c r="E29" s="1" t="str">
        <f>TEXT(Table1[[#This Row],[Order_Date]],"YYYY")</f>
        <v>2025</v>
      </c>
      <c r="F29">
        <v>3823</v>
      </c>
      <c r="G29" t="s">
        <v>29</v>
      </c>
      <c r="H29" t="s">
        <v>18</v>
      </c>
      <c r="I29" t="s">
        <v>19</v>
      </c>
      <c r="J29" t="s">
        <v>27</v>
      </c>
      <c r="K29">
        <v>4</v>
      </c>
      <c r="L29" s="2">
        <v>223.15</v>
      </c>
      <c r="M29" s="3">
        <v>0.1</v>
      </c>
      <c r="N29" s="2">
        <v>892.6</v>
      </c>
      <c r="O29" s="2">
        <v>89.26</v>
      </c>
      <c r="P29" s="2">
        <v>803.34</v>
      </c>
      <c r="Q29" s="2">
        <v>89.19</v>
      </c>
      <c r="R29" s="2">
        <v>356.76</v>
      </c>
      <c r="S29" s="2">
        <v>446.58</v>
      </c>
      <c r="T29" s="3">
        <v>0.55590410038090898</v>
      </c>
      <c r="U29" s="2" t="str">
        <f>IF(Table1[[#This Row],[Net_Revenue]]&lt;Table1[[#This Row],[Total_Cost]], "Loss", "Gain")</f>
        <v>Gain</v>
      </c>
      <c r="V29" s="16">
        <f>IF(Table1[[#This Row],[Gain/Loss]]="Gain",Table1[[#This Row],[Quantity]], 0)</f>
        <v>4</v>
      </c>
      <c r="W29" s="16">
        <f>IF(Table1[[#This Row],[Gain/Loss]]="Loss",Table1[[#This Row],[Quantity]],0)</f>
        <v>0</v>
      </c>
      <c r="X29" s="16">
        <f>IF(OR(Table1[[#This Row],[Gain/Loss]]="Gain",Table1[[#This Row],[Gain/Loss]]="Loss"),Table1[[#This Row],[Quantity]],"")</f>
        <v>4</v>
      </c>
    </row>
    <row r="30" spans="1:24" x14ac:dyDescent="0.25">
      <c r="A30">
        <v>10029</v>
      </c>
      <c r="B30" s="1">
        <v>45686</v>
      </c>
      <c r="C30" s="1" t="str">
        <f>TEXT(Table1[[#This Row],[Order_Date]],"DD")</f>
        <v>29</v>
      </c>
      <c r="D30" s="1" t="str">
        <f>TEXT(Table1[[#This Row],[Order_Date]],"MMM")</f>
        <v>Jan</v>
      </c>
      <c r="E30" s="1" t="str">
        <f>TEXT(Table1[[#This Row],[Order_Date]],"YYYY")</f>
        <v>2025</v>
      </c>
      <c r="F30">
        <v>3250</v>
      </c>
      <c r="G30" t="s">
        <v>17</v>
      </c>
      <c r="H30" t="s">
        <v>24</v>
      </c>
      <c r="I30" t="s">
        <v>25</v>
      </c>
      <c r="J30" t="s">
        <v>32</v>
      </c>
      <c r="K30">
        <v>4</v>
      </c>
      <c r="L30" s="2">
        <v>96.56</v>
      </c>
      <c r="M30" s="3">
        <v>0.05</v>
      </c>
      <c r="N30" s="2">
        <v>386.24</v>
      </c>
      <c r="O30" s="2">
        <v>19.312000000000001</v>
      </c>
      <c r="P30" s="2">
        <v>366.928</v>
      </c>
      <c r="Q30" s="2">
        <v>106.37</v>
      </c>
      <c r="R30" s="2">
        <v>425.48</v>
      </c>
      <c r="S30" s="2">
        <v>-58.552</v>
      </c>
      <c r="T30" s="3">
        <v>-0.15957354031308602</v>
      </c>
      <c r="U30" s="2" t="str">
        <f>IF(Table1[[#This Row],[Net_Revenue]]&lt;Table1[[#This Row],[Total_Cost]], "Loss", "Gain")</f>
        <v>Loss</v>
      </c>
      <c r="V30" s="16">
        <f>IF(Table1[[#This Row],[Gain/Loss]]="Gain",Table1[[#This Row],[Quantity]], 0)</f>
        <v>0</v>
      </c>
      <c r="W30" s="16">
        <f>IF(Table1[[#This Row],[Gain/Loss]]="Loss",Table1[[#This Row],[Quantity]],0)</f>
        <v>4</v>
      </c>
      <c r="X30" s="16">
        <f>IF(OR(Table1[[#This Row],[Gain/Loss]]="Gain",Table1[[#This Row],[Gain/Loss]]="Loss"),Table1[[#This Row],[Quantity]],"")</f>
        <v>4</v>
      </c>
    </row>
    <row r="31" spans="1:24" x14ac:dyDescent="0.25">
      <c r="A31">
        <v>10030</v>
      </c>
      <c r="B31" s="1">
        <v>45687</v>
      </c>
      <c r="C31" s="1" t="str">
        <f>TEXT(Table1[[#This Row],[Order_Date]],"DD")</f>
        <v>30</v>
      </c>
      <c r="D31" s="1" t="str">
        <f>TEXT(Table1[[#This Row],[Order_Date]],"MMM")</f>
        <v>Jan</v>
      </c>
      <c r="E31" s="1" t="str">
        <f>TEXT(Table1[[#This Row],[Order_Date]],"YYYY")</f>
        <v>2025</v>
      </c>
      <c r="F31">
        <v>3006</v>
      </c>
      <c r="G31" t="s">
        <v>17</v>
      </c>
      <c r="H31" t="s">
        <v>24</v>
      </c>
      <c r="I31" t="s">
        <v>26</v>
      </c>
      <c r="J31" t="s">
        <v>28</v>
      </c>
      <c r="K31">
        <v>8</v>
      </c>
      <c r="L31" s="2">
        <v>242.64</v>
      </c>
      <c r="M31" s="3">
        <v>0.15</v>
      </c>
      <c r="N31" s="2">
        <v>1941.12</v>
      </c>
      <c r="O31" s="2">
        <v>291.16799999999898</v>
      </c>
      <c r="P31" s="2">
        <v>1649.952</v>
      </c>
      <c r="Q31" s="2">
        <v>47.97</v>
      </c>
      <c r="R31" s="2">
        <v>383.76</v>
      </c>
      <c r="S31" s="2">
        <v>1266.192</v>
      </c>
      <c r="T31" s="3">
        <v>0.76741141560481696</v>
      </c>
      <c r="U31" s="2" t="str">
        <f>IF(Table1[[#This Row],[Net_Revenue]]&lt;Table1[[#This Row],[Total_Cost]], "Loss", "Gain")</f>
        <v>Gain</v>
      </c>
      <c r="V31" s="16">
        <f>IF(Table1[[#This Row],[Gain/Loss]]="Gain",Table1[[#This Row],[Quantity]], 0)</f>
        <v>8</v>
      </c>
      <c r="W31" s="16">
        <f>IF(Table1[[#This Row],[Gain/Loss]]="Loss",Table1[[#This Row],[Quantity]],0)</f>
        <v>0</v>
      </c>
      <c r="X31" s="16">
        <f>IF(OR(Table1[[#This Row],[Gain/Loss]]="Gain",Table1[[#This Row],[Gain/Loss]]="Loss"),Table1[[#This Row],[Quantity]],"")</f>
        <v>8</v>
      </c>
    </row>
    <row r="32" spans="1:24" x14ac:dyDescent="0.25">
      <c r="A32">
        <v>10031</v>
      </c>
      <c r="B32" s="1">
        <v>45688</v>
      </c>
      <c r="C32" s="1" t="str">
        <f>TEXT(Table1[[#This Row],[Order_Date]],"DD")</f>
        <v>31</v>
      </c>
      <c r="D32" s="1" t="str">
        <f>TEXT(Table1[[#This Row],[Order_Date]],"MMM")</f>
        <v>Jan</v>
      </c>
      <c r="E32" s="1" t="str">
        <f>TEXT(Table1[[#This Row],[Order_Date]],"YYYY")</f>
        <v>2025</v>
      </c>
      <c r="F32">
        <v>3787</v>
      </c>
      <c r="G32" t="s">
        <v>17</v>
      </c>
      <c r="H32" t="s">
        <v>24</v>
      </c>
      <c r="I32" t="s">
        <v>26</v>
      </c>
      <c r="J32" t="s">
        <v>30</v>
      </c>
      <c r="K32">
        <v>7</v>
      </c>
      <c r="L32" s="2">
        <v>67.45</v>
      </c>
      <c r="M32" s="3">
        <v>0</v>
      </c>
      <c r="N32" s="2">
        <v>472.15</v>
      </c>
      <c r="O32" s="2">
        <v>0</v>
      </c>
      <c r="P32" s="2">
        <v>472.15</v>
      </c>
      <c r="Q32" s="2">
        <v>145.80000000000001</v>
      </c>
      <c r="R32" s="2">
        <v>1020.6</v>
      </c>
      <c r="S32" s="2">
        <v>-548.45000000000005</v>
      </c>
      <c r="T32" s="3">
        <v>-1.1616011860637498</v>
      </c>
      <c r="U32" s="2" t="str">
        <f>IF(Table1[[#This Row],[Net_Revenue]]&lt;Table1[[#This Row],[Total_Cost]], "Loss", "Gain")</f>
        <v>Loss</v>
      </c>
      <c r="V32" s="16">
        <f>IF(Table1[[#This Row],[Gain/Loss]]="Gain",Table1[[#This Row],[Quantity]], 0)</f>
        <v>0</v>
      </c>
      <c r="W32" s="16">
        <f>IF(Table1[[#This Row],[Gain/Loss]]="Loss",Table1[[#This Row],[Quantity]],0)</f>
        <v>7</v>
      </c>
      <c r="X32" s="16">
        <f>IF(OR(Table1[[#This Row],[Gain/Loss]]="Gain",Table1[[#This Row],[Gain/Loss]]="Loss"),Table1[[#This Row],[Quantity]],"")</f>
        <v>7</v>
      </c>
    </row>
    <row r="33" spans="1:24" x14ac:dyDescent="0.25">
      <c r="A33">
        <v>10032</v>
      </c>
      <c r="B33" s="1">
        <v>45689</v>
      </c>
      <c r="C33" s="1" t="str">
        <f>TEXT(Table1[[#This Row],[Order_Date]],"DD")</f>
        <v>01</v>
      </c>
      <c r="D33" s="1" t="str">
        <f>TEXT(Table1[[#This Row],[Order_Date]],"MMM")</f>
        <v>Feb</v>
      </c>
      <c r="E33" s="1" t="str">
        <f>TEXT(Table1[[#This Row],[Order_Date]],"YYYY")</f>
        <v>2025</v>
      </c>
      <c r="F33">
        <v>3444</v>
      </c>
      <c r="G33" t="s">
        <v>29</v>
      </c>
      <c r="H33" t="s">
        <v>18</v>
      </c>
      <c r="I33" t="s">
        <v>33</v>
      </c>
      <c r="J33" t="s">
        <v>20</v>
      </c>
      <c r="K33">
        <v>1</v>
      </c>
      <c r="L33" s="2">
        <v>220.99</v>
      </c>
      <c r="M33" s="3">
        <v>0.1</v>
      </c>
      <c r="N33" s="2">
        <v>220.99</v>
      </c>
      <c r="O33" s="2">
        <v>22.099</v>
      </c>
      <c r="P33" s="2">
        <v>198.89099999999999</v>
      </c>
      <c r="Q33" s="2">
        <v>99.39</v>
      </c>
      <c r="R33" s="2">
        <v>99.39</v>
      </c>
      <c r="S33" s="2">
        <v>99.501000000000005</v>
      </c>
      <c r="T33" s="3">
        <v>0.50027904731737405</v>
      </c>
      <c r="U33" s="2" t="str">
        <f>IF(Table1[[#This Row],[Net_Revenue]]&lt;Table1[[#This Row],[Total_Cost]], "Loss", "Gain")</f>
        <v>Gain</v>
      </c>
      <c r="V33" s="16">
        <f>IF(Table1[[#This Row],[Gain/Loss]]="Gain",Table1[[#This Row],[Quantity]], 0)</f>
        <v>1</v>
      </c>
      <c r="W33" s="16">
        <f>IF(Table1[[#This Row],[Gain/Loss]]="Loss",Table1[[#This Row],[Quantity]],0)</f>
        <v>0</v>
      </c>
      <c r="X33" s="16">
        <f>IF(OR(Table1[[#This Row],[Gain/Loss]]="Gain",Table1[[#This Row],[Gain/Loss]]="Loss"),Table1[[#This Row],[Quantity]],"")</f>
        <v>1</v>
      </c>
    </row>
    <row r="34" spans="1:24" x14ac:dyDescent="0.25">
      <c r="A34">
        <v>10033</v>
      </c>
      <c r="B34" s="1">
        <v>45690</v>
      </c>
      <c r="C34" s="1" t="str">
        <f>TEXT(Table1[[#This Row],[Order_Date]],"DD")</f>
        <v>02</v>
      </c>
      <c r="D34" s="1" t="str">
        <f>TEXT(Table1[[#This Row],[Order_Date]],"MMM")</f>
        <v>Feb</v>
      </c>
      <c r="E34" s="1" t="str">
        <f>TEXT(Table1[[#This Row],[Order_Date]],"YYYY")</f>
        <v>2025</v>
      </c>
      <c r="F34">
        <v>3044</v>
      </c>
      <c r="G34" t="s">
        <v>23</v>
      </c>
      <c r="H34" t="s">
        <v>24</v>
      </c>
      <c r="I34" t="s">
        <v>19</v>
      </c>
      <c r="J34" t="s">
        <v>27</v>
      </c>
      <c r="K34">
        <v>1</v>
      </c>
      <c r="L34" s="2">
        <v>16.010000000000002</v>
      </c>
      <c r="M34" s="3">
        <v>0.1</v>
      </c>
      <c r="N34" s="2">
        <v>16.010000000000002</v>
      </c>
      <c r="O34" s="2">
        <v>1.601</v>
      </c>
      <c r="P34" s="2">
        <v>14.409000000000001</v>
      </c>
      <c r="Q34" s="2">
        <v>16.670000000000002</v>
      </c>
      <c r="R34" s="2">
        <v>16.670000000000002</v>
      </c>
      <c r="S34" s="2">
        <v>-2.2610000000000001</v>
      </c>
      <c r="T34" s="3">
        <v>-0.156915816503574</v>
      </c>
      <c r="U34" s="2" t="str">
        <f>IF(Table1[[#This Row],[Net_Revenue]]&lt;Table1[[#This Row],[Total_Cost]], "Loss", "Gain")</f>
        <v>Loss</v>
      </c>
      <c r="V34" s="16">
        <f>IF(Table1[[#This Row],[Gain/Loss]]="Gain",Table1[[#This Row],[Quantity]], 0)</f>
        <v>0</v>
      </c>
      <c r="W34" s="16">
        <f>IF(Table1[[#This Row],[Gain/Loss]]="Loss",Table1[[#This Row],[Quantity]],0)</f>
        <v>1</v>
      </c>
      <c r="X34" s="16">
        <f>IF(OR(Table1[[#This Row],[Gain/Loss]]="Gain",Table1[[#This Row],[Gain/Loss]]="Loss"),Table1[[#This Row],[Quantity]],"")</f>
        <v>1</v>
      </c>
    </row>
    <row r="35" spans="1:24" x14ac:dyDescent="0.25">
      <c r="A35">
        <v>10034</v>
      </c>
      <c r="B35" s="1">
        <v>45691</v>
      </c>
      <c r="C35" s="1" t="str">
        <f>TEXT(Table1[[#This Row],[Order_Date]],"DD")</f>
        <v>03</v>
      </c>
      <c r="D35" s="1" t="str">
        <f>TEXT(Table1[[#This Row],[Order_Date]],"MMM")</f>
        <v>Feb</v>
      </c>
      <c r="E35" s="1" t="str">
        <f>TEXT(Table1[[#This Row],[Order_Date]],"YYYY")</f>
        <v>2025</v>
      </c>
      <c r="F35">
        <v>3703</v>
      </c>
      <c r="G35" t="s">
        <v>23</v>
      </c>
      <c r="H35" t="s">
        <v>18</v>
      </c>
      <c r="I35" t="s">
        <v>33</v>
      </c>
      <c r="J35" t="s">
        <v>20</v>
      </c>
      <c r="K35">
        <v>8</v>
      </c>
      <c r="L35" s="2">
        <v>150.65</v>
      </c>
      <c r="M35" s="3">
        <v>0.1</v>
      </c>
      <c r="N35" s="2">
        <v>1205.2</v>
      </c>
      <c r="O35" s="2">
        <v>120.52</v>
      </c>
      <c r="P35" s="2">
        <v>1084.68</v>
      </c>
      <c r="Q35" s="2">
        <v>121.92</v>
      </c>
      <c r="R35" s="2">
        <v>975.36</v>
      </c>
      <c r="S35" s="2">
        <v>109.32</v>
      </c>
      <c r="T35" s="3">
        <v>0.100785485120035</v>
      </c>
      <c r="U35" s="2" t="str">
        <f>IF(Table1[[#This Row],[Net_Revenue]]&lt;Table1[[#This Row],[Total_Cost]], "Loss", "Gain")</f>
        <v>Gain</v>
      </c>
      <c r="V35" s="16">
        <f>IF(Table1[[#This Row],[Gain/Loss]]="Gain",Table1[[#This Row],[Quantity]], 0)</f>
        <v>8</v>
      </c>
      <c r="W35" s="16">
        <f>IF(Table1[[#This Row],[Gain/Loss]]="Loss",Table1[[#This Row],[Quantity]],0)</f>
        <v>0</v>
      </c>
      <c r="X35" s="16">
        <f>IF(OR(Table1[[#This Row],[Gain/Loss]]="Gain",Table1[[#This Row],[Gain/Loss]]="Loss"),Table1[[#This Row],[Quantity]],"")</f>
        <v>8</v>
      </c>
    </row>
    <row r="36" spans="1:24" x14ac:dyDescent="0.25">
      <c r="A36">
        <v>10035</v>
      </c>
      <c r="B36" s="1">
        <v>45692</v>
      </c>
      <c r="C36" s="1" t="str">
        <f>TEXT(Table1[[#This Row],[Order_Date]],"DD")</f>
        <v>04</v>
      </c>
      <c r="D36" s="1" t="str">
        <f>TEXT(Table1[[#This Row],[Order_Date]],"MMM")</f>
        <v>Feb</v>
      </c>
      <c r="E36" s="1" t="str">
        <f>TEXT(Table1[[#This Row],[Order_Date]],"YYYY")</f>
        <v>2025</v>
      </c>
      <c r="F36">
        <v>3325</v>
      </c>
      <c r="G36" t="s">
        <v>23</v>
      </c>
      <c r="H36" t="s">
        <v>18</v>
      </c>
      <c r="I36" t="s">
        <v>19</v>
      </c>
      <c r="J36" t="s">
        <v>27</v>
      </c>
      <c r="K36">
        <v>3</v>
      </c>
      <c r="L36" s="2">
        <v>64.239999999999995</v>
      </c>
      <c r="M36" s="3">
        <v>0.15</v>
      </c>
      <c r="N36" s="2">
        <v>192.719999999999</v>
      </c>
      <c r="O36" s="2">
        <v>28.907999999999902</v>
      </c>
      <c r="P36" s="2">
        <v>163.81199999999899</v>
      </c>
      <c r="Q36" s="2">
        <v>72.760000000000005</v>
      </c>
      <c r="R36" s="2">
        <v>218.28</v>
      </c>
      <c r="S36" s="2">
        <v>-54.468000000000004</v>
      </c>
      <c r="T36" s="3">
        <v>-0.33250311332503102</v>
      </c>
      <c r="U36" s="2" t="str">
        <f>IF(Table1[[#This Row],[Net_Revenue]]&lt;Table1[[#This Row],[Total_Cost]], "Loss", "Gain")</f>
        <v>Loss</v>
      </c>
      <c r="V36" s="16">
        <f>IF(Table1[[#This Row],[Gain/Loss]]="Gain",Table1[[#This Row],[Quantity]], 0)</f>
        <v>0</v>
      </c>
      <c r="W36" s="16">
        <f>IF(Table1[[#This Row],[Gain/Loss]]="Loss",Table1[[#This Row],[Quantity]],0)</f>
        <v>3</v>
      </c>
      <c r="X36" s="16">
        <f>IF(OR(Table1[[#This Row],[Gain/Loss]]="Gain",Table1[[#This Row],[Gain/Loss]]="Loss"),Table1[[#This Row],[Quantity]],"")</f>
        <v>3</v>
      </c>
    </row>
    <row r="37" spans="1:24" x14ac:dyDescent="0.25">
      <c r="A37">
        <v>10036</v>
      </c>
      <c r="B37" s="1">
        <v>45693</v>
      </c>
      <c r="C37" s="1" t="str">
        <f>TEXT(Table1[[#This Row],[Order_Date]],"DD")</f>
        <v>05</v>
      </c>
      <c r="D37" s="1" t="str">
        <f>TEXT(Table1[[#This Row],[Order_Date]],"MMM")</f>
        <v>Feb</v>
      </c>
      <c r="E37" s="1" t="str">
        <f>TEXT(Table1[[#This Row],[Order_Date]],"YYYY")</f>
        <v>2025</v>
      </c>
      <c r="F37">
        <v>3824</v>
      </c>
      <c r="G37" t="s">
        <v>23</v>
      </c>
      <c r="H37" t="s">
        <v>18</v>
      </c>
      <c r="I37" t="s">
        <v>33</v>
      </c>
      <c r="J37" t="s">
        <v>20</v>
      </c>
      <c r="K37">
        <v>7</v>
      </c>
      <c r="L37" s="2">
        <v>241.53</v>
      </c>
      <c r="M37" s="3">
        <v>0</v>
      </c>
      <c r="N37" s="2">
        <v>1690.71</v>
      </c>
      <c r="O37" s="2">
        <v>0</v>
      </c>
      <c r="P37" s="2">
        <v>1690.71</v>
      </c>
      <c r="Q37" s="2">
        <v>126.04</v>
      </c>
      <c r="R37" s="2">
        <v>882.28</v>
      </c>
      <c r="S37" s="2">
        <v>808.43</v>
      </c>
      <c r="T37" s="3">
        <v>0.47816006293214003</v>
      </c>
      <c r="U37" s="2" t="str">
        <f>IF(Table1[[#This Row],[Net_Revenue]]&lt;Table1[[#This Row],[Total_Cost]], "Loss", "Gain")</f>
        <v>Gain</v>
      </c>
      <c r="V37" s="16">
        <f>IF(Table1[[#This Row],[Gain/Loss]]="Gain",Table1[[#This Row],[Quantity]], 0)</f>
        <v>7</v>
      </c>
      <c r="W37" s="16">
        <f>IF(Table1[[#This Row],[Gain/Loss]]="Loss",Table1[[#This Row],[Quantity]],0)</f>
        <v>0</v>
      </c>
      <c r="X37" s="16">
        <f>IF(OR(Table1[[#This Row],[Gain/Loss]]="Gain",Table1[[#This Row],[Gain/Loss]]="Loss"),Table1[[#This Row],[Quantity]],"")</f>
        <v>7</v>
      </c>
    </row>
    <row r="38" spans="1:24" x14ac:dyDescent="0.25">
      <c r="A38">
        <v>10037</v>
      </c>
      <c r="B38" s="1">
        <v>45694</v>
      </c>
      <c r="C38" s="1" t="str">
        <f>TEXT(Table1[[#This Row],[Order_Date]],"DD")</f>
        <v>06</v>
      </c>
      <c r="D38" s="1" t="str">
        <f>TEXT(Table1[[#This Row],[Order_Date]],"MMM")</f>
        <v>Feb</v>
      </c>
      <c r="E38" s="1" t="str">
        <f>TEXT(Table1[[#This Row],[Order_Date]],"YYYY")</f>
        <v>2025</v>
      </c>
      <c r="F38">
        <v>3152</v>
      </c>
      <c r="G38" t="s">
        <v>21</v>
      </c>
      <c r="H38" t="s">
        <v>24</v>
      </c>
      <c r="I38" t="s">
        <v>26</v>
      </c>
      <c r="J38" t="s">
        <v>30</v>
      </c>
      <c r="K38">
        <v>1</v>
      </c>
      <c r="L38" s="2">
        <v>172.55</v>
      </c>
      <c r="M38" s="3">
        <v>0</v>
      </c>
      <c r="N38" s="2">
        <v>172.55</v>
      </c>
      <c r="O38" s="2">
        <v>0</v>
      </c>
      <c r="P38" s="2">
        <v>172.55</v>
      </c>
      <c r="Q38" s="2">
        <v>106.58</v>
      </c>
      <c r="R38" s="2">
        <v>106.58</v>
      </c>
      <c r="S38" s="2">
        <v>65.97</v>
      </c>
      <c r="T38" s="3">
        <v>0.38232396406838604</v>
      </c>
      <c r="U38" s="2" t="str">
        <f>IF(Table1[[#This Row],[Net_Revenue]]&lt;Table1[[#This Row],[Total_Cost]], "Loss", "Gain")</f>
        <v>Gain</v>
      </c>
      <c r="V38" s="16">
        <f>IF(Table1[[#This Row],[Gain/Loss]]="Gain",Table1[[#This Row],[Quantity]], 0)</f>
        <v>1</v>
      </c>
      <c r="W38" s="16">
        <f>IF(Table1[[#This Row],[Gain/Loss]]="Loss",Table1[[#This Row],[Quantity]],0)</f>
        <v>0</v>
      </c>
      <c r="X38" s="16">
        <f>IF(OR(Table1[[#This Row],[Gain/Loss]]="Gain",Table1[[#This Row],[Gain/Loss]]="Loss"),Table1[[#This Row],[Quantity]],"")</f>
        <v>1</v>
      </c>
    </row>
    <row r="39" spans="1:24" x14ac:dyDescent="0.25">
      <c r="A39">
        <v>10038</v>
      </c>
      <c r="B39" s="1">
        <v>45695</v>
      </c>
      <c r="C39" s="1" t="str">
        <f>TEXT(Table1[[#This Row],[Order_Date]],"DD")</f>
        <v>07</v>
      </c>
      <c r="D39" s="1" t="str">
        <f>TEXT(Table1[[#This Row],[Order_Date]],"MMM")</f>
        <v>Feb</v>
      </c>
      <c r="E39" s="1" t="str">
        <f>TEXT(Table1[[#This Row],[Order_Date]],"YYYY")</f>
        <v>2025</v>
      </c>
      <c r="F39">
        <v>3183</v>
      </c>
      <c r="G39" t="s">
        <v>17</v>
      </c>
      <c r="H39" t="s">
        <v>18</v>
      </c>
      <c r="I39" t="s">
        <v>25</v>
      </c>
      <c r="J39" t="s">
        <v>22</v>
      </c>
      <c r="K39">
        <v>1</v>
      </c>
      <c r="L39" s="2">
        <v>95.42</v>
      </c>
      <c r="M39" s="3">
        <v>0</v>
      </c>
      <c r="N39" s="2">
        <v>95.42</v>
      </c>
      <c r="O39" s="2">
        <v>0</v>
      </c>
      <c r="P39" s="2">
        <v>95.42</v>
      </c>
      <c r="Q39" s="2">
        <v>145.1</v>
      </c>
      <c r="R39" s="2">
        <v>145.1</v>
      </c>
      <c r="S39" s="2">
        <v>-49.6799999999999</v>
      </c>
      <c r="T39" s="3">
        <v>-0.52064556696709197</v>
      </c>
      <c r="U39" s="2" t="str">
        <f>IF(Table1[[#This Row],[Net_Revenue]]&lt;Table1[[#This Row],[Total_Cost]], "Loss", "Gain")</f>
        <v>Loss</v>
      </c>
      <c r="V39" s="16">
        <f>IF(Table1[[#This Row],[Gain/Loss]]="Gain",Table1[[#This Row],[Quantity]], 0)</f>
        <v>0</v>
      </c>
      <c r="W39" s="16">
        <f>IF(Table1[[#This Row],[Gain/Loss]]="Loss",Table1[[#This Row],[Quantity]],0)</f>
        <v>1</v>
      </c>
      <c r="X39" s="16">
        <f>IF(OR(Table1[[#This Row],[Gain/Loss]]="Gain",Table1[[#This Row],[Gain/Loss]]="Loss"),Table1[[#This Row],[Quantity]],"")</f>
        <v>1</v>
      </c>
    </row>
    <row r="40" spans="1:24" x14ac:dyDescent="0.25">
      <c r="A40">
        <v>10039</v>
      </c>
      <c r="B40" s="1">
        <v>45696</v>
      </c>
      <c r="C40" s="1" t="str">
        <f>TEXT(Table1[[#This Row],[Order_Date]],"DD")</f>
        <v>08</v>
      </c>
      <c r="D40" s="1" t="str">
        <f>TEXT(Table1[[#This Row],[Order_Date]],"MMM")</f>
        <v>Feb</v>
      </c>
      <c r="E40" s="1" t="str">
        <f>TEXT(Table1[[#This Row],[Order_Date]],"YYYY")</f>
        <v>2025</v>
      </c>
      <c r="F40">
        <v>3949</v>
      </c>
      <c r="G40" t="s">
        <v>23</v>
      </c>
      <c r="H40" t="s">
        <v>24</v>
      </c>
      <c r="I40" t="s">
        <v>19</v>
      </c>
      <c r="J40" t="s">
        <v>27</v>
      </c>
      <c r="K40">
        <v>5</v>
      </c>
      <c r="L40" s="2">
        <v>49.03</v>
      </c>
      <c r="M40" s="3">
        <v>0.05</v>
      </c>
      <c r="N40" s="2">
        <v>245.15</v>
      </c>
      <c r="O40" s="2">
        <v>12.2575</v>
      </c>
      <c r="P40" s="2">
        <v>232.89250000000001</v>
      </c>
      <c r="Q40" s="2">
        <v>136.83000000000001</v>
      </c>
      <c r="R40" s="2">
        <v>684.15</v>
      </c>
      <c r="S40" s="2">
        <v>-451.25749999999999</v>
      </c>
      <c r="T40" s="3">
        <v>-1.9376214347821401</v>
      </c>
      <c r="U40" s="2" t="str">
        <f>IF(Table1[[#This Row],[Net_Revenue]]&lt;Table1[[#This Row],[Total_Cost]], "Loss", "Gain")</f>
        <v>Loss</v>
      </c>
      <c r="V40" s="16">
        <f>IF(Table1[[#This Row],[Gain/Loss]]="Gain",Table1[[#This Row],[Quantity]], 0)</f>
        <v>0</v>
      </c>
      <c r="W40" s="16">
        <f>IF(Table1[[#This Row],[Gain/Loss]]="Loss",Table1[[#This Row],[Quantity]],0)</f>
        <v>5</v>
      </c>
      <c r="X40" s="16">
        <f>IF(OR(Table1[[#This Row],[Gain/Loss]]="Gain",Table1[[#This Row],[Gain/Loss]]="Loss"),Table1[[#This Row],[Quantity]],"")</f>
        <v>5</v>
      </c>
    </row>
    <row r="41" spans="1:24" x14ac:dyDescent="0.25">
      <c r="A41">
        <v>10040</v>
      </c>
      <c r="B41" s="1">
        <v>45697</v>
      </c>
      <c r="C41" s="1" t="str">
        <f>TEXT(Table1[[#This Row],[Order_Date]],"DD")</f>
        <v>09</v>
      </c>
      <c r="D41" s="1" t="str">
        <f>TEXT(Table1[[#This Row],[Order_Date]],"MMM")</f>
        <v>Feb</v>
      </c>
      <c r="E41" s="1" t="str">
        <f>TEXT(Table1[[#This Row],[Order_Date]],"YYYY")</f>
        <v>2025</v>
      </c>
      <c r="F41">
        <v>3112</v>
      </c>
      <c r="G41" t="s">
        <v>21</v>
      </c>
      <c r="H41" t="s">
        <v>24</v>
      </c>
      <c r="I41" t="s">
        <v>25</v>
      </c>
      <c r="J41" t="s">
        <v>22</v>
      </c>
      <c r="K41">
        <v>8</v>
      </c>
      <c r="L41" s="2">
        <v>237.55</v>
      </c>
      <c r="M41" s="3">
        <v>0</v>
      </c>
      <c r="N41" s="2">
        <v>1900.4</v>
      </c>
      <c r="O41" s="2">
        <v>0</v>
      </c>
      <c r="P41" s="2">
        <v>1900.4</v>
      </c>
      <c r="Q41" s="2">
        <v>101.64</v>
      </c>
      <c r="R41" s="2">
        <v>813.12</v>
      </c>
      <c r="S41" s="2">
        <v>1087.28</v>
      </c>
      <c r="T41" s="3">
        <v>0.57213218269837907</v>
      </c>
      <c r="U41" s="2" t="str">
        <f>IF(Table1[[#This Row],[Net_Revenue]]&lt;Table1[[#This Row],[Total_Cost]], "Loss", "Gain")</f>
        <v>Gain</v>
      </c>
      <c r="V41" s="16">
        <f>IF(Table1[[#This Row],[Gain/Loss]]="Gain",Table1[[#This Row],[Quantity]], 0)</f>
        <v>8</v>
      </c>
      <c r="W41" s="16">
        <f>IF(Table1[[#This Row],[Gain/Loss]]="Loss",Table1[[#This Row],[Quantity]],0)</f>
        <v>0</v>
      </c>
      <c r="X41" s="16">
        <f>IF(OR(Table1[[#This Row],[Gain/Loss]]="Gain",Table1[[#This Row],[Gain/Loss]]="Loss"),Table1[[#This Row],[Quantity]],"")</f>
        <v>8</v>
      </c>
    </row>
    <row r="42" spans="1:24" x14ac:dyDescent="0.25">
      <c r="A42">
        <v>10041</v>
      </c>
      <c r="B42" s="1">
        <v>45698</v>
      </c>
      <c r="C42" s="1" t="str">
        <f>TEXT(Table1[[#This Row],[Order_Date]],"DD")</f>
        <v>10</v>
      </c>
      <c r="D42" s="1" t="str">
        <f>TEXT(Table1[[#This Row],[Order_Date]],"MMM")</f>
        <v>Feb</v>
      </c>
      <c r="E42" s="1" t="str">
        <f>TEXT(Table1[[#This Row],[Order_Date]],"YYYY")</f>
        <v>2025</v>
      </c>
      <c r="F42">
        <v>3763</v>
      </c>
      <c r="G42" t="s">
        <v>29</v>
      </c>
      <c r="H42" t="s">
        <v>24</v>
      </c>
      <c r="I42" t="s">
        <v>26</v>
      </c>
      <c r="J42" t="s">
        <v>30</v>
      </c>
      <c r="K42">
        <v>9</v>
      </c>
      <c r="L42" s="2">
        <v>124.49</v>
      </c>
      <c r="M42" s="3">
        <v>0.15</v>
      </c>
      <c r="N42" s="2">
        <v>1120.4099999999901</v>
      </c>
      <c r="O42" s="2">
        <v>168.061499999999</v>
      </c>
      <c r="P42" s="2">
        <v>952.34849999999904</v>
      </c>
      <c r="Q42" s="2">
        <v>115.99</v>
      </c>
      <c r="R42" s="2">
        <v>1043.9099999999901</v>
      </c>
      <c r="S42" s="2">
        <v>-91.561499999999995</v>
      </c>
      <c r="T42" s="3">
        <v>-9.6142851067650095E-2</v>
      </c>
      <c r="U42" s="2" t="str">
        <f>IF(Table1[[#This Row],[Net_Revenue]]&lt;Table1[[#This Row],[Total_Cost]], "Loss", "Gain")</f>
        <v>Loss</v>
      </c>
      <c r="V42" s="16">
        <f>IF(Table1[[#This Row],[Gain/Loss]]="Gain",Table1[[#This Row],[Quantity]], 0)</f>
        <v>0</v>
      </c>
      <c r="W42" s="16">
        <f>IF(Table1[[#This Row],[Gain/Loss]]="Loss",Table1[[#This Row],[Quantity]],0)</f>
        <v>9</v>
      </c>
      <c r="X42" s="16">
        <f>IF(OR(Table1[[#This Row],[Gain/Loss]]="Gain",Table1[[#This Row],[Gain/Loss]]="Loss"),Table1[[#This Row],[Quantity]],"")</f>
        <v>9</v>
      </c>
    </row>
    <row r="43" spans="1:24" x14ac:dyDescent="0.25">
      <c r="A43">
        <v>10042</v>
      </c>
      <c r="B43" s="1">
        <v>45699</v>
      </c>
      <c r="C43" s="1" t="str">
        <f>TEXT(Table1[[#This Row],[Order_Date]],"DD")</f>
        <v>11</v>
      </c>
      <c r="D43" s="1" t="str">
        <f>TEXT(Table1[[#This Row],[Order_Date]],"MMM")</f>
        <v>Feb</v>
      </c>
      <c r="E43" s="1" t="str">
        <f>TEXT(Table1[[#This Row],[Order_Date]],"YYYY")</f>
        <v>2025</v>
      </c>
      <c r="F43">
        <v>3189</v>
      </c>
      <c r="G43" t="s">
        <v>29</v>
      </c>
      <c r="H43" t="s">
        <v>18</v>
      </c>
      <c r="I43" t="s">
        <v>33</v>
      </c>
      <c r="J43" t="s">
        <v>20</v>
      </c>
      <c r="K43">
        <v>1</v>
      </c>
      <c r="L43" s="2">
        <v>235.01</v>
      </c>
      <c r="M43" s="3">
        <v>0.2</v>
      </c>
      <c r="N43" s="2">
        <v>235.01</v>
      </c>
      <c r="O43" s="2">
        <v>47.002000000000002</v>
      </c>
      <c r="P43" s="2">
        <v>188.00799999999899</v>
      </c>
      <c r="Q43" s="2">
        <v>13.71</v>
      </c>
      <c r="R43" s="2">
        <v>13.71</v>
      </c>
      <c r="S43" s="2">
        <v>174.29799999999901</v>
      </c>
      <c r="T43" s="3">
        <v>0.92707757116718392</v>
      </c>
      <c r="U43" s="2" t="str">
        <f>IF(Table1[[#This Row],[Net_Revenue]]&lt;Table1[[#This Row],[Total_Cost]], "Loss", "Gain")</f>
        <v>Gain</v>
      </c>
      <c r="V43" s="16">
        <f>IF(Table1[[#This Row],[Gain/Loss]]="Gain",Table1[[#This Row],[Quantity]], 0)</f>
        <v>1</v>
      </c>
      <c r="W43" s="16">
        <f>IF(Table1[[#This Row],[Gain/Loss]]="Loss",Table1[[#This Row],[Quantity]],0)</f>
        <v>0</v>
      </c>
      <c r="X43" s="16">
        <f>IF(OR(Table1[[#This Row],[Gain/Loss]]="Gain",Table1[[#This Row],[Gain/Loss]]="Loss"),Table1[[#This Row],[Quantity]],"")</f>
        <v>1</v>
      </c>
    </row>
    <row r="44" spans="1:24" x14ac:dyDescent="0.25">
      <c r="A44">
        <v>10043</v>
      </c>
      <c r="B44" s="1">
        <v>45700</v>
      </c>
      <c r="C44" s="1" t="str">
        <f>TEXT(Table1[[#This Row],[Order_Date]],"DD")</f>
        <v>12</v>
      </c>
      <c r="D44" s="1" t="str">
        <f>TEXT(Table1[[#This Row],[Order_Date]],"MMM")</f>
        <v>Feb</v>
      </c>
      <c r="E44" s="1" t="str">
        <f>TEXT(Table1[[#This Row],[Order_Date]],"YYYY")</f>
        <v>2025</v>
      </c>
      <c r="F44">
        <v>3960</v>
      </c>
      <c r="G44" t="s">
        <v>23</v>
      </c>
      <c r="H44" t="s">
        <v>24</v>
      </c>
      <c r="I44" t="s">
        <v>25</v>
      </c>
      <c r="J44" t="s">
        <v>32</v>
      </c>
      <c r="K44">
        <v>3</v>
      </c>
      <c r="L44" s="2">
        <v>17.63</v>
      </c>
      <c r="M44" s="3">
        <v>0</v>
      </c>
      <c r="N44" s="2">
        <v>52.89</v>
      </c>
      <c r="O44" s="2">
        <v>0</v>
      </c>
      <c r="P44" s="2">
        <v>52.89</v>
      </c>
      <c r="Q44" s="2">
        <v>120.26</v>
      </c>
      <c r="R44" s="2">
        <v>360.78</v>
      </c>
      <c r="S44" s="2">
        <v>-307.89</v>
      </c>
      <c r="T44" s="3">
        <v>-5.8213272830402696</v>
      </c>
      <c r="U44" s="2" t="str">
        <f>IF(Table1[[#This Row],[Net_Revenue]]&lt;Table1[[#This Row],[Total_Cost]], "Loss", "Gain")</f>
        <v>Loss</v>
      </c>
      <c r="V44" s="16">
        <f>IF(Table1[[#This Row],[Gain/Loss]]="Gain",Table1[[#This Row],[Quantity]], 0)</f>
        <v>0</v>
      </c>
      <c r="W44" s="16">
        <f>IF(Table1[[#This Row],[Gain/Loss]]="Loss",Table1[[#This Row],[Quantity]],0)</f>
        <v>3</v>
      </c>
      <c r="X44" s="16">
        <f>IF(OR(Table1[[#This Row],[Gain/Loss]]="Gain",Table1[[#This Row],[Gain/Loss]]="Loss"),Table1[[#This Row],[Quantity]],"")</f>
        <v>3</v>
      </c>
    </row>
    <row r="45" spans="1:24" x14ac:dyDescent="0.25">
      <c r="A45">
        <v>10044</v>
      </c>
      <c r="B45" s="1">
        <v>45701</v>
      </c>
      <c r="C45" s="1" t="str">
        <f>TEXT(Table1[[#This Row],[Order_Date]],"DD")</f>
        <v>13</v>
      </c>
      <c r="D45" s="1" t="str">
        <f>TEXT(Table1[[#This Row],[Order_Date]],"MMM")</f>
        <v>Feb</v>
      </c>
      <c r="E45" s="1" t="str">
        <f>TEXT(Table1[[#This Row],[Order_Date]],"YYYY")</f>
        <v>2025</v>
      </c>
      <c r="F45">
        <v>3290</v>
      </c>
      <c r="G45" t="s">
        <v>17</v>
      </c>
      <c r="H45" t="s">
        <v>18</v>
      </c>
      <c r="I45" t="s">
        <v>26</v>
      </c>
      <c r="J45" t="s">
        <v>30</v>
      </c>
      <c r="K45">
        <v>2</v>
      </c>
      <c r="L45" s="2">
        <v>181.06</v>
      </c>
      <c r="M45" s="3">
        <v>0.15</v>
      </c>
      <c r="N45" s="2">
        <v>362.12</v>
      </c>
      <c r="O45" s="2">
        <v>54.317999999999998</v>
      </c>
      <c r="P45" s="2">
        <v>307.80200000000002</v>
      </c>
      <c r="Q45" s="2">
        <v>111.61</v>
      </c>
      <c r="R45" s="2">
        <v>223.22</v>
      </c>
      <c r="S45" s="2">
        <v>84.581999999999994</v>
      </c>
      <c r="T45" s="3">
        <v>0.27479353610437801</v>
      </c>
      <c r="U45" s="2" t="str">
        <f>IF(Table1[[#This Row],[Net_Revenue]]&lt;Table1[[#This Row],[Total_Cost]], "Loss", "Gain")</f>
        <v>Gain</v>
      </c>
      <c r="V45" s="16">
        <f>IF(Table1[[#This Row],[Gain/Loss]]="Gain",Table1[[#This Row],[Quantity]], 0)</f>
        <v>2</v>
      </c>
      <c r="W45" s="16">
        <f>IF(Table1[[#This Row],[Gain/Loss]]="Loss",Table1[[#This Row],[Quantity]],0)</f>
        <v>0</v>
      </c>
      <c r="X45" s="16">
        <f>IF(OR(Table1[[#This Row],[Gain/Loss]]="Gain",Table1[[#This Row],[Gain/Loss]]="Loss"),Table1[[#This Row],[Quantity]],"")</f>
        <v>2</v>
      </c>
    </row>
    <row r="46" spans="1:24" x14ac:dyDescent="0.25">
      <c r="A46">
        <v>10045</v>
      </c>
      <c r="B46" s="1">
        <v>45702</v>
      </c>
      <c r="C46" s="1" t="str">
        <f>TEXT(Table1[[#This Row],[Order_Date]],"DD")</f>
        <v>14</v>
      </c>
      <c r="D46" s="1" t="str">
        <f>TEXT(Table1[[#This Row],[Order_Date]],"MMM")</f>
        <v>Feb</v>
      </c>
      <c r="E46" s="1" t="str">
        <f>TEXT(Table1[[#This Row],[Order_Date]],"YYYY")</f>
        <v>2025</v>
      </c>
      <c r="F46">
        <v>3312</v>
      </c>
      <c r="G46" t="s">
        <v>29</v>
      </c>
      <c r="H46" t="s">
        <v>24</v>
      </c>
      <c r="I46" t="s">
        <v>26</v>
      </c>
      <c r="J46" t="s">
        <v>28</v>
      </c>
      <c r="K46">
        <v>5</v>
      </c>
      <c r="L46" s="2">
        <v>158.69</v>
      </c>
      <c r="M46" s="3">
        <v>0</v>
      </c>
      <c r="N46" s="2">
        <v>793.45</v>
      </c>
      <c r="O46" s="2">
        <v>0</v>
      </c>
      <c r="P46" s="2">
        <v>793.45</v>
      </c>
      <c r="Q46" s="2">
        <v>141.78</v>
      </c>
      <c r="R46" s="2">
        <v>708.9</v>
      </c>
      <c r="S46" s="2">
        <v>84.55</v>
      </c>
      <c r="T46" s="3">
        <v>0.10655995966979599</v>
      </c>
      <c r="U46" s="2" t="str">
        <f>IF(Table1[[#This Row],[Net_Revenue]]&lt;Table1[[#This Row],[Total_Cost]], "Loss", "Gain")</f>
        <v>Gain</v>
      </c>
      <c r="V46" s="16">
        <f>IF(Table1[[#This Row],[Gain/Loss]]="Gain",Table1[[#This Row],[Quantity]], 0)</f>
        <v>5</v>
      </c>
      <c r="W46" s="16">
        <f>IF(Table1[[#This Row],[Gain/Loss]]="Loss",Table1[[#This Row],[Quantity]],0)</f>
        <v>0</v>
      </c>
      <c r="X46" s="16">
        <f>IF(OR(Table1[[#This Row],[Gain/Loss]]="Gain",Table1[[#This Row],[Gain/Loss]]="Loss"),Table1[[#This Row],[Quantity]],"")</f>
        <v>5</v>
      </c>
    </row>
    <row r="47" spans="1:24" x14ac:dyDescent="0.25">
      <c r="A47">
        <v>10046</v>
      </c>
      <c r="B47" s="1">
        <v>45703</v>
      </c>
      <c r="C47" s="1" t="str">
        <f>TEXT(Table1[[#This Row],[Order_Date]],"DD")</f>
        <v>15</v>
      </c>
      <c r="D47" s="1" t="str">
        <f>TEXT(Table1[[#This Row],[Order_Date]],"MMM")</f>
        <v>Feb</v>
      </c>
      <c r="E47" s="1" t="str">
        <f>TEXT(Table1[[#This Row],[Order_Date]],"YYYY")</f>
        <v>2025</v>
      </c>
      <c r="F47">
        <v>3201</v>
      </c>
      <c r="G47" t="s">
        <v>21</v>
      </c>
      <c r="H47" t="s">
        <v>18</v>
      </c>
      <c r="I47" t="s">
        <v>25</v>
      </c>
      <c r="J47" t="s">
        <v>32</v>
      </c>
      <c r="K47">
        <v>6</v>
      </c>
      <c r="L47" s="2">
        <v>137.56</v>
      </c>
      <c r="M47" s="3">
        <v>0.15</v>
      </c>
      <c r="N47" s="2">
        <v>825.36</v>
      </c>
      <c r="O47" s="2">
        <v>123.804</v>
      </c>
      <c r="P47" s="2">
        <v>701.55600000000004</v>
      </c>
      <c r="Q47" s="2">
        <v>114.49</v>
      </c>
      <c r="R47" s="2">
        <v>686.93999999999903</v>
      </c>
      <c r="S47" s="2">
        <v>14.616000000000099</v>
      </c>
      <c r="T47" s="3">
        <v>2.08336896840738E-2</v>
      </c>
      <c r="U47" s="2" t="str">
        <f>IF(Table1[[#This Row],[Net_Revenue]]&lt;Table1[[#This Row],[Total_Cost]], "Loss", "Gain")</f>
        <v>Gain</v>
      </c>
      <c r="V47" s="16">
        <f>IF(Table1[[#This Row],[Gain/Loss]]="Gain",Table1[[#This Row],[Quantity]], 0)</f>
        <v>6</v>
      </c>
      <c r="W47" s="16">
        <f>IF(Table1[[#This Row],[Gain/Loss]]="Loss",Table1[[#This Row],[Quantity]],0)</f>
        <v>0</v>
      </c>
      <c r="X47" s="16">
        <f>IF(OR(Table1[[#This Row],[Gain/Loss]]="Gain",Table1[[#This Row],[Gain/Loss]]="Loss"),Table1[[#This Row],[Quantity]],"")</f>
        <v>6</v>
      </c>
    </row>
    <row r="48" spans="1:24" x14ac:dyDescent="0.25">
      <c r="A48">
        <v>10047</v>
      </c>
      <c r="B48" s="1">
        <v>45704</v>
      </c>
      <c r="C48" s="1" t="str">
        <f>TEXT(Table1[[#This Row],[Order_Date]],"DD")</f>
        <v>16</v>
      </c>
      <c r="D48" s="1" t="str">
        <f>TEXT(Table1[[#This Row],[Order_Date]],"MMM")</f>
        <v>Feb</v>
      </c>
      <c r="E48" s="1" t="str">
        <f>TEXT(Table1[[#This Row],[Order_Date]],"YYYY")</f>
        <v>2025</v>
      </c>
      <c r="F48">
        <v>3462</v>
      </c>
      <c r="G48" t="s">
        <v>17</v>
      </c>
      <c r="H48" t="s">
        <v>18</v>
      </c>
      <c r="I48" t="s">
        <v>26</v>
      </c>
      <c r="J48" t="s">
        <v>28</v>
      </c>
      <c r="K48">
        <v>2</v>
      </c>
      <c r="L48" s="2">
        <v>118.3</v>
      </c>
      <c r="M48" s="3">
        <v>0.1</v>
      </c>
      <c r="N48" s="2">
        <v>236.6</v>
      </c>
      <c r="O48" s="2">
        <v>23.66</v>
      </c>
      <c r="P48" s="2">
        <v>212.94</v>
      </c>
      <c r="Q48" s="2">
        <v>94.46</v>
      </c>
      <c r="R48" s="2">
        <v>188.92</v>
      </c>
      <c r="S48" s="2">
        <v>24.02</v>
      </c>
      <c r="T48" s="3">
        <v>0.112801728186343</v>
      </c>
      <c r="U48" s="2" t="str">
        <f>IF(Table1[[#This Row],[Net_Revenue]]&lt;Table1[[#This Row],[Total_Cost]], "Loss", "Gain")</f>
        <v>Gain</v>
      </c>
      <c r="V48" s="16">
        <f>IF(Table1[[#This Row],[Gain/Loss]]="Gain",Table1[[#This Row],[Quantity]], 0)</f>
        <v>2</v>
      </c>
      <c r="W48" s="16">
        <f>IF(Table1[[#This Row],[Gain/Loss]]="Loss",Table1[[#This Row],[Quantity]],0)</f>
        <v>0</v>
      </c>
      <c r="X48" s="16">
        <f>IF(OR(Table1[[#This Row],[Gain/Loss]]="Gain",Table1[[#This Row],[Gain/Loss]]="Loss"),Table1[[#This Row],[Quantity]],"")</f>
        <v>2</v>
      </c>
    </row>
    <row r="49" spans="1:24" x14ac:dyDescent="0.25">
      <c r="A49">
        <v>10048</v>
      </c>
      <c r="B49" s="1">
        <v>45705</v>
      </c>
      <c r="C49" s="1" t="str">
        <f>TEXT(Table1[[#This Row],[Order_Date]],"DD")</f>
        <v>17</v>
      </c>
      <c r="D49" s="1" t="str">
        <f>TEXT(Table1[[#This Row],[Order_Date]],"MMM")</f>
        <v>Feb</v>
      </c>
      <c r="E49" s="1" t="str">
        <f>TEXT(Table1[[#This Row],[Order_Date]],"YYYY")</f>
        <v>2025</v>
      </c>
      <c r="F49">
        <v>3550</v>
      </c>
      <c r="G49" t="s">
        <v>23</v>
      </c>
      <c r="H49" t="s">
        <v>24</v>
      </c>
      <c r="I49" t="s">
        <v>33</v>
      </c>
      <c r="J49" t="s">
        <v>20</v>
      </c>
      <c r="K49">
        <v>1</v>
      </c>
      <c r="L49" s="2">
        <v>245.1</v>
      </c>
      <c r="M49" s="3">
        <v>0.1</v>
      </c>
      <c r="N49" s="2">
        <v>245.1</v>
      </c>
      <c r="O49" s="2">
        <v>24.51</v>
      </c>
      <c r="P49" s="2">
        <v>220.59</v>
      </c>
      <c r="Q49" s="2">
        <v>117.87</v>
      </c>
      <c r="R49" s="2">
        <v>117.87</v>
      </c>
      <c r="S49" s="2">
        <v>102.72</v>
      </c>
      <c r="T49" s="3">
        <v>0.46566027471780203</v>
      </c>
      <c r="U49" s="2" t="str">
        <f>IF(Table1[[#This Row],[Net_Revenue]]&lt;Table1[[#This Row],[Total_Cost]], "Loss", "Gain")</f>
        <v>Gain</v>
      </c>
      <c r="V49" s="16">
        <f>IF(Table1[[#This Row],[Gain/Loss]]="Gain",Table1[[#This Row],[Quantity]], 0)</f>
        <v>1</v>
      </c>
      <c r="W49" s="16">
        <f>IF(Table1[[#This Row],[Gain/Loss]]="Loss",Table1[[#This Row],[Quantity]],0)</f>
        <v>0</v>
      </c>
      <c r="X49" s="16">
        <f>IF(OR(Table1[[#This Row],[Gain/Loss]]="Gain",Table1[[#This Row],[Gain/Loss]]="Loss"),Table1[[#This Row],[Quantity]],"")</f>
        <v>1</v>
      </c>
    </row>
    <row r="50" spans="1:24" x14ac:dyDescent="0.25">
      <c r="A50">
        <v>10049</v>
      </c>
      <c r="B50" s="1">
        <v>45706</v>
      </c>
      <c r="C50" s="1" t="str">
        <f>TEXT(Table1[[#This Row],[Order_Date]],"DD")</f>
        <v>18</v>
      </c>
      <c r="D50" s="1" t="str">
        <f>TEXT(Table1[[#This Row],[Order_Date]],"MMM")</f>
        <v>Feb</v>
      </c>
      <c r="E50" s="1" t="str">
        <f>TEXT(Table1[[#This Row],[Order_Date]],"YYYY")</f>
        <v>2025</v>
      </c>
      <c r="F50">
        <v>3772</v>
      </c>
      <c r="G50" t="s">
        <v>29</v>
      </c>
      <c r="H50" t="s">
        <v>24</v>
      </c>
      <c r="I50" t="s">
        <v>19</v>
      </c>
      <c r="J50" t="s">
        <v>27</v>
      </c>
      <c r="K50">
        <v>6</v>
      </c>
      <c r="L50" s="2">
        <v>225.09</v>
      </c>
      <c r="M50" s="3">
        <v>0.05</v>
      </c>
      <c r="N50" s="2">
        <v>1350.54</v>
      </c>
      <c r="O50" s="2">
        <v>67.527000000000001</v>
      </c>
      <c r="P50" s="2">
        <v>1283.0129999999999</v>
      </c>
      <c r="Q50" s="2">
        <v>92.35</v>
      </c>
      <c r="R50" s="2">
        <v>554.099999999999</v>
      </c>
      <c r="S50" s="2">
        <v>728.91300000000001</v>
      </c>
      <c r="T50" s="3">
        <v>0.56812596598787302</v>
      </c>
      <c r="U50" s="2" t="str">
        <f>IF(Table1[[#This Row],[Net_Revenue]]&lt;Table1[[#This Row],[Total_Cost]], "Loss", "Gain")</f>
        <v>Gain</v>
      </c>
      <c r="V50" s="16">
        <f>IF(Table1[[#This Row],[Gain/Loss]]="Gain",Table1[[#This Row],[Quantity]], 0)</f>
        <v>6</v>
      </c>
      <c r="W50" s="16">
        <f>IF(Table1[[#This Row],[Gain/Loss]]="Loss",Table1[[#This Row],[Quantity]],0)</f>
        <v>0</v>
      </c>
      <c r="X50" s="16">
        <f>IF(OR(Table1[[#This Row],[Gain/Loss]]="Gain",Table1[[#This Row],[Gain/Loss]]="Loss"),Table1[[#This Row],[Quantity]],"")</f>
        <v>6</v>
      </c>
    </row>
    <row r="51" spans="1:24" x14ac:dyDescent="0.25">
      <c r="A51">
        <v>10050</v>
      </c>
      <c r="B51" s="1">
        <v>45707</v>
      </c>
      <c r="C51" s="1" t="str">
        <f>TEXT(Table1[[#This Row],[Order_Date]],"DD")</f>
        <v>19</v>
      </c>
      <c r="D51" s="1" t="str">
        <f>TEXT(Table1[[#This Row],[Order_Date]],"MMM")</f>
        <v>Feb</v>
      </c>
      <c r="E51" s="1" t="str">
        <f>TEXT(Table1[[#This Row],[Order_Date]],"YYYY")</f>
        <v>2025</v>
      </c>
      <c r="F51">
        <v>3494</v>
      </c>
      <c r="G51" t="s">
        <v>23</v>
      </c>
      <c r="H51" t="s">
        <v>18</v>
      </c>
      <c r="I51" t="s">
        <v>25</v>
      </c>
      <c r="J51" t="s">
        <v>32</v>
      </c>
      <c r="K51">
        <v>1</v>
      </c>
      <c r="L51" s="2">
        <v>57.3</v>
      </c>
      <c r="M51" s="3">
        <v>0.05</v>
      </c>
      <c r="N51" s="2">
        <v>57.3</v>
      </c>
      <c r="O51" s="2">
        <v>2.8650000000000002</v>
      </c>
      <c r="P51" s="2">
        <v>54.434999999999903</v>
      </c>
      <c r="Q51" s="2">
        <v>74.989999999999995</v>
      </c>
      <c r="R51" s="2">
        <v>74.989999999999995</v>
      </c>
      <c r="S51" s="2">
        <v>-20.555</v>
      </c>
      <c r="T51" s="3">
        <v>-0.37760631946357998</v>
      </c>
      <c r="U51" s="2" t="str">
        <f>IF(Table1[[#This Row],[Net_Revenue]]&lt;Table1[[#This Row],[Total_Cost]], "Loss", "Gain")</f>
        <v>Loss</v>
      </c>
      <c r="V51" s="16">
        <f>IF(Table1[[#This Row],[Gain/Loss]]="Gain",Table1[[#This Row],[Quantity]], 0)</f>
        <v>0</v>
      </c>
      <c r="W51" s="16">
        <f>IF(Table1[[#This Row],[Gain/Loss]]="Loss",Table1[[#This Row],[Quantity]],0)</f>
        <v>1</v>
      </c>
      <c r="X51" s="16">
        <f>IF(OR(Table1[[#This Row],[Gain/Loss]]="Gain",Table1[[#This Row],[Gain/Loss]]="Loss"),Table1[[#This Row],[Quantity]],"")</f>
        <v>1</v>
      </c>
    </row>
    <row r="52" spans="1:24" x14ac:dyDescent="0.25">
      <c r="A52">
        <v>10051</v>
      </c>
      <c r="B52" s="1">
        <v>45708</v>
      </c>
      <c r="C52" s="1" t="str">
        <f>TEXT(Table1[[#This Row],[Order_Date]],"DD")</f>
        <v>20</v>
      </c>
      <c r="D52" s="1" t="str">
        <f>TEXT(Table1[[#This Row],[Order_Date]],"MMM")</f>
        <v>Feb</v>
      </c>
      <c r="E52" s="1" t="str">
        <f>TEXT(Table1[[#This Row],[Order_Date]],"YYYY")</f>
        <v>2025</v>
      </c>
      <c r="F52">
        <v>3137</v>
      </c>
      <c r="G52" t="s">
        <v>21</v>
      </c>
      <c r="H52" t="s">
        <v>24</v>
      </c>
      <c r="I52" t="s">
        <v>26</v>
      </c>
      <c r="J52" t="s">
        <v>28</v>
      </c>
      <c r="K52">
        <v>7</v>
      </c>
      <c r="L52" s="2">
        <v>169.17</v>
      </c>
      <c r="M52" s="3">
        <v>0.05</v>
      </c>
      <c r="N52" s="2">
        <v>1184.1899999999901</v>
      </c>
      <c r="O52" s="2">
        <v>59.209499999999899</v>
      </c>
      <c r="P52" s="2">
        <v>1124.9804999999999</v>
      </c>
      <c r="Q52" s="2">
        <v>147.07</v>
      </c>
      <c r="R52" s="2">
        <v>1029.49</v>
      </c>
      <c r="S52" s="2">
        <v>95.490499999999798</v>
      </c>
      <c r="T52" s="3">
        <v>8.4881915730983692E-2</v>
      </c>
      <c r="U52" s="2" t="str">
        <f>IF(Table1[[#This Row],[Net_Revenue]]&lt;Table1[[#This Row],[Total_Cost]], "Loss", "Gain")</f>
        <v>Gain</v>
      </c>
      <c r="V52" s="16">
        <f>IF(Table1[[#This Row],[Gain/Loss]]="Gain",Table1[[#This Row],[Quantity]], 0)</f>
        <v>7</v>
      </c>
      <c r="W52" s="16">
        <f>IF(Table1[[#This Row],[Gain/Loss]]="Loss",Table1[[#This Row],[Quantity]],0)</f>
        <v>0</v>
      </c>
      <c r="X52" s="16">
        <f>IF(OR(Table1[[#This Row],[Gain/Loss]]="Gain",Table1[[#This Row],[Gain/Loss]]="Loss"),Table1[[#This Row],[Quantity]],"")</f>
        <v>7</v>
      </c>
    </row>
    <row r="53" spans="1:24" x14ac:dyDescent="0.25">
      <c r="A53">
        <v>10052</v>
      </c>
      <c r="B53" s="1">
        <v>45709</v>
      </c>
      <c r="C53" s="1" t="str">
        <f>TEXT(Table1[[#This Row],[Order_Date]],"DD")</f>
        <v>21</v>
      </c>
      <c r="D53" s="1" t="str">
        <f>TEXT(Table1[[#This Row],[Order_Date]],"MMM")</f>
        <v>Feb</v>
      </c>
      <c r="E53" s="1" t="str">
        <f>TEXT(Table1[[#This Row],[Order_Date]],"YYYY")</f>
        <v>2025</v>
      </c>
      <c r="F53">
        <v>3855</v>
      </c>
      <c r="G53" t="s">
        <v>29</v>
      </c>
      <c r="H53" t="s">
        <v>24</v>
      </c>
      <c r="I53" t="s">
        <v>26</v>
      </c>
      <c r="J53" t="s">
        <v>30</v>
      </c>
      <c r="K53">
        <v>7</v>
      </c>
      <c r="L53" s="2">
        <v>235.75</v>
      </c>
      <c r="M53" s="3">
        <v>0.1</v>
      </c>
      <c r="N53" s="2">
        <v>1650.25</v>
      </c>
      <c r="O53" s="2">
        <v>165.02500000000001</v>
      </c>
      <c r="P53" s="2">
        <v>1485.2249999999999</v>
      </c>
      <c r="Q53" s="2">
        <v>76.66</v>
      </c>
      <c r="R53" s="2">
        <v>536.62</v>
      </c>
      <c r="S53" s="2">
        <v>948.604999999999</v>
      </c>
      <c r="T53" s="3">
        <v>0.63869447390126</v>
      </c>
      <c r="U53" s="2" t="str">
        <f>IF(Table1[[#This Row],[Net_Revenue]]&lt;Table1[[#This Row],[Total_Cost]], "Loss", "Gain")</f>
        <v>Gain</v>
      </c>
      <c r="V53" s="16">
        <f>IF(Table1[[#This Row],[Gain/Loss]]="Gain",Table1[[#This Row],[Quantity]], 0)</f>
        <v>7</v>
      </c>
      <c r="W53" s="16">
        <f>IF(Table1[[#This Row],[Gain/Loss]]="Loss",Table1[[#This Row],[Quantity]],0)</f>
        <v>0</v>
      </c>
      <c r="X53" s="16">
        <f>IF(OR(Table1[[#This Row],[Gain/Loss]]="Gain",Table1[[#This Row],[Gain/Loss]]="Loss"),Table1[[#This Row],[Quantity]],"")</f>
        <v>7</v>
      </c>
    </row>
    <row r="54" spans="1:24" x14ac:dyDescent="0.25">
      <c r="A54">
        <v>10053</v>
      </c>
      <c r="B54" s="1">
        <v>45710</v>
      </c>
      <c r="C54" s="1" t="str">
        <f>TEXT(Table1[[#This Row],[Order_Date]],"DD")</f>
        <v>22</v>
      </c>
      <c r="D54" s="1" t="str">
        <f>TEXT(Table1[[#This Row],[Order_Date]],"MMM")</f>
        <v>Feb</v>
      </c>
      <c r="E54" s="1" t="str">
        <f>TEXT(Table1[[#This Row],[Order_Date]],"YYYY")</f>
        <v>2025</v>
      </c>
      <c r="F54">
        <v>3483</v>
      </c>
      <c r="G54" t="s">
        <v>17</v>
      </c>
      <c r="H54" t="s">
        <v>18</v>
      </c>
      <c r="I54" t="s">
        <v>19</v>
      </c>
      <c r="J54" t="s">
        <v>27</v>
      </c>
      <c r="K54">
        <v>6</v>
      </c>
      <c r="L54" s="2">
        <v>104.09</v>
      </c>
      <c r="M54" s="3">
        <v>0.2</v>
      </c>
      <c r="N54" s="2">
        <v>624.54</v>
      </c>
      <c r="O54" s="2">
        <v>124.908</v>
      </c>
      <c r="P54" s="2">
        <v>499.63199999999898</v>
      </c>
      <c r="Q54" s="2">
        <v>19.649999999999999</v>
      </c>
      <c r="R54" s="2">
        <v>117.899999999999</v>
      </c>
      <c r="S54" s="2">
        <v>381.731999999999</v>
      </c>
      <c r="T54" s="3">
        <v>0.764026323374003</v>
      </c>
      <c r="U54" s="2" t="str">
        <f>IF(Table1[[#This Row],[Net_Revenue]]&lt;Table1[[#This Row],[Total_Cost]], "Loss", "Gain")</f>
        <v>Gain</v>
      </c>
      <c r="V54" s="16">
        <f>IF(Table1[[#This Row],[Gain/Loss]]="Gain",Table1[[#This Row],[Quantity]], 0)</f>
        <v>6</v>
      </c>
      <c r="W54" s="16">
        <f>IF(Table1[[#This Row],[Gain/Loss]]="Loss",Table1[[#This Row],[Quantity]],0)</f>
        <v>0</v>
      </c>
      <c r="X54" s="16">
        <f>IF(OR(Table1[[#This Row],[Gain/Loss]]="Gain",Table1[[#This Row],[Gain/Loss]]="Loss"),Table1[[#This Row],[Quantity]],"")</f>
        <v>6</v>
      </c>
    </row>
    <row r="55" spans="1:24" x14ac:dyDescent="0.25">
      <c r="A55">
        <v>10054</v>
      </c>
      <c r="B55" s="1">
        <v>45711</v>
      </c>
      <c r="C55" s="1" t="str">
        <f>TEXT(Table1[[#This Row],[Order_Date]],"DD")</f>
        <v>23</v>
      </c>
      <c r="D55" s="1" t="str">
        <f>TEXT(Table1[[#This Row],[Order_Date]],"MMM")</f>
        <v>Feb</v>
      </c>
      <c r="E55" s="1" t="str">
        <f>TEXT(Table1[[#This Row],[Order_Date]],"YYYY")</f>
        <v>2025</v>
      </c>
      <c r="F55">
        <v>3195</v>
      </c>
      <c r="G55" t="s">
        <v>23</v>
      </c>
      <c r="H55" t="s">
        <v>24</v>
      </c>
      <c r="I55" t="s">
        <v>26</v>
      </c>
      <c r="J55" t="s">
        <v>30</v>
      </c>
      <c r="K55">
        <v>7</v>
      </c>
      <c r="L55" s="2">
        <v>133.44</v>
      </c>
      <c r="M55" s="3">
        <v>0.2</v>
      </c>
      <c r="N55" s="2">
        <v>934.07999999999902</v>
      </c>
      <c r="O55" s="2">
        <v>186.816</v>
      </c>
      <c r="P55" s="2">
        <v>747.26399999999899</v>
      </c>
      <c r="Q55" s="2">
        <v>11.62</v>
      </c>
      <c r="R55" s="2">
        <v>81.339999999999904</v>
      </c>
      <c r="S55" s="2">
        <v>665.92399999999895</v>
      </c>
      <c r="T55" s="3">
        <v>0.891149580335731</v>
      </c>
      <c r="U55" s="2" t="str">
        <f>IF(Table1[[#This Row],[Net_Revenue]]&lt;Table1[[#This Row],[Total_Cost]], "Loss", "Gain")</f>
        <v>Gain</v>
      </c>
      <c r="V55" s="16">
        <f>IF(Table1[[#This Row],[Gain/Loss]]="Gain",Table1[[#This Row],[Quantity]], 0)</f>
        <v>7</v>
      </c>
      <c r="W55" s="16">
        <f>IF(Table1[[#This Row],[Gain/Loss]]="Loss",Table1[[#This Row],[Quantity]],0)</f>
        <v>0</v>
      </c>
      <c r="X55" s="16">
        <f>IF(OR(Table1[[#This Row],[Gain/Loss]]="Gain",Table1[[#This Row],[Gain/Loss]]="Loss"),Table1[[#This Row],[Quantity]],"")</f>
        <v>7</v>
      </c>
    </row>
    <row r="56" spans="1:24" x14ac:dyDescent="0.25">
      <c r="A56">
        <v>10055</v>
      </c>
      <c r="B56" s="1">
        <v>45712</v>
      </c>
      <c r="C56" s="1" t="str">
        <f>TEXT(Table1[[#This Row],[Order_Date]],"DD")</f>
        <v>24</v>
      </c>
      <c r="D56" s="1" t="str">
        <f>TEXT(Table1[[#This Row],[Order_Date]],"MMM")</f>
        <v>Feb</v>
      </c>
      <c r="E56" s="1" t="str">
        <f>TEXT(Table1[[#This Row],[Order_Date]],"YYYY")</f>
        <v>2025</v>
      </c>
      <c r="F56">
        <v>3072</v>
      </c>
      <c r="G56" t="s">
        <v>17</v>
      </c>
      <c r="H56" t="s">
        <v>24</v>
      </c>
      <c r="I56" t="s">
        <v>26</v>
      </c>
      <c r="J56" t="s">
        <v>31</v>
      </c>
      <c r="K56">
        <v>2</v>
      </c>
      <c r="L56" s="2">
        <v>147.02000000000001</v>
      </c>
      <c r="M56" s="3">
        <v>0.15</v>
      </c>
      <c r="N56" s="2">
        <v>294.04000000000002</v>
      </c>
      <c r="O56" s="2">
        <v>44.106000000000002</v>
      </c>
      <c r="P56" s="2">
        <v>249.934</v>
      </c>
      <c r="Q56" s="2">
        <v>58.49</v>
      </c>
      <c r="R56" s="2">
        <v>116.98</v>
      </c>
      <c r="S56" s="2">
        <v>132.95400000000001</v>
      </c>
      <c r="T56" s="3">
        <v>0.53195643649923496</v>
      </c>
      <c r="U56" s="2" t="str">
        <f>IF(Table1[[#This Row],[Net_Revenue]]&lt;Table1[[#This Row],[Total_Cost]], "Loss", "Gain")</f>
        <v>Gain</v>
      </c>
      <c r="V56" s="16">
        <f>IF(Table1[[#This Row],[Gain/Loss]]="Gain",Table1[[#This Row],[Quantity]], 0)</f>
        <v>2</v>
      </c>
      <c r="W56" s="16">
        <f>IF(Table1[[#This Row],[Gain/Loss]]="Loss",Table1[[#This Row],[Quantity]],0)</f>
        <v>0</v>
      </c>
      <c r="X56" s="16">
        <f>IF(OR(Table1[[#This Row],[Gain/Loss]]="Gain",Table1[[#This Row],[Gain/Loss]]="Loss"),Table1[[#This Row],[Quantity]],"")</f>
        <v>2</v>
      </c>
    </row>
    <row r="57" spans="1:24" x14ac:dyDescent="0.25">
      <c r="A57">
        <v>10056</v>
      </c>
      <c r="B57" s="1">
        <v>45713</v>
      </c>
      <c r="C57" s="1" t="str">
        <f>TEXT(Table1[[#This Row],[Order_Date]],"DD")</f>
        <v>25</v>
      </c>
      <c r="D57" s="1" t="str">
        <f>TEXT(Table1[[#This Row],[Order_Date]],"MMM")</f>
        <v>Feb</v>
      </c>
      <c r="E57" s="1" t="str">
        <f>TEXT(Table1[[#This Row],[Order_Date]],"YYYY")</f>
        <v>2025</v>
      </c>
      <c r="F57">
        <v>3851</v>
      </c>
      <c r="G57" t="s">
        <v>23</v>
      </c>
      <c r="H57" t="s">
        <v>24</v>
      </c>
      <c r="I57" t="s">
        <v>26</v>
      </c>
      <c r="J57" t="s">
        <v>28</v>
      </c>
      <c r="K57">
        <v>9</v>
      </c>
      <c r="L57" s="2">
        <v>230.04</v>
      </c>
      <c r="M57" s="3">
        <v>0.1</v>
      </c>
      <c r="N57" s="2">
        <v>2070.36</v>
      </c>
      <c r="O57" s="2">
        <v>207.036</v>
      </c>
      <c r="P57" s="2">
        <v>1863.3240000000001</v>
      </c>
      <c r="Q57" s="2">
        <v>71.16</v>
      </c>
      <c r="R57" s="2">
        <v>640.43999999999903</v>
      </c>
      <c r="S57" s="2">
        <v>1222.884</v>
      </c>
      <c r="T57" s="3">
        <v>0.65629165942154899</v>
      </c>
      <c r="U57" s="2" t="str">
        <f>IF(Table1[[#This Row],[Net_Revenue]]&lt;Table1[[#This Row],[Total_Cost]], "Loss", "Gain")</f>
        <v>Gain</v>
      </c>
      <c r="V57" s="16">
        <f>IF(Table1[[#This Row],[Gain/Loss]]="Gain",Table1[[#This Row],[Quantity]], 0)</f>
        <v>9</v>
      </c>
      <c r="W57" s="16">
        <f>IF(Table1[[#This Row],[Gain/Loss]]="Loss",Table1[[#This Row],[Quantity]],0)</f>
        <v>0</v>
      </c>
      <c r="X57" s="16">
        <f>IF(OR(Table1[[#This Row],[Gain/Loss]]="Gain",Table1[[#This Row],[Gain/Loss]]="Loss"),Table1[[#This Row],[Quantity]],"")</f>
        <v>9</v>
      </c>
    </row>
    <row r="58" spans="1:24" x14ac:dyDescent="0.25">
      <c r="A58">
        <v>10057</v>
      </c>
      <c r="B58" s="1">
        <v>45714</v>
      </c>
      <c r="C58" s="1" t="str">
        <f>TEXT(Table1[[#This Row],[Order_Date]],"DD")</f>
        <v>26</v>
      </c>
      <c r="D58" s="1" t="str">
        <f>TEXT(Table1[[#This Row],[Order_Date]],"MMM")</f>
        <v>Feb</v>
      </c>
      <c r="E58" s="1" t="str">
        <f>TEXT(Table1[[#This Row],[Order_Date]],"YYYY")</f>
        <v>2025</v>
      </c>
      <c r="F58">
        <v>3944</v>
      </c>
      <c r="G58" t="s">
        <v>23</v>
      </c>
      <c r="H58" t="s">
        <v>18</v>
      </c>
      <c r="I58" t="s">
        <v>26</v>
      </c>
      <c r="J58" t="s">
        <v>28</v>
      </c>
      <c r="K58">
        <v>6</v>
      </c>
      <c r="L58" s="2">
        <v>69.81</v>
      </c>
      <c r="M58" s="3">
        <v>0.05</v>
      </c>
      <c r="N58" s="2">
        <v>418.86</v>
      </c>
      <c r="O58" s="2">
        <v>20.943000000000001</v>
      </c>
      <c r="P58" s="2">
        <v>397.91699999999997</v>
      </c>
      <c r="Q58" s="2">
        <v>85.66</v>
      </c>
      <c r="R58" s="2">
        <v>513.96</v>
      </c>
      <c r="S58" s="2">
        <v>-116.04300000000001</v>
      </c>
      <c r="T58" s="3">
        <v>-0.29162614314040303</v>
      </c>
      <c r="U58" s="2" t="str">
        <f>IF(Table1[[#This Row],[Net_Revenue]]&lt;Table1[[#This Row],[Total_Cost]], "Loss", "Gain")</f>
        <v>Loss</v>
      </c>
      <c r="V58" s="16">
        <f>IF(Table1[[#This Row],[Gain/Loss]]="Gain",Table1[[#This Row],[Quantity]], 0)</f>
        <v>0</v>
      </c>
      <c r="W58" s="16">
        <f>IF(Table1[[#This Row],[Gain/Loss]]="Loss",Table1[[#This Row],[Quantity]],0)</f>
        <v>6</v>
      </c>
      <c r="X58" s="16">
        <f>IF(OR(Table1[[#This Row],[Gain/Loss]]="Gain",Table1[[#This Row],[Gain/Loss]]="Loss"),Table1[[#This Row],[Quantity]],"")</f>
        <v>6</v>
      </c>
    </row>
    <row r="59" spans="1:24" x14ac:dyDescent="0.25">
      <c r="A59">
        <v>10058</v>
      </c>
      <c r="B59" s="1">
        <v>45715</v>
      </c>
      <c r="C59" s="1" t="str">
        <f>TEXT(Table1[[#This Row],[Order_Date]],"DD")</f>
        <v>27</v>
      </c>
      <c r="D59" s="1" t="str">
        <f>TEXT(Table1[[#This Row],[Order_Date]],"MMM")</f>
        <v>Feb</v>
      </c>
      <c r="E59" s="1" t="str">
        <f>TEXT(Table1[[#This Row],[Order_Date]],"YYYY")</f>
        <v>2025</v>
      </c>
      <c r="F59">
        <v>3257</v>
      </c>
      <c r="G59" t="s">
        <v>21</v>
      </c>
      <c r="H59" t="s">
        <v>24</v>
      </c>
      <c r="I59" t="s">
        <v>26</v>
      </c>
      <c r="J59" t="s">
        <v>28</v>
      </c>
      <c r="K59">
        <v>8</v>
      </c>
      <c r="L59" s="2">
        <v>183.72</v>
      </c>
      <c r="M59" s="3">
        <v>0</v>
      </c>
      <c r="N59" s="2">
        <v>1469.76</v>
      </c>
      <c r="O59" s="2">
        <v>0</v>
      </c>
      <c r="P59" s="2">
        <v>1469.76</v>
      </c>
      <c r="Q59" s="2">
        <v>15.1</v>
      </c>
      <c r="R59" s="2">
        <v>120.8</v>
      </c>
      <c r="S59" s="2">
        <v>1348.96</v>
      </c>
      <c r="T59" s="3">
        <v>0.91780971042891291</v>
      </c>
      <c r="U59" s="2" t="str">
        <f>IF(Table1[[#This Row],[Net_Revenue]]&lt;Table1[[#This Row],[Total_Cost]], "Loss", "Gain")</f>
        <v>Gain</v>
      </c>
      <c r="V59" s="16">
        <f>IF(Table1[[#This Row],[Gain/Loss]]="Gain",Table1[[#This Row],[Quantity]], 0)</f>
        <v>8</v>
      </c>
      <c r="W59" s="16">
        <f>IF(Table1[[#This Row],[Gain/Loss]]="Loss",Table1[[#This Row],[Quantity]],0)</f>
        <v>0</v>
      </c>
      <c r="X59" s="16">
        <f>IF(OR(Table1[[#This Row],[Gain/Loss]]="Gain",Table1[[#This Row],[Gain/Loss]]="Loss"),Table1[[#This Row],[Quantity]],"")</f>
        <v>8</v>
      </c>
    </row>
    <row r="60" spans="1:24" x14ac:dyDescent="0.25">
      <c r="A60">
        <v>10059</v>
      </c>
      <c r="B60" s="1">
        <v>45716</v>
      </c>
      <c r="C60" s="1" t="str">
        <f>TEXT(Table1[[#This Row],[Order_Date]],"DD")</f>
        <v>28</v>
      </c>
      <c r="D60" s="1" t="str">
        <f>TEXT(Table1[[#This Row],[Order_Date]],"MMM")</f>
        <v>Feb</v>
      </c>
      <c r="E60" s="1" t="str">
        <f>TEXT(Table1[[#This Row],[Order_Date]],"YYYY")</f>
        <v>2025</v>
      </c>
      <c r="F60">
        <v>3704</v>
      </c>
      <c r="G60" t="s">
        <v>17</v>
      </c>
      <c r="H60" t="s">
        <v>18</v>
      </c>
      <c r="I60" t="s">
        <v>19</v>
      </c>
      <c r="J60" t="s">
        <v>27</v>
      </c>
      <c r="K60">
        <v>4</v>
      </c>
      <c r="L60" s="2">
        <v>84.23</v>
      </c>
      <c r="M60" s="3">
        <v>0</v>
      </c>
      <c r="N60" s="2">
        <v>336.92</v>
      </c>
      <c r="O60" s="2">
        <v>0</v>
      </c>
      <c r="P60" s="2">
        <v>336.92</v>
      </c>
      <c r="Q60" s="2">
        <v>84.81</v>
      </c>
      <c r="R60" s="2">
        <v>339.24</v>
      </c>
      <c r="S60" s="2">
        <v>-2.3199999999999901</v>
      </c>
      <c r="T60" s="3">
        <v>-6.8859076338596507E-3</v>
      </c>
      <c r="U60" s="2" t="str">
        <f>IF(Table1[[#This Row],[Net_Revenue]]&lt;Table1[[#This Row],[Total_Cost]], "Loss", "Gain")</f>
        <v>Loss</v>
      </c>
      <c r="V60" s="16">
        <f>IF(Table1[[#This Row],[Gain/Loss]]="Gain",Table1[[#This Row],[Quantity]], 0)</f>
        <v>0</v>
      </c>
      <c r="W60" s="16">
        <f>IF(Table1[[#This Row],[Gain/Loss]]="Loss",Table1[[#This Row],[Quantity]],0)</f>
        <v>4</v>
      </c>
      <c r="X60" s="16">
        <f>IF(OR(Table1[[#This Row],[Gain/Loss]]="Gain",Table1[[#This Row],[Gain/Loss]]="Loss"),Table1[[#This Row],[Quantity]],"")</f>
        <v>4</v>
      </c>
    </row>
    <row r="61" spans="1:24" x14ac:dyDescent="0.25">
      <c r="A61">
        <v>10060</v>
      </c>
      <c r="B61" s="1">
        <v>45717</v>
      </c>
      <c r="C61" s="1" t="str">
        <f>TEXT(Table1[[#This Row],[Order_Date]],"DD")</f>
        <v>01</v>
      </c>
      <c r="D61" s="1" t="str">
        <f>TEXT(Table1[[#This Row],[Order_Date]],"MMM")</f>
        <v>Mar</v>
      </c>
      <c r="E61" s="1" t="str">
        <f>TEXT(Table1[[#This Row],[Order_Date]],"YYYY")</f>
        <v>2025</v>
      </c>
      <c r="F61">
        <v>3400</v>
      </c>
      <c r="G61" t="s">
        <v>21</v>
      </c>
      <c r="H61" t="s">
        <v>18</v>
      </c>
      <c r="I61" t="s">
        <v>33</v>
      </c>
      <c r="J61" t="s">
        <v>20</v>
      </c>
      <c r="K61">
        <v>6</v>
      </c>
      <c r="L61" s="2">
        <v>135.97</v>
      </c>
      <c r="M61" s="3">
        <v>0.15</v>
      </c>
      <c r="N61" s="2">
        <v>815.81999999999903</v>
      </c>
      <c r="O61" s="2">
        <v>122.372999999999</v>
      </c>
      <c r="P61" s="2">
        <v>693.44699999999898</v>
      </c>
      <c r="Q61" s="2">
        <v>143.99</v>
      </c>
      <c r="R61" s="2">
        <v>863.94</v>
      </c>
      <c r="S61" s="2">
        <v>-170.49299999999999</v>
      </c>
      <c r="T61" s="3">
        <v>-0.24586305802750602</v>
      </c>
      <c r="U61" s="2" t="str">
        <f>IF(Table1[[#This Row],[Net_Revenue]]&lt;Table1[[#This Row],[Total_Cost]], "Loss", "Gain")</f>
        <v>Loss</v>
      </c>
      <c r="V61" s="16">
        <f>IF(Table1[[#This Row],[Gain/Loss]]="Gain",Table1[[#This Row],[Quantity]], 0)</f>
        <v>0</v>
      </c>
      <c r="W61" s="16">
        <f>IF(Table1[[#This Row],[Gain/Loss]]="Loss",Table1[[#This Row],[Quantity]],0)</f>
        <v>6</v>
      </c>
      <c r="X61" s="16">
        <f>IF(OR(Table1[[#This Row],[Gain/Loss]]="Gain",Table1[[#This Row],[Gain/Loss]]="Loss"),Table1[[#This Row],[Quantity]],"")</f>
        <v>6</v>
      </c>
    </row>
    <row r="62" spans="1:24" x14ac:dyDescent="0.25">
      <c r="A62">
        <v>10061</v>
      </c>
      <c r="B62" s="1">
        <v>45718</v>
      </c>
      <c r="C62" s="1" t="str">
        <f>TEXT(Table1[[#This Row],[Order_Date]],"DD")</f>
        <v>02</v>
      </c>
      <c r="D62" s="1" t="str">
        <f>TEXT(Table1[[#This Row],[Order_Date]],"MMM")</f>
        <v>Mar</v>
      </c>
      <c r="E62" s="1" t="str">
        <f>TEXT(Table1[[#This Row],[Order_Date]],"YYYY")</f>
        <v>2025</v>
      </c>
      <c r="F62">
        <v>3374</v>
      </c>
      <c r="G62" t="s">
        <v>21</v>
      </c>
      <c r="H62" t="s">
        <v>24</v>
      </c>
      <c r="I62" t="s">
        <v>25</v>
      </c>
      <c r="J62" t="s">
        <v>32</v>
      </c>
      <c r="K62">
        <v>9</v>
      </c>
      <c r="L62" s="2">
        <v>171.9</v>
      </c>
      <c r="M62" s="3">
        <v>0.1</v>
      </c>
      <c r="N62" s="2">
        <v>1547.1</v>
      </c>
      <c r="O62" s="2">
        <v>154.71</v>
      </c>
      <c r="P62" s="2">
        <v>1392.39</v>
      </c>
      <c r="Q62" s="2">
        <v>114</v>
      </c>
      <c r="R62" s="2">
        <v>1026</v>
      </c>
      <c r="S62" s="2">
        <v>366.39</v>
      </c>
      <c r="T62" s="3">
        <v>0.26313748303277101</v>
      </c>
      <c r="U62" s="2" t="str">
        <f>IF(Table1[[#This Row],[Net_Revenue]]&lt;Table1[[#This Row],[Total_Cost]], "Loss", "Gain")</f>
        <v>Gain</v>
      </c>
      <c r="V62" s="16">
        <f>IF(Table1[[#This Row],[Gain/Loss]]="Gain",Table1[[#This Row],[Quantity]], 0)</f>
        <v>9</v>
      </c>
      <c r="W62" s="16">
        <f>IF(Table1[[#This Row],[Gain/Loss]]="Loss",Table1[[#This Row],[Quantity]],0)</f>
        <v>0</v>
      </c>
      <c r="X62" s="16">
        <f>IF(OR(Table1[[#This Row],[Gain/Loss]]="Gain",Table1[[#This Row],[Gain/Loss]]="Loss"),Table1[[#This Row],[Quantity]],"")</f>
        <v>9</v>
      </c>
    </row>
    <row r="63" spans="1:24" x14ac:dyDescent="0.25">
      <c r="A63">
        <v>10062</v>
      </c>
      <c r="B63" s="1">
        <v>45719</v>
      </c>
      <c r="C63" s="1" t="str">
        <f>TEXT(Table1[[#This Row],[Order_Date]],"DD")</f>
        <v>03</v>
      </c>
      <c r="D63" s="1" t="str">
        <f>TEXT(Table1[[#This Row],[Order_Date]],"MMM")</f>
        <v>Mar</v>
      </c>
      <c r="E63" s="1" t="str">
        <f>TEXT(Table1[[#This Row],[Order_Date]],"YYYY")</f>
        <v>2025</v>
      </c>
      <c r="F63">
        <v>3927</v>
      </c>
      <c r="G63" t="s">
        <v>17</v>
      </c>
      <c r="H63" t="s">
        <v>18</v>
      </c>
      <c r="I63" t="s">
        <v>26</v>
      </c>
      <c r="J63" t="s">
        <v>28</v>
      </c>
      <c r="K63">
        <v>8</v>
      </c>
      <c r="L63" s="2">
        <v>106.78</v>
      </c>
      <c r="M63" s="3">
        <v>0</v>
      </c>
      <c r="N63" s="2">
        <v>854.24</v>
      </c>
      <c r="O63" s="2">
        <v>0</v>
      </c>
      <c r="P63" s="2">
        <v>854.24</v>
      </c>
      <c r="Q63" s="2">
        <v>106.99</v>
      </c>
      <c r="R63" s="2">
        <v>855.92</v>
      </c>
      <c r="S63" s="2">
        <v>-1.67999999999995</v>
      </c>
      <c r="T63" s="3">
        <v>-1.9666604233001799E-3</v>
      </c>
      <c r="U63" s="2" t="str">
        <f>IF(Table1[[#This Row],[Net_Revenue]]&lt;Table1[[#This Row],[Total_Cost]], "Loss", "Gain")</f>
        <v>Loss</v>
      </c>
      <c r="V63" s="16">
        <f>IF(Table1[[#This Row],[Gain/Loss]]="Gain",Table1[[#This Row],[Quantity]], 0)</f>
        <v>0</v>
      </c>
      <c r="W63" s="16">
        <f>IF(Table1[[#This Row],[Gain/Loss]]="Loss",Table1[[#This Row],[Quantity]],0)</f>
        <v>8</v>
      </c>
      <c r="X63" s="16">
        <f>IF(OR(Table1[[#This Row],[Gain/Loss]]="Gain",Table1[[#This Row],[Gain/Loss]]="Loss"),Table1[[#This Row],[Quantity]],"")</f>
        <v>8</v>
      </c>
    </row>
    <row r="64" spans="1:24" x14ac:dyDescent="0.25">
      <c r="A64">
        <v>10063</v>
      </c>
      <c r="B64" s="1">
        <v>45720</v>
      </c>
      <c r="C64" s="1" t="str">
        <f>TEXT(Table1[[#This Row],[Order_Date]],"DD")</f>
        <v>04</v>
      </c>
      <c r="D64" s="1" t="str">
        <f>TEXT(Table1[[#This Row],[Order_Date]],"MMM")</f>
        <v>Mar</v>
      </c>
      <c r="E64" s="1" t="str">
        <f>TEXT(Table1[[#This Row],[Order_Date]],"YYYY")</f>
        <v>2025</v>
      </c>
      <c r="F64">
        <v>3349</v>
      </c>
      <c r="G64" t="s">
        <v>23</v>
      </c>
      <c r="H64" t="s">
        <v>18</v>
      </c>
      <c r="I64" t="s">
        <v>26</v>
      </c>
      <c r="J64" t="s">
        <v>31</v>
      </c>
      <c r="K64">
        <v>1</v>
      </c>
      <c r="L64" s="2">
        <v>55.42</v>
      </c>
      <c r="M64" s="3">
        <v>0.15</v>
      </c>
      <c r="N64" s="2">
        <v>55.42</v>
      </c>
      <c r="O64" s="2">
        <v>8.3130000000000006</v>
      </c>
      <c r="P64" s="2">
        <v>47.106999999999999</v>
      </c>
      <c r="Q64" s="2">
        <v>79.709999999999994</v>
      </c>
      <c r="R64" s="2">
        <v>79.709999999999994</v>
      </c>
      <c r="S64" s="2">
        <v>-32.602999999999902</v>
      </c>
      <c r="T64" s="3">
        <v>-0.69210520729403202</v>
      </c>
      <c r="U64" s="2" t="str">
        <f>IF(Table1[[#This Row],[Net_Revenue]]&lt;Table1[[#This Row],[Total_Cost]], "Loss", "Gain")</f>
        <v>Loss</v>
      </c>
      <c r="V64" s="16">
        <f>IF(Table1[[#This Row],[Gain/Loss]]="Gain",Table1[[#This Row],[Quantity]], 0)</f>
        <v>0</v>
      </c>
      <c r="W64" s="16">
        <f>IF(Table1[[#This Row],[Gain/Loss]]="Loss",Table1[[#This Row],[Quantity]],0)</f>
        <v>1</v>
      </c>
      <c r="X64" s="16">
        <f>IF(OR(Table1[[#This Row],[Gain/Loss]]="Gain",Table1[[#This Row],[Gain/Loss]]="Loss"),Table1[[#This Row],[Quantity]],"")</f>
        <v>1</v>
      </c>
    </row>
    <row r="65" spans="1:24" x14ac:dyDescent="0.25">
      <c r="A65">
        <v>10064</v>
      </c>
      <c r="B65" s="1">
        <v>45721</v>
      </c>
      <c r="C65" s="1" t="str">
        <f>TEXT(Table1[[#This Row],[Order_Date]],"DD")</f>
        <v>05</v>
      </c>
      <c r="D65" s="1" t="str">
        <f>TEXT(Table1[[#This Row],[Order_Date]],"MMM")</f>
        <v>Mar</v>
      </c>
      <c r="E65" s="1" t="str">
        <f>TEXT(Table1[[#This Row],[Order_Date]],"YYYY")</f>
        <v>2025</v>
      </c>
      <c r="F65">
        <v>3940</v>
      </c>
      <c r="G65" t="s">
        <v>23</v>
      </c>
      <c r="H65" t="s">
        <v>24</v>
      </c>
      <c r="I65" t="s">
        <v>26</v>
      </c>
      <c r="J65" t="s">
        <v>30</v>
      </c>
      <c r="K65">
        <v>6</v>
      </c>
      <c r="L65" s="2">
        <v>69.5</v>
      </c>
      <c r="M65" s="3">
        <v>0</v>
      </c>
      <c r="N65" s="2">
        <v>417</v>
      </c>
      <c r="O65" s="2">
        <v>0</v>
      </c>
      <c r="P65" s="2">
        <v>417</v>
      </c>
      <c r="Q65" s="2">
        <v>133.22999999999999</v>
      </c>
      <c r="R65" s="2">
        <v>799.37999999999897</v>
      </c>
      <c r="S65" s="2">
        <v>-382.37999999999897</v>
      </c>
      <c r="T65" s="3">
        <v>-0.91697841726618601</v>
      </c>
      <c r="U65" s="2" t="str">
        <f>IF(Table1[[#This Row],[Net_Revenue]]&lt;Table1[[#This Row],[Total_Cost]], "Loss", "Gain")</f>
        <v>Loss</v>
      </c>
      <c r="V65" s="16">
        <f>IF(Table1[[#This Row],[Gain/Loss]]="Gain",Table1[[#This Row],[Quantity]], 0)</f>
        <v>0</v>
      </c>
      <c r="W65" s="16">
        <f>IF(Table1[[#This Row],[Gain/Loss]]="Loss",Table1[[#This Row],[Quantity]],0)</f>
        <v>6</v>
      </c>
      <c r="X65" s="16">
        <f>IF(OR(Table1[[#This Row],[Gain/Loss]]="Gain",Table1[[#This Row],[Gain/Loss]]="Loss"),Table1[[#This Row],[Quantity]],"")</f>
        <v>6</v>
      </c>
    </row>
    <row r="66" spans="1:24" x14ac:dyDescent="0.25">
      <c r="A66">
        <v>10065</v>
      </c>
      <c r="B66" s="1">
        <v>45722</v>
      </c>
      <c r="C66" s="1" t="str">
        <f>TEXT(Table1[[#This Row],[Order_Date]],"DD")</f>
        <v>06</v>
      </c>
      <c r="D66" s="1" t="str">
        <f>TEXT(Table1[[#This Row],[Order_Date]],"MMM")</f>
        <v>Mar</v>
      </c>
      <c r="E66" s="1" t="str">
        <f>TEXT(Table1[[#This Row],[Order_Date]],"YYYY")</f>
        <v>2025</v>
      </c>
      <c r="F66">
        <v>3604</v>
      </c>
      <c r="G66" t="s">
        <v>21</v>
      </c>
      <c r="H66" t="s">
        <v>24</v>
      </c>
      <c r="I66" t="s">
        <v>33</v>
      </c>
      <c r="J66" t="s">
        <v>20</v>
      </c>
      <c r="K66">
        <v>1</v>
      </c>
      <c r="L66" s="2">
        <v>170.57</v>
      </c>
      <c r="M66" s="3">
        <v>0.1</v>
      </c>
      <c r="N66" s="2">
        <v>170.57</v>
      </c>
      <c r="O66" s="2">
        <v>17.056999999999999</v>
      </c>
      <c r="P66" s="2">
        <v>153.51300000000001</v>
      </c>
      <c r="Q66" s="2">
        <v>18.18</v>
      </c>
      <c r="R66" s="2">
        <v>18.18</v>
      </c>
      <c r="S66" s="2">
        <v>135.333</v>
      </c>
      <c r="T66" s="3">
        <v>0.881573547517148</v>
      </c>
      <c r="U66" s="2" t="str">
        <f>IF(Table1[[#This Row],[Net_Revenue]]&lt;Table1[[#This Row],[Total_Cost]], "Loss", "Gain")</f>
        <v>Gain</v>
      </c>
      <c r="V66" s="16">
        <f>IF(Table1[[#This Row],[Gain/Loss]]="Gain",Table1[[#This Row],[Quantity]], 0)</f>
        <v>1</v>
      </c>
      <c r="W66" s="16">
        <f>IF(Table1[[#This Row],[Gain/Loss]]="Loss",Table1[[#This Row],[Quantity]],0)</f>
        <v>0</v>
      </c>
      <c r="X66" s="16">
        <f>IF(OR(Table1[[#This Row],[Gain/Loss]]="Gain",Table1[[#This Row],[Gain/Loss]]="Loss"),Table1[[#This Row],[Quantity]],"")</f>
        <v>1</v>
      </c>
    </row>
    <row r="67" spans="1:24" x14ac:dyDescent="0.25">
      <c r="A67">
        <v>10066</v>
      </c>
      <c r="B67" s="1">
        <v>45723</v>
      </c>
      <c r="C67" s="1" t="str">
        <f>TEXT(Table1[[#This Row],[Order_Date]],"DD")</f>
        <v>07</v>
      </c>
      <c r="D67" s="1" t="str">
        <f>TEXT(Table1[[#This Row],[Order_Date]],"MMM")</f>
        <v>Mar</v>
      </c>
      <c r="E67" s="1" t="str">
        <f>TEXT(Table1[[#This Row],[Order_Date]],"YYYY")</f>
        <v>2025</v>
      </c>
      <c r="F67">
        <v>3764</v>
      </c>
      <c r="G67" t="s">
        <v>23</v>
      </c>
      <c r="H67" t="s">
        <v>24</v>
      </c>
      <c r="I67" t="s">
        <v>26</v>
      </c>
      <c r="J67" t="s">
        <v>28</v>
      </c>
      <c r="K67">
        <v>5</v>
      </c>
      <c r="L67" s="2">
        <v>27.83</v>
      </c>
      <c r="M67" s="3">
        <v>0.1</v>
      </c>
      <c r="N67" s="2">
        <v>139.14999999999901</v>
      </c>
      <c r="O67" s="2">
        <v>13.914999999999999</v>
      </c>
      <c r="P67" s="2">
        <v>125.234999999999</v>
      </c>
      <c r="Q67" s="2">
        <v>117.73</v>
      </c>
      <c r="R67" s="2">
        <v>588.65</v>
      </c>
      <c r="S67" s="2">
        <v>-463.414999999999</v>
      </c>
      <c r="T67" s="3">
        <v>-3.7003633169641001</v>
      </c>
      <c r="U67" s="2" t="str">
        <f>IF(Table1[[#This Row],[Net_Revenue]]&lt;Table1[[#This Row],[Total_Cost]], "Loss", "Gain")</f>
        <v>Loss</v>
      </c>
      <c r="V67" s="16">
        <f>IF(Table1[[#This Row],[Gain/Loss]]="Gain",Table1[[#This Row],[Quantity]], 0)</f>
        <v>0</v>
      </c>
      <c r="W67" s="16">
        <f>IF(Table1[[#This Row],[Gain/Loss]]="Loss",Table1[[#This Row],[Quantity]],0)</f>
        <v>5</v>
      </c>
      <c r="X67" s="16">
        <f>IF(OR(Table1[[#This Row],[Gain/Loss]]="Gain",Table1[[#This Row],[Gain/Loss]]="Loss"),Table1[[#This Row],[Quantity]],"")</f>
        <v>5</v>
      </c>
    </row>
    <row r="68" spans="1:24" x14ac:dyDescent="0.25">
      <c r="A68">
        <v>10067</v>
      </c>
      <c r="B68" s="1">
        <v>45724</v>
      </c>
      <c r="C68" s="1" t="str">
        <f>TEXT(Table1[[#This Row],[Order_Date]],"DD")</f>
        <v>08</v>
      </c>
      <c r="D68" s="1" t="str">
        <f>TEXT(Table1[[#This Row],[Order_Date]],"MMM")</f>
        <v>Mar</v>
      </c>
      <c r="E68" s="1" t="str">
        <f>TEXT(Table1[[#This Row],[Order_Date]],"YYYY")</f>
        <v>2025</v>
      </c>
      <c r="F68">
        <v>3583</v>
      </c>
      <c r="G68" t="s">
        <v>17</v>
      </c>
      <c r="H68" t="s">
        <v>18</v>
      </c>
      <c r="I68" t="s">
        <v>25</v>
      </c>
      <c r="J68" t="s">
        <v>32</v>
      </c>
      <c r="K68">
        <v>7</v>
      </c>
      <c r="L68" s="2">
        <v>39.97</v>
      </c>
      <c r="M68" s="3">
        <v>0.05</v>
      </c>
      <c r="N68" s="2">
        <v>279.789999999999</v>
      </c>
      <c r="O68" s="2">
        <v>13.9895</v>
      </c>
      <c r="P68" s="2">
        <v>265.80049999999898</v>
      </c>
      <c r="Q68" s="2">
        <v>108.42</v>
      </c>
      <c r="R68" s="2">
        <v>758.94</v>
      </c>
      <c r="S68" s="2">
        <v>-493.1395</v>
      </c>
      <c r="T68" s="3">
        <v>-1.85529936926379</v>
      </c>
      <c r="U68" s="2" t="str">
        <f>IF(Table1[[#This Row],[Net_Revenue]]&lt;Table1[[#This Row],[Total_Cost]], "Loss", "Gain")</f>
        <v>Loss</v>
      </c>
      <c r="V68" s="16">
        <f>IF(Table1[[#This Row],[Gain/Loss]]="Gain",Table1[[#This Row],[Quantity]], 0)</f>
        <v>0</v>
      </c>
      <c r="W68" s="16">
        <f>IF(Table1[[#This Row],[Gain/Loss]]="Loss",Table1[[#This Row],[Quantity]],0)</f>
        <v>7</v>
      </c>
      <c r="X68" s="16">
        <f>IF(OR(Table1[[#This Row],[Gain/Loss]]="Gain",Table1[[#This Row],[Gain/Loss]]="Loss"),Table1[[#This Row],[Quantity]],"")</f>
        <v>7</v>
      </c>
    </row>
    <row r="69" spans="1:24" x14ac:dyDescent="0.25">
      <c r="A69">
        <v>10068</v>
      </c>
      <c r="B69" s="1">
        <v>45725</v>
      </c>
      <c r="C69" s="1" t="str">
        <f>TEXT(Table1[[#This Row],[Order_Date]],"DD")</f>
        <v>09</v>
      </c>
      <c r="D69" s="1" t="str">
        <f>TEXT(Table1[[#This Row],[Order_Date]],"MMM")</f>
        <v>Mar</v>
      </c>
      <c r="E69" s="1" t="str">
        <f>TEXT(Table1[[#This Row],[Order_Date]],"YYYY")</f>
        <v>2025</v>
      </c>
      <c r="F69">
        <v>3279</v>
      </c>
      <c r="G69" t="s">
        <v>21</v>
      </c>
      <c r="H69" t="s">
        <v>24</v>
      </c>
      <c r="I69" t="s">
        <v>25</v>
      </c>
      <c r="J69" t="s">
        <v>32</v>
      </c>
      <c r="K69">
        <v>9</v>
      </c>
      <c r="L69" s="2">
        <v>55.79</v>
      </c>
      <c r="M69" s="3">
        <v>0.05</v>
      </c>
      <c r="N69" s="2">
        <v>502.11</v>
      </c>
      <c r="O69" s="2">
        <v>25.105499999999999</v>
      </c>
      <c r="P69" s="2">
        <v>477.00450000000001</v>
      </c>
      <c r="Q69" s="2">
        <v>59.85</v>
      </c>
      <c r="R69" s="2">
        <v>538.65</v>
      </c>
      <c r="S69" s="2">
        <v>-61.645499999999899</v>
      </c>
      <c r="T69" s="3">
        <v>-0.129234629861982</v>
      </c>
      <c r="U69" s="2" t="str">
        <f>IF(Table1[[#This Row],[Net_Revenue]]&lt;Table1[[#This Row],[Total_Cost]], "Loss", "Gain")</f>
        <v>Loss</v>
      </c>
      <c r="V69" s="16">
        <f>IF(Table1[[#This Row],[Gain/Loss]]="Gain",Table1[[#This Row],[Quantity]], 0)</f>
        <v>0</v>
      </c>
      <c r="W69" s="16">
        <f>IF(Table1[[#This Row],[Gain/Loss]]="Loss",Table1[[#This Row],[Quantity]],0)</f>
        <v>9</v>
      </c>
      <c r="X69" s="16">
        <f>IF(OR(Table1[[#This Row],[Gain/Loss]]="Gain",Table1[[#This Row],[Gain/Loss]]="Loss"),Table1[[#This Row],[Quantity]],"")</f>
        <v>9</v>
      </c>
    </row>
    <row r="70" spans="1:24" x14ac:dyDescent="0.25">
      <c r="A70">
        <v>10069</v>
      </c>
      <c r="B70" s="1">
        <v>45726</v>
      </c>
      <c r="C70" s="1" t="str">
        <f>TEXT(Table1[[#This Row],[Order_Date]],"DD")</f>
        <v>10</v>
      </c>
      <c r="D70" s="1" t="str">
        <f>TEXT(Table1[[#This Row],[Order_Date]],"MMM")</f>
        <v>Mar</v>
      </c>
      <c r="E70" s="1" t="str">
        <f>TEXT(Table1[[#This Row],[Order_Date]],"YYYY")</f>
        <v>2025</v>
      </c>
      <c r="F70">
        <v>3522</v>
      </c>
      <c r="G70" t="s">
        <v>23</v>
      </c>
      <c r="H70" t="s">
        <v>24</v>
      </c>
      <c r="I70" t="s">
        <v>26</v>
      </c>
      <c r="J70" t="s">
        <v>31</v>
      </c>
      <c r="K70">
        <v>2</v>
      </c>
      <c r="L70" s="2">
        <v>178.92</v>
      </c>
      <c r="M70" s="3">
        <v>0.1</v>
      </c>
      <c r="N70" s="2">
        <v>357.84</v>
      </c>
      <c r="O70" s="2">
        <v>35.783999999999999</v>
      </c>
      <c r="P70" s="2">
        <v>322.05599999999998</v>
      </c>
      <c r="Q70" s="2">
        <v>76.13</v>
      </c>
      <c r="R70" s="2">
        <v>152.26</v>
      </c>
      <c r="S70" s="2">
        <v>169.79599999999999</v>
      </c>
      <c r="T70" s="3">
        <v>0.52722507886827108</v>
      </c>
      <c r="U70" s="2" t="str">
        <f>IF(Table1[[#This Row],[Net_Revenue]]&lt;Table1[[#This Row],[Total_Cost]], "Loss", "Gain")</f>
        <v>Gain</v>
      </c>
      <c r="V70" s="16">
        <f>IF(Table1[[#This Row],[Gain/Loss]]="Gain",Table1[[#This Row],[Quantity]], 0)</f>
        <v>2</v>
      </c>
      <c r="W70" s="16">
        <f>IF(Table1[[#This Row],[Gain/Loss]]="Loss",Table1[[#This Row],[Quantity]],0)</f>
        <v>0</v>
      </c>
      <c r="X70" s="16">
        <f>IF(OR(Table1[[#This Row],[Gain/Loss]]="Gain",Table1[[#This Row],[Gain/Loss]]="Loss"),Table1[[#This Row],[Quantity]],"")</f>
        <v>2</v>
      </c>
    </row>
    <row r="71" spans="1:24" x14ac:dyDescent="0.25">
      <c r="A71">
        <v>10070</v>
      </c>
      <c r="B71" s="1">
        <v>45727</v>
      </c>
      <c r="C71" s="1" t="str">
        <f>TEXT(Table1[[#This Row],[Order_Date]],"DD")</f>
        <v>11</v>
      </c>
      <c r="D71" s="1" t="str">
        <f>TEXT(Table1[[#This Row],[Order_Date]],"MMM")</f>
        <v>Mar</v>
      </c>
      <c r="E71" s="1" t="str">
        <f>TEXT(Table1[[#This Row],[Order_Date]],"YYYY")</f>
        <v>2025</v>
      </c>
      <c r="F71">
        <v>3745</v>
      </c>
      <c r="G71" t="s">
        <v>21</v>
      </c>
      <c r="H71" t="s">
        <v>18</v>
      </c>
      <c r="I71" t="s">
        <v>19</v>
      </c>
      <c r="J71" t="s">
        <v>27</v>
      </c>
      <c r="K71">
        <v>9</v>
      </c>
      <c r="L71" s="2">
        <v>165.76</v>
      </c>
      <c r="M71" s="3">
        <v>0</v>
      </c>
      <c r="N71" s="2">
        <v>1491.84</v>
      </c>
      <c r="O71" s="2">
        <v>0</v>
      </c>
      <c r="P71" s="2">
        <v>1491.84</v>
      </c>
      <c r="Q71" s="2">
        <v>27.04</v>
      </c>
      <c r="R71" s="2">
        <v>243.35999999999899</v>
      </c>
      <c r="S71" s="2">
        <v>1248.48</v>
      </c>
      <c r="T71" s="3">
        <v>0.83687258687258603</v>
      </c>
      <c r="U71" s="2" t="str">
        <f>IF(Table1[[#This Row],[Net_Revenue]]&lt;Table1[[#This Row],[Total_Cost]], "Loss", "Gain")</f>
        <v>Gain</v>
      </c>
      <c r="V71" s="16">
        <f>IF(Table1[[#This Row],[Gain/Loss]]="Gain",Table1[[#This Row],[Quantity]], 0)</f>
        <v>9</v>
      </c>
      <c r="W71" s="16">
        <f>IF(Table1[[#This Row],[Gain/Loss]]="Loss",Table1[[#This Row],[Quantity]],0)</f>
        <v>0</v>
      </c>
      <c r="X71" s="16">
        <f>IF(OR(Table1[[#This Row],[Gain/Loss]]="Gain",Table1[[#This Row],[Gain/Loss]]="Loss"),Table1[[#This Row],[Quantity]],"")</f>
        <v>9</v>
      </c>
    </row>
    <row r="72" spans="1:24" x14ac:dyDescent="0.25">
      <c r="A72">
        <v>10071</v>
      </c>
      <c r="B72" s="1">
        <v>45728</v>
      </c>
      <c r="C72" s="1" t="str">
        <f>TEXT(Table1[[#This Row],[Order_Date]],"DD")</f>
        <v>12</v>
      </c>
      <c r="D72" s="1" t="str">
        <f>TEXT(Table1[[#This Row],[Order_Date]],"MMM")</f>
        <v>Mar</v>
      </c>
      <c r="E72" s="1" t="str">
        <f>TEXT(Table1[[#This Row],[Order_Date]],"YYYY")</f>
        <v>2025</v>
      </c>
      <c r="F72">
        <v>3803</v>
      </c>
      <c r="G72" t="s">
        <v>29</v>
      </c>
      <c r="H72" t="s">
        <v>24</v>
      </c>
      <c r="I72" t="s">
        <v>26</v>
      </c>
      <c r="J72" t="s">
        <v>28</v>
      </c>
      <c r="K72">
        <v>6</v>
      </c>
      <c r="L72" s="2">
        <v>203.3</v>
      </c>
      <c r="M72" s="3">
        <v>0.15</v>
      </c>
      <c r="N72" s="2">
        <v>1219.8</v>
      </c>
      <c r="O72" s="2">
        <v>182.97</v>
      </c>
      <c r="P72" s="2">
        <v>1036.83</v>
      </c>
      <c r="Q72" s="2">
        <v>5.9</v>
      </c>
      <c r="R72" s="2">
        <v>35.4</v>
      </c>
      <c r="S72" s="2">
        <v>1001.43</v>
      </c>
      <c r="T72" s="3">
        <v>0.96585746940192707</v>
      </c>
      <c r="U72" s="2" t="str">
        <f>IF(Table1[[#This Row],[Net_Revenue]]&lt;Table1[[#This Row],[Total_Cost]], "Loss", "Gain")</f>
        <v>Gain</v>
      </c>
      <c r="V72" s="16">
        <f>IF(Table1[[#This Row],[Gain/Loss]]="Gain",Table1[[#This Row],[Quantity]], 0)</f>
        <v>6</v>
      </c>
      <c r="W72" s="16">
        <f>IF(Table1[[#This Row],[Gain/Loss]]="Loss",Table1[[#This Row],[Quantity]],0)</f>
        <v>0</v>
      </c>
      <c r="X72" s="16">
        <f>IF(OR(Table1[[#This Row],[Gain/Loss]]="Gain",Table1[[#This Row],[Gain/Loss]]="Loss"),Table1[[#This Row],[Quantity]],"")</f>
        <v>6</v>
      </c>
    </row>
    <row r="73" spans="1:24" x14ac:dyDescent="0.25">
      <c r="A73">
        <v>10072</v>
      </c>
      <c r="B73" s="1">
        <v>45729</v>
      </c>
      <c r="C73" s="1" t="str">
        <f>TEXT(Table1[[#This Row],[Order_Date]],"DD")</f>
        <v>13</v>
      </c>
      <c r="D73" s="1" t="str">
        <f>TEXT(Table1[[#This Row],[Order_Date]],"MMM")</f>
        <v>Mar</v>
      </c>
      <c r="E73" s="1" t="str">
        <f>TEXT(Table1[[#This Row],[Order_Date]],"YYYY")</f>
        <v>2025</v>
      </c>
      <c r="F73">
        <v>3448</v>
      </c>
      <c r="G73" t="s">
        <v>21</v>
      </c>
      <c r="H73" t="s">
        <v>18</v>
      </c>
      <c r="I73" t="s">
        <v>25</v>
      </c>
      <c r="J73" t="s">
        <v>22</v>
      </c>
      <c r="K73">
        <v>9</v>
      </c>
      <c r="L73" s="2">
        <v>236.67</v>
      </c>
      <c r="M73" s="3">
        <v>0</v>
      </c>
      <c r="N73" s="2">
        <v>2130.0299999999902</v>
      </c>
      <c r="O73" s="2">
        <v>0</v>
      </c>
      <c r="P73" s="2">
        <v>2130.0299999999902</v>
      </c>
      <c r="Q73" s="2">
        <v>53.68</v>
      </c>
      <c r="R73" s="2">
        <v>483.12</v>
      </c>
      <c r="S73" s="2">
        <v>1646.9099999999901</v>
      </c>
      <c r="T73" s="3">
        <v>0.77318629315080001</v>
      </c>
      <c r="U73" s="2" t="str">
        <f>IF(Table1[[#This Row],[Net_Revenue]]&lt;Table1[[#This Row],[Total_Cost]], "Loss", "Gain")</f>
        <v>Gain</v>
      </c>
      <c r="V73" s="16">
        <f>IF(Table1[[#This Row],[Gain/Loss]]="Gain",Table1[[#This Row],[Quantity]], 0)</f>
        <v>9</v>
      </c>
      <c r="W73" s="16">
        <f>IF(Table1[[#This Row],[Gain/Loss]]="Loss",Table1[[#This Row],[Quantity]],0)</f>
        <v>0</v>
      </c>
      <c r="X73" s="16">
        <f>IF(OR(Table1[[#This Row],[Gain/Loss]]="Gain",Table1[[#This Row],[Gain/Loss]]="Loss"),Table1[[#This Row],[Quantity]],"")</f>
        <v>9</v>
      </c>
    </row>
    <row r="74" spans="1:24" x14ac:dyDescent="0.25">
      <c r="A74">
        <v>10073</v>
      </c>
      <c r="B74" s="1">
        <v>45730</v>
      </c>
      <c r="C74" s="1" t="str">
        <f>TEXT(Table1[[#This Row],[Order_Date]],"DD")</f>
        <v>14</v>
      </c>
      <c r="D74" s="1" t="str">
        <f>TEXT(Table1[[#This Row],[Order_Date]],"MMM")</f>
        <v>Mar</v>
      </c>
      <c r="E74" s="1" t="str">
        <f>TEXT(Table1[[#This Row],[Order_Date]],"YYYY")</f>
        <v>2025</v>
      </c>
      <c r="F74">
        <v>3317</v>
      </c>
      <c r="G74" t="s">
        <v>21</v>
      </c>
      <c r="H74" t="s">
        <v>24</v>
      </c>
      <c r="I74" t="s">
        <v>19</v>
      </c>
      <c r="J74" t="s">
        <v>27</v>
      </c>
      <c r="K74">
        <v>2</v>
      </c>
      <c r="L74" s="2">
        <v>158.13999999999999</v>
      </c>
      <c r="M74" s="3">
        <v>0.1</v>
      </c>
      <c r="N74" s="2">
        <v>316.27999999999997</v>
      </c>
      <c r="O74" s="2">
        <v>31.628</v>
      </c>
      <c r="P74" s="2">
        <v>284.65199999999999</v>
      </c>
      <c r="Q74" s="2">
        <v>54.02</v>
      </c>
      <c r="R74" s="2">
        <v>108.04</v>
      </c>
      <c r="S74" s="2">
        <v>176.611999999999</v>
      </c>
      <c r="T74" s="3">
        <v>0.62044882874527407</v>
      </c>
      <c r="U74" s="2" t="str">
        <f>IF(Table1[[#This Row],[Net_Revenue]]&lt;Table1[[#This Row],[Total_Cost]], "Loss", "Gain")</f>
        <v>Gain</v>
      </c>
      <c r="V74" s="16">
        <f>IF(Table1[[#This Row],[Gain/Loss]]="Gain",Table1[[#This Row],[Quantity]], 0)</f>
        <v>2</v>
      </c>
      <c r="W74" s="16">
        <f>IF(Table1[[#This Row],[Gain/Loss]]="Loss",Table1[[#This Row],[Quantity]],0)</f>
        <v>0</v>
      </c>
      <c r="X74" s="16">
        <f>IF(OR(Table1[[#This Row],[Gain/Loss]]="Gain",Table1[[#This Row],[Gain/Loss]]="Loss"),Table1[[#This Row],[Quantity]],"")</f>
        <v>2</v>
      </c>
    </row>
    <row r="75" spans="1:24" x14ac:dyDescent="0.25">
      <c r="A75">
        <v>10074</v>
      </c>
      <c r="B75" s="1">
        <v>45731</v>
      </c>
      <c r="C75" s="1" t="str">
        <f>TEXT(Table1[[#This Row],[Order_Date]],"DD")</f>
        <v>15</v>
      </c>
      <c r="D75" s="1" t="str">
        <f>TEXT(Table1[[#This Row],[Order_Date]],"MMM")</f>
        <v>Mar</v>
      </c>
      <c r="E75" s="1" t="str">
        <f>TEXT(Table1[[#This Row],[Order_Date]],"YYYY")</f>
        <v>2025</v>
      </c>
      <c r="F75">
        <v>3391</v>
      </c>
      <c r="G75" t="s">
        <v>21</v>
      </c>
      <c r="H75" t="s">
        <v>18</v>
      </c>
      <c r="I75" t="s">
        <v>25</v>
      </c>
      <c r="J75" t="s">
        <v>32</v>
      </c>
      <c r="K75">
        <v>3</v>
      </c>
      <c r="L75" s="2">
        <v>201.41</v>
      </c>
      <c r="M75" s="3">
        <v>0.1</v>
      </c>
      <c r="N75" s="2">
        <v>604.23</v>
      </c>
      <c r="O75" s="2">
        <v>60.423000000000002</v>
      </c>
      <c r="P75" s="2">
        <v>543.80700000000002</v>
      </c>
      <c r="Q75" s="2">
        <v>80.48</v>
      </c>
      <c r="R75" s="2">
        <v>241.44</v>
      </c>
      <c r="S75" s="2">
        <v>302.36700000000002</v>
      </c>
      <c r="T75" s="3">
        <v>0.55601895525434497</v>
      </c>
      <c r="U75" s="2" t="str">
        <f>IF(Table1[[#This Row],[Net_Revenue]]&lt;Table1[[#This Row],[Total_Cost]], "Loss", "Gain")</f>
        <v>Gain</v>
      </c>
      <c r="V75" s="16">
        <f>IF(Table1[[#This Row],[Gain/Loss]]="Gain",Table1[[#This Row],[Quantity]], 0)</f>
        <v>3</v>
      </c>
      <c r="W75" s="16">
        <f>IF(Table1[[#This Row],[Gain/Loss]]="Loss",Table1[[#This Row],[Quantity]],0)</f>
        <v>0</v>
      </c>
      <c r="X75" s="16">
        <f>IF(OR(Table1[[#This Row],[Gain/Loss]]="Gain",Table1[[#This Row],[Gain/Loss]]="Loss"),Table1[[#This Row],[Quantity]],"")</f>
        <v>3</v>
      </c>
    </row>
    <row r="76" spans="1:24" x14ac:dyDescent="0.25">
      <c r="A76">
        <v>10075</v>
      </c>
      <c r="B76" s="1">
        <v>45732</v>
      </c>
      <c r="C76" s="1" t="str">
        <f>TEXT(Table1[[#This Row],[Order_Date]],"DD")</f>
        <v>16</v>
      </c>
      <c r="D76" s="1" t="str">
        <f>TEXT(Table1[[#This Row],[Order_Date]],"MMM")</f>
        <v>Mar</v>
      </c>
      <c r="E76" s="1" t="str">
        <f>TEXT(Table1[[#This Row],[Order_Date]],"YYYY")</f>
        <v>2025</v>
      </c>
      <c r="F76">
        <v>3151</v>
      </c>
      <c r="G76" t="s">
        <v>29</v>
      </c>
      <c r="H76" t="s">
        <v>18</v>
      </c>
      <c r="I76" t="s">
        <v>33</v>
      </c>
      <c r="J76" t="s">
        <v>20</v>
      </c>
      <c r="K76">
        <v>2</v>
      </c>
      <c r="L76" s="2">
        <v>208.14</v>
      </c>
      <c r="M76" s="3">
        <v>0.15</v>
      </c>
      <c r="N76" s="2">
        <v>416.28</v>
      </c>
      <c r="O76" s="2">
        <v>62.441999999999901</v>
      </c>
      <c r="P76" s="2">
        <v>353.837999999999</v>
      </c>
      <c r="Q76" s="2">
        <v>55.15</v>
      </c>
      <c r="R76" s="2">
        <v>110.3</v>
      </c>
      <c r="S76" s="2">
        <v>243.53799999999899</v>
      </c>
      <c r="T76" s="3">
        <v>0.688275425477195</v>
      </c>
      <c r="U76" s="2" t="str">
        <f>IF(Table1[[#This Row],[Net_Revenue]]&lt;Table1[[#This Row],[Total_Cost]], "Loss", "Gain")</f>
        <v>Gain</v>
      </c>
      <c r="V76" s="16">
        <f>IF(Table1[[#This Row],[Gain/Loss]]="Gain",Table1[[#This Row],[Quantity]], 0)</f>
        <v>2</v>
      </c>
      <c r="W76" s="16">
        <f>IF(Table1[[#This Row],[Gain/Loss]]="Loss",Table1[[#This Row],[Quantity]],0)</f>
        <v>0</v>
      </c>
      <c r="X76" s="16">
        <f>IF(OR(Table1[[#This Row],[Gain/Loss]]="Gain",Table1[[#This Row],[Gain/Loss]]="Loss"),Table1[[#This Row],[Quantity]],"")</f>
        <v>2</v>
      </c>
    </row>
    <row r="77" spans="1:24" x14ac:dyDescent="0.25">
      <c r="A77">
        <v>10076</v>
      </c>
      <c r="B77" s="1">
        <v>45733</v>
      </c>
      <c r="C77" s="1" t="str">
        <f>TEXT(Table1[[#This Row],[Order_Date]],"DD")</f>
        <v>17</v>
      </c>
      <c r="D77" s="1" t="str">
        <f>TEXT(Table1[[#This Row],[Order_Date]],"MMM")</f>
        <v>Mar</v>
      </c>
      <c r="E77" s="1" t="str">
        <f>TEXT(Table1[[#This Row],[Order_Date]],"YYYY")</f>
        <v>2025</v>
      </c>
      <c r="F77">
        <v>3092</v>
      </c>
      <c r="G77" t="s">
        <v>17</v>
      </c>
      <c r="H77" t="s">
        <v>18</v>
      </c>
      <c r="I77" t="s">
        <v>26</v>
      </c>
      <c r="J77" t="s">
        <v>30</v>
      </c>
      <c r="K77">
        <v>4</v>
      </c>
      <c r="L77" s="2">
        <v>145.72</v>
      </c>
      <c r="M77" s="3">
        <v>0.2</v>
      </c>
      <c r="N77" s="2">
        <v>582.88</v>
      </c>
      <c r="O77" s="2">
        <v>116.57599999999999</v>
      </c>
      <c r="P77" s="2">
        <v>466.30399999999997</v>
      </c>
      <c r="Q77" s="2">
        <v>133.94999999999999</v>
      </c>
      <c r="R77" s="2">
        <v>535.79999999999995</v>
      </c>
      <c r="S77" s="2">
        <v>-69.495999999999896</v>
      </c>
      <c r="T77" s="3">
        <v>-0.14903582212462202</v>
      </c>
      <c r="U77" s="2" t="str">
        <f>IF(Table1[[#This Row],[Net_Revenue]]&lt;Table1[[#This Row],[Total_Cost]], "Loss", "Gain")</f>
        <v>Loss</v>
      </c>
      <c r="V77" s="16">
        <f>IF(Table1[[#This Row],[Gain/Loss]]="Gain",Table1[[#This Row],[Quantity]], 0)</f>
        <v>0</v>
      </c>
      <c r="W77" s="16">
        <f>IF(Table1[[#This Row],[Gain/Loss]]="Loss",Table1[[#This Row],[Quantity]],0)</f>
        <v>4</v>
      </c>
      <c r="X77" s="16">
        <f>IF(OR(Table1[[#This Row],[Gain/Loss]]="Gain",Table1[[#This Row],[Gain/Loss]]="Loss"),Table1[[#This Row],[Quantity]],"")</f>
        <v>4</v>
      </c>
    </row>
    <row r="78" spans="1:24" x14ac:dyDescent="0.25">
      <c r="A78">
        <v>10077</v>
      </c>
      <c r="B78" s="1">
        <v>45734</v>
      </c>
      <c r="C78" s="1" t="str">
        <f>TEXT(Table1[[#This Row],[Order_Date]],"DD")</f>
        <v>18</v>
      </c>
      <c r="D78" s="1" t="str">
        <f>TEXT(Table1[[#This Row],[Order_Date]],"MMM")</f>
        <v>Mar</v>
      </c>
      <c r="E78" s="1" t="str">
        <f>TEXT(Table1[[#This Row],[Order_Date]],"YYYY")</f>
        <v>2025</v>
      </c>
      <c r="F78">
        <v>3759</v>
      </c>
      <c r="G78" t="s">
        <v>21</v>
      </c>
      <c r="H78" t="s">
        <v>24</v>
      </c>
      <c r="I78" t="s">
        <v>33</v>
      </c>
      <c r="J78" t="s">
        <v>20</v>
      </c>
      <c r="K78">
        <v>8</v>
      </c>
      <c r="L78" s="2">
        <v>103.05</v>
      </c>
      <c r="M78" s="3">
        <v>0.2</v>
      </c>
      <c r="N78" s="2">
        <v>824.4</v>
      </c>
      <c r="O78" s="2">
        <v>164.88</v>
      </c>
      <c r="P78" s="2">
        <v>659.52</v>
      </c>
      <c r="Q78" s="2">
        <v>25.93</v>
      </c>
      <c r="R78" s="2">
        <v>207.44</v>
      </c>
      <c r="S78" s="2">
        <v>452.08</v>
      </c>
      <c r="T78" s="3">
        <v>0.68546821931101409</v>
      </c>
      <c r="U78" s="2" t="str">
        <f>IF(Table1[[#This Row],[Net_Revenue]]&lt;Table1[[#This Row],[Total_Cost]], "Loss", "Gain")</f>
        <v>Gain</v>
      </c>
      <c r="V78" s="16">
        <f>IF(Table1[[#This Row],[Gain/Loss]]="Gain",Table1[[#This Row],[Quantity]], 0)</f>
        <v>8</v>
      </c>
      <c r="W78" s="16">
        <f>IF(Table1[[#This Row],[Gain/Loss]]="Loss",Table1[[#This Row],[Quantity]],0)</f>
        <v>0</v>
      </c>
      <c r="X78" s="16">
        <f>IF(OR(Table1[[#This Row],[Gain/Loss]]="Gain",Table1[[#This Row],[Gain/Loss]]="Loss"),Table1[[#This Row],[Quantity]],"")</f>
        <v>8</v>
      </c>
    </row>
    <row r="79" spans="1:24" x14ac:dyDescent="0.25">
      <c r="A79">
        <v>10078</v>
      </c>
      <c r="B79" s="1">
        <v>45735</v>
      </c>
      <c r="C79" s="1" t="str">
        <f>TEXT(Table1[[#This Row],[Order_Date]],"DD")</f>
        <v>19</v>
      </c>
      <c r="D79" s="1" t="str">
        <f>TEXT(Table1[[#This Row],[Order_Date]],"MMM")</f>
        <v>Mar</v>
      </c>
      <c r="E79" s="1" t="str">
        <f>TEXT(Table1[[#This Row],[Order_Date]],"YYYY")</f>
        <v>2025</v>
      </c>
      <c r="F79">
        <v>3224</v>
      </c>
      <c r="G79" t="s">
        <v>21</v>
      </c>
      <c r="H79" t="s">
        <v>24</v>
      </c>
      <c r="I79" t="s">
        <v>26</v>
      </c>
      <c r="J79" t="s">
        <v>31</v>
      </c>
      <c r="K79">
        <v>4</v>
      </c>
      <c r="L79" s="2">
        <v>205.71</v>
      </c>
      <c r="M79" s="3">
        <v>0.05</v>
      </c>
      <c r="N79" s="2">
        <v>822.84</v>
      </c>
      <c r="O79" s="2">
        <v>41.142000000000003</v>
      </c>
      <c r="P79" s="2">
        <v>781.69799999999998</v>
      </c>
      <c r="Q79" s="2">
        <v>124.47</v>
      </c>
      <c r="R79" s="2">
        <v>497.88</v>
      </c>
      <c r="S79" s="2">
        <v>283.81799999999998</v>
      </c>
      <c r="T79" s="3">
        <v>0.36307883607224201</v>
      </c>
      <c r="U79" s="2" t="str">
        <f>IF(Table1[[#This Row],[Net_Revenue]]&lt;Table1[[#This Row],[Total_Cost]], "Loss", "Gain")</f>
        <v>Gain</v>
      </c>
      <c r="V79" s="16">
        <f>IF(Table1[[#This Row],[Gain/Loss]]="Gain",Table1[[#This Row],[Quantity]], 0)</f>
        <v>4</v>
      </c>
      <c r="W79" s="16">
        <f>IF(Table1[[#This Row],[Gain/Loss]]="Loss",Table1[[#This Row],[Quantity]],0)</f>
        <v>0</v>
      </c>
      <c r="X79" s="16">
        <f>IF(OR(Table1[[#This Row],[Gain/Loss]]="Gain",Table1[[#This Row],[Gain/Loss]]="Loss"),Table1[[#This Row],[Quantity]],"")</f>
        <v>4</v>
      </c>
    </row>
    <row r="80" spans="1:24" x14ac:dyDescent="0.25">
      <c r="A80">
        <v>10079</v>
      </c>
      <c r="B80" s="1">
        <v>45736</v>
      </c>
      <c r="C80" s="1" t="str">
        <f>TEXT(Table1[[#This Row],[Order_Date]],"DD")</f>
        <v>20</v>
      </c>
      <c r="D80" s="1" t="str">
        <f>TEXT(Table1[[#This Row],[Order_Date]],"MMM")</f>
        <v>Mar</v>
      </c>
      <c r="E80" s="1" t="str">
        <f>TEXT(Table1[[#This Row],[Order_Date]],"YYYY")</f>
        <v>2025</v>
      </c>
      <c r="F80">
        <v>3661</v>
      </c>
      <c r="G80" t="s">
        <v>29</v>
      </c>
      <c r="H80" t="s">
        <v>24</v>
      </c>
      <c r="I80" t="s">
        <v>25</v>
      </c>
      <c r="J80" t="s">
        <v>22</v>
      </c>
      <c r="K80">
        <v>5</v>
      </c>
      <c r="L80" s="2">
        <v>93.31</v>
      </c>
      <c r="M80" s="3">
        <v>0</v>
      </c>
      <c r="N80" s="2">
        <v>466.55</v>
      </c>
      <c r="O80" s="2">
        <v>0</v>
      </c>
      <c r="P80" s="2">
        <v>466.55</v>
      </c>
      <c r="Q80" s="2">
        <v>83.93</v>
      </c>
      <c r="R80" s="2">
        <v>419.65</v>
      </c>
      <c r="S80" s="2">
        <v>46.899999999999899</v>
      </c>
      <c r="T80" s="3">
        <v>0.10052513128281999</v>
      </c>
      <c r="U80" s="2" t="str">
        <f>IF(Table1[[#This Row],[Net_Revenue]]&lt;Table1[[#This Row],[Total_Cost]], "Loss", "Gain")</f>
        <v>Gain</v>
      </c>
      <c r="V80" s="16">
        <f>IF(Table1[[#This Row],[Gain/Loss]]="Gain",Table1[[#This Row],[Quantity]], 0)</f>
        <v>5</v>
      </c>
      <c r="W80" s="16">
        <f>IF(Table1[[#This Row],[Gain/Loss]]="Loss",Table1[[#This Row],[Quantity]],0)</f>
        <v>0</v>
      </c>
      <c r="X80" s="16">
        <f>IF(OR(Table1[[#This Row],[Gain/Loss]]="Gain",Table1[[#This Row],[Gain/Loss]]="Loss"),Table1[[#This Row],[Quantity]],"")</f>
        <v>5</v>
      </c>
    </row>
    <row r="81" spans="1:24" x14ac:dyDescent="0.25">
      <c r="A81">
        <v>10080</v>
      </c>
      <c r="B81" s="1">
        <v>45737</v>
      </c>
      <c r="C81" s="1" t="str">
        <f>TEXT(Table1[[#This Row],[Order_Date]],"DD")</f>
        <v>21</v>
      </c>
      <c r="D81" s="1" t="str">
        <f>TEXT(Table1[[#This Row],[Order_Date]],"MMM")</f>
        <v>Mar</v>
      </c>
      <c r="E81" s="1" t="str">
        <f>TEXT(Table1[[#This Row],[Order_Date]],"YYYY")</f>
        <v>2025</v>
      </c>
      <c r="F81">
        <v>3356</v>
      </c>
      <c r="G81" t="s">
        <v>29</v>
      </c>
      <c r="H81" t="s">
        <v>18</v>
      </c>
      <c r="I81" t="s">
        <v>19</v>
      </c>
      <c r="J81" t="s">
        <v>27</v>
      </c>
      <c r="K81">
        <v>9</v>
      </c>
      <c r="L81" s="2">
        <v>159.57</v>
      </c>
      <c r="M81" s="3">
        <v>0.05</v>
      </c>
      <c r="N81" s="2">
        <v>1436.1299999999901</v>
      </c>
      <c r="O81" s="2">
        <v>71.8065</v>
      </c>
      <c r="P81" s="2">
        <v>1364.3235</v>
      </c>
      <c r="Q81" s="2">
        <v>37.08</v>
      </c>
      <c r="R81" s="2">
        <v>333.719999999999</v>
      </c>
      <c r="S81" s="2">
        <v>1030.6034999999999</v>
      </c>
      <c r="T81" s="3">
        <v>0.75539525633033511</v>
      </c>
      <c r="U81" s="2" t="str">
        <f>IF(Table1[[#This Row],[Net_Revenue]]&lt;Table1[[#This Row],[Total_Cost]], "Loss", "Gain")</f>
        <v>Gain</v>
      </c>
      <c r="V81" s="16">
        <f>IF(Table1[[#This Row],[Gain/Loss]]="Gain",Table1[[#This Row],[Quantity]], 0)</f>
        <v>9</v>
      </c>
      <c r="W81" s="16">
        <f>IF(Table1[[#This Row],[Gain/Loss]]="Loss",Table1[[#This Row],[Quantity]],0)</f>
        <v>0</v>
      </c>
      <c r="X81" s="16">
        <f>IF(OR(Table1[[#This Row],[Gain/Loss]]="Gain",Table1[[#This Row],[Gain/Loss]]="Loss"),Table1[[#This Row],[Quantity]],"")</f>
        <v>9</v>
      </c>
    </row>
    <row r="82" spans="1:24" x14ac:dyDescent="0.25">
      <c r="A82">
        <v>10081</v>
      </c>
      <c r="B82" s="1">
        <v>45738</v>
      </c>
      <c r="C82" s="1" t="str">
        <f>TEXT(Table1[[#This Row],[Order_Date]],"DD")</f>
        <v>22</v>
      </c>
      <c r="D82" s="1" t="str">
        <f>TEXT(Table1[[#This Row],[Order_Date]],"MMM")</f>
        <v>Mar</v>
      </c>
      <c r="E82" s="1" t="str">
        <f>TEXT(Table1[[#This Row],[Order_Date]],"YYYY")</f>
        <v>2025</v>
      </c>
      <c r="F82">
        <v>3931</v>
      </c>
      <c r="G82" t="s">
        <v>17</v>
      </c>
      <c r="H82" t="s">
        <v>24</v>
      </c>
      <c r="I82" t="s">
        <v>26</v>
      </c>
      <c r="J82" t="s">
        <v>28</v>
      </c>
      <c r="K82">
        <v>9</v>
      </c>
      <c r="L82" s="2">
        <v>113.49</v>
      </c>
      <c r="M82" s="3">
        <v>0.2</v>
      </c>
      <c r="N82" s="2">
        <v>1021.41</v>
      </c>
      <c r="O82" s="2">
        <v>204.28200000000001</v>
      </c>
      <c r="P82" s="2">
        <v>817.12799999999902</v>
      </c>
      <c r="Q82" s="2">
        <v>132.03</v>
      </c>
      <c r="R82" s="2">
        <v>1188.27</v>
      </c>
      <c r="S82" s="2">
        <v>-371.142</v>
      </c>
      <c r="T82" s="3">
        <v>-0.45420301348136399</v>
      </c>
      <c r="U82" s="2" t="str">
        <f>IF(Table1[[#This Row],[Net_Revenue]]&lt;Table1[[#This Row],[Total_Cost]], "Loss", "Gain")</f>
        <v>Loss</v>
      </c>
      <c r="V82" s="16">
        <f>IF(Table1[[#This Row],[Gain/Loss]]="Gain",Table1[[#This Row],[Quantity]], 0)</f>
        <v>0</v>
      </c>
      <c r="W82" s="16">
        <f>IF(Table1[[#This Row],[Gain/Loss]]="Loss",Table1[[#This Row],[Quantity]],0)</f>
        <v>9</v>
      </c>
      <c r="X82" s="16">
        <f>IF(OR(Table1[[#This Row],[Gain/Loss]]="Gain",Table1[[#This Row],[Gain/Loss]]="Loss"),Table1[[#This Row],[Quantity]],"")</f>
        <v>9</v>
      </c>
    </row>
    <row r="83" spans="1:24" x14ac:dyDescent="0.25">
      <c r="A83">
        <v>10082</v>
      </c>
      <c r="B83" s="1">
        <v>45739</v>
      </c>
      <c r="C83" s="1" t="str">
        <f>TEXT(Table1[[#This Row],[Order_Date]],"DD")</f>
        <v>23</v>
      </c>
      <c r="D83" s="1" t="str">
        <f>TEXT(Table1[[#This Row],[Order_Date]],"MMM")</f>
        <v>Mar</v>
      </c>
      <c r="E83" s="1" t="str">
        <f>TEXT(Table1[[#This Row],[Order_Date]],"YYYY")</f>
        <v>2025</v>
      </c>
      <c r="F83">
        <v>3481</v>
      </c>
      <c r="G83" t="s">
        <v>21</v>
      </c>
      <c r="H83" t="s">
        <v>18</v>
      </c>
      <c r="I83" t="s">
        <v>26</v>
      </c>
      <c r="J83" t="s">
        <v>30</v>
      </c>
      <c r="K83">
        <v>6</v>
      </c>
      <c r="L83" s="2">
        <v>39</v>
      </c>
      <c r="M83" s="3">
        <v>0</v>
      </c>
      <c r="N83" s="2">
        <v>234</v>
      </c>
      <c r="O83" s="2">
        <v>0</v>
      </c>
      <c r="P83" s="2">
        <v>234</v>
      </c>
      <c r="Q83" s="2">
        <v>85.2</v>
      </c>
      <c r="R83" s="2">
        <v>511.2</v>
      </c>
      <c r="S83" s="2">
        <v>-277.2</v>
      </c>
      <c r="T83" s="3">
        <v>-1.18461538461538</v>
      </c>
      <c r="U83" s="2" t="str">
        <f>IF(Table1[[#This Row],[Net_Revenue]]&lt;Table1[[#This Row],[Total_Cost]], "Loss", "Gain")</f>
        <v>Loss</v>
      </c>
      <c r="V83" s="16">
        <f>IF(Table1[[#This Row],[Gain/Loss]]="Gain",Table1[[#This Row],[Quantity]], 0)</f>
        <v>0</v>
      </c>
      <c r="W83" s="16">
        <f>IF(Table1[[#This Row],[Gain/Loss]]="Loss",Table1[[#This Row],[Quantity]],0)</f>
        <v>6</v>
      </c>
      <c r="X83" s="16">
        <f>IF(OR(Table1[[#This Row],[Gain/Loss]]="Gain",Table1[[#This Row],[Gain/Loss]]="Loss"),Table1[[#This Row],[Quantity]],"")</f>
        <v>6</v>
      </c>
    </row>
    <row r="84" spans="1:24" x14ac:dyDescent="0.25">
      <c r="A84">
        <v>10083</v>
      </c>
      <c r="B84" s="1">
        <v>45740</v>
      </c>
      <c r="C84" s="1" t="str">
        <f>TEXT(Table1[[#This Row],[Order_Date]],"DD")</f>
        <v>24</v>
      </c>
      <c r="D84" s="1" t="str">
        <f>TEXT(Table1[[#This Row],[Order_Date]],"MMM")</f>
        <v>Mar</v>
      </c>
      <c r="E84" s="1" t="str">
        <f>TEXT(Table1[[#This Row],[Order_Date]],"YYYY")</f>
        <v>2025</v>
      </c>
      <c r="F84">
        <v>3579</v>
      </c>
      <c r="G84" t="s">
        <v>29</v>
      </c>
      <c r="H84" t="s">
        <v>24</v>
      </c>
      <c r="I84" t="s">
        <v>26</v>
      </c>
      <c r="J84" t="s">
        <v>31</v>
      </c>
      <c r="K84">
        <v>3</v>
      </c>
      <c r="L84" s="2">
        <v>34.11</v>
      </c>
      <c r="M84" s="3">
        <v>0.1</v>
      </c>
      <c r="N84" s="2">
        <v>102.33</v>
      </c>
      <c r="O84" s="2">
        <v>10.233000000000001</v>
      </c>
      <c r="P84" s="2">
        <v>92.096999999999994</v>
      </c>
      <c r="Q84" s="2">
        <v>19.010000000000002</v>
      </c>
      <c r="R84" s="2">
        <v>57.03</v>
      </c>
      <c r="S84" s="2">
        <v>35.066999999999901</v>
      </c>
      <c r="T84" s="3">
        <v>0.38076158832535201</v>
      </c>
      <c r="U84" s="2" t="str">
        <f>IF(Table1[[#This Row],[Net_Revenue]]&lt;Table1[[#This Row],[Total_Cost]], "Loss", "Gain")</f>
        <v>Gain</v>
      </c>
      <c r="V84" s="16">
        <f>IF(Table1[[#This Row],[Gain/Loss]]="Gain",Table1[[#This Row],[Quantity]], 0)</f>
        <v>3</v>
      </c>
      <c r="W84" s="16">
        <f>IF(Table1[[#This Row],[Gain/Loss]]="Loss",Table1[[#This Row],[Quantity]],0)</f>
        <v>0</v>
      </c>
      <c r="X84" s="16">
        <f>IF(OR(Table1[[#This Row],[Gain/Loss]]="Gain",Table1[[#This Row],[Gain/Loss]]="Loss"),Table1[[#This Row],[Quantity]],"")</f>
        <v>3</v>
      </c>
    </row>
    <row r="85" spans="1:24" x14ac:dyDescent="0.25">
      <c r="A85">
        <v>10084</v>
      </c>
      <c r="B85" s="1">
        <v>45741</v>
      </c>
      <c r="C85" s="1" t="str">
        <f>TEXT(Table1[[#This Row],[Order_Date]],"DD")</f>
        <v>25</v>
      </c>
      <c r="D85" s="1" t="str">
        <f>TEXT(Table1[[#This Row],[Order_Date]],"MMM")</f>
        <v>Mar</v>
      </c>
      <c r="E85" s="1" t="str">
        <f>TEXT(Table1[[#This Row],[Order_Date]],"YYYY")</f>
        <v>2025</v>
      </c>
      <c r="F85">
        <v>3891</v>
      </c>
      <c r="G85" t="s">
        <v>21</v>
      </c>
      <c r="H85" t="s">
        <v>24</v>
      </c>
      <c r="I85" t="s">
        <v>33</v>
      </c>
      <c r="J85" t="s">
        <v>20</v>
      </c>
      <c r="K85">
        <v>4</v>
      </c>
      <c r="L85" s="2">
        <v>35.19</v>
      </c>
      <c r="M85" s="3">
        <v>0.05</v>
      </c>
      <c r="N85" s="2">
        <v>140.76</v>
      </c>
      <c r="O85" s="2">
        <v>7.0380000000000003</v>
      </c>
      <c r="P85" s="2">
        <v>133.72199999999901</v>
      </c>
      <c r="Q85" s="2">
        <v>130.66</v>
      </c>
      <c r="R85" s="2">
        <v>522.64</v>
      </c>
      <c r="S85" s="2">
        <v>-388.91800000000001</v>
      </c>
      <c r="T85" s="3">
        <v>-2.9084069936136099</v>
      </c>
      <c r="U85" s="2" t="str">
        <f>IF(Table1[[#This Row],[Net_Revenue]]&lt;Table1[[#This Row],[Total_Cost]], "Loss", "Gain")</f>
        <v>Loss</v>
      </c>
      <c r="V85" s="16">
        <f>IF(Table1[[#This Row],[Gain/Loss]]="Gain",Table1[[#This Row],[Quantity]], 0)</f>
        <v>0</v>
      </c>
      <c r="W85" s="16">
        <f>IF(Table1[[#This Row],[Gain/Loss]]="Loss",Table1[[#This Row],[Quantity]],0)</f>
        <v>4</v>
      </c>
      <c r="X85" s="16">
        <f>IF(OR(Table1[[#This Row],[Gain/Loss]]="Gain",Table1[[#This Row],[Gain/Loss]]="Loss"),Table1[[#This Row],[Quantity]],"")</f>
        <v>4</v>
      </c>
    </row>
    <row r="86" spans="1:24" x14ac:dyDescent="0.25">
      <c r="A86">
        <v>10085</v>
      </c>
      <c r="B86" s="1">
        <v>45742</v>
      </c>
      <c r="C86" s="1" t="str">
        <f>TEXT(Table1[[#This Row],[Order_Date]],"DD")</f>
        <v>26</v>
      </c>
      <c r="D86" s="1" t="str">
        <f>TEXT(Table1[[#This Row],[Order_Date]],"MMM")</f>
        <v>Mar</v>
      </c>
      <c r="E86" s="1" t="str">
        <f>TEXT(Table1[[#This Row],[Order_Date]],"YYYY")</f>
        <v>2025</v>
      </c>
      <c r="F86">
        <v>3219</v>
      </c>
      <c r="G86" t="s">
        <v>23</v>
      </c>
      <c r="H86" t="s">
        <v>24</v>
      </c>
      <c r="I86" t="s">
        <v>26</v>
      </c>
      <c r="J86" t="s">
        <v>31</v>
      </c>
      <c r="K86">
        <v>3</v>
      </c>
      <c r="L86" s="2">
        <v>66.459999999999994</v>
      </c>
      <c r="M86" s="3">
        <v>0.2</v>
      </c>
      <c r="N86" s="2">
        <v>199.38</v>
      </c>
      <c r="O86" s="2">
        <v>39.875999999999998</v>
      </c>
      <c r="P86" s="2">
        <v>159.50399999999999</v>
      </c>
      <c r="Q86" s="2">
        <v>44.51</v>
      </c>
      <c r="R86" s="2">
        <v>133.53</v>
      </c>
      <c r="S86" s="2">
        <v>25.973999999999901</v>
      </c>
      <c r="T86" s="3">
        <v>0.16284231116461001</v>
      </c>
      <c r="U86" s="2" t="str">
        <f>IF(Table1[[#This Row],[Net_Revenue]]&lt;Table1[[#This Row],[Total_Cost]], "Loss", "Gain")</f>
        <v>Gain</v>
      </c>
      <c r="V86" s="16">
        <f>IF(Table1[[#This Row],[Gain/Loss]]="Gain",Table1[[#This Row],[Quantity]], 0)</f>
        <v>3</v>
      </c>
      <c r="W86" s="16">
        <f>IF(Table1[[#This Row],[Gain/Loss]]="Loss",Table1[[#This Row],[Quantity]],0)</f>
        <v>0</v>
      </c>
      <c r="X86" s="16">
        <f>IF(OR(Table1[[#This Row],[Gain/Loss]]="Gain",Table1[[#This Row],[Gain/Loss]]="Loss"),Table1[[#This Row],[Quantity]],"")</f>
        <v>3</v>
      </c>
    </row>
    <row r="87" spans="1:24" x14ac:dyDescent="0.25">
      <c r="A87">
        <v>10086</v>
      </c>
      <c r="B87" s="1">
        <v>45743</v>
      </c>
      <c r="C87" s="1" t="str">
        <f>TEXT(Table1[[#This Row],[Order_Date]],"DD")</f>
        <v>27</v>
      </c>
      <c r="D87" s="1" t="str">
        <f>TEXT(Table1[[#This Row],[Order_Date]],"MMM")</f>
        <v>Mar</v>
      </c>
      <c r="E87" s="1" t="str">
        <f>TEXT(Table1[[#This Row],[Order_Date]],"YYYY")</f>
        <v>2025</v>
      </c>
      <c r="F87">
        <v>3481</v>
      </c>
      <c r="G87" t="s">
        <v>23</v>
      </c>
      <c r="H87" t="s">
        <v>18</v>
      </c>
      <c r="I87" t="s">
        <v>26</v>
      </c>
      <c r="J87" t="s">
        <v>30</v>
      </c>
      <c r="K87">
        <v>1</v>
      </c>
      <c r="L87" s="2">
        <v>26.83</v>
      </c>
      <c r="M87" s="3">
        <v>0</v>
      </c>
      <c r="N87" s="2">
        <v>26.83</v>
      </c>
      <c r="O87" s="2">
        <v>0</v>
      </c>
      <c r="P87" s="2">
        <v>26.83</v>
      </c>
      <c r="Q87" s="2">
        <v>87.88</v>
      </c>
      <c r="R87" s="2">
        <v>87.88</v>
      </c>
      <c r="S87" s="2">
        <v>-61.05</v>
      </c>
      <c r="T87" s="3">
        <v>-2.2754379426015601</v>
      </c>
      <c r="U87" s="2" t="str">
        <f>IF(Table1[[#This Row],[Net_Revenue]]&lt;Table1[[#This Row],[Total_Cost]], "Loss", "Gain")</f>
        <v>Loss</v>
      </c>
      <c r="V87" s="16">
        <f>IF(Table1[[#This Row],[Gain/Loss]]="Gain",Table1[[#This Row],[Quantity]], 0)</f>
        <v>0</v>
      </c>
      <c r="W87" s="16">
        <f>IF(Table1[[#This Row],[Gain/Loss]]="Loss",Table1[[#This Row],[Quantity]],0)</f>
        <v>1</v>
      </c>
      <c r="X87" s="16">
        <f>IF(OR(Table1[[#This Row],[Gain/Loss]]="Gain",Table1[[#This Row],[Gain/Loss]]="Loss"),Table1[[#This Row],[Quantity]],"")</f>
        <v>1</v>
      </c>
    </row>
    <row r="88" spans="1:24" x14ac:dyDescent="0.25">
      <c r="A88">
        <v>10087</v>
      </c>
      <c r="B88" s="1">
        <v>45744</v>
      </c>
      <c r="C88" s="1" t="str">
        <f>TEXT(Table1[[#This Row],[Order_Date]],"DD")</f>
        <v>28</v>
      </c>
      <c r="D88" s="1" t="str">
        <f>TEXT(Table1[[#This Row],[Order_Date]],"MMM")</f>
        <v>Mar</v>
      </c>
      <c r="E88" s="1" t="str">
        <f>TEXT(Table1[[#This Row],[Order_Date]],"YYYY")</f>
        <v>2025</v>
      </c>
      <c r="F88">
        <v>3019</v>
      </c>
      <c r="G88" t="s">
        <v>23</v>
      </c>
      <c r="H88" t="s">
        <v>24</v>
      </c>
      <c r="I88" t="s">
        <v>19</v>
      </c>
      <c r="J88" t="s">
        <v>27</v>
      </c>
      <c r="K88">
        <v>8</v>
      </c>
      <c r="L88" s="2">
        <v>180.66</v>
      </c>
      <c r="M88" s="3">
        <v>0.1</v>
      </c>
      <c r="N88" s="2">
        <v>1445.28</v>
      </c>
      <c r="O88" s="2">
        <v>144.52799999999999</v>
      </c>
      <c r="P88" s="2">
        <v>1300.752</v>
      </c>
      <c r="Q88" s="2">
        <v>103.44</v>
      </c>
      <c r="R88" s="2">
        <v>827.52</v>
      </c>
      <c r="S88" s="2">
        <v>473.231999999999</v>
      </c>
      <c r="T88" s="3">
        <v>0.36381416288423901</v>
      </c>
      <c r="U88" s="2" t="str">
        <f>IF(Table1[[#This Row],[Net_Revenue]]&lt;Table1[[#This Row],[Total_Cost]], "Loss", "Gain")</f>
        <v>Gain</v>
      </c>
      <c r="V88" s="16">
        <f>IF(Table1[[#This Row],[Gain/Loss]]="Gain",Table1[[#This Row],[Quantity]], 0)</f>
        <v>8</v>
      </c>
      <c r="W88" s="16">
        <f>IF(Table1[[#This Row],[Gain/Loss]]="Loss",Table1[[#This Row],[Quantity]],0)</f>
        <v>0</v>
      </c>
      <c r="X88" s="16">
        <f>IF(OR(Table1[[#This Row],[Gain/Loss]]="Gain",Table1[[#This Row],[Gain/Loss]]="Loss"),Table1[[#This Row],[Quantity]],"")</f>
        <v>8</v>
      </c>
    </row>
    <row r="89" spans="1:24" x14ac:dyDescent="0.25">
      <c r="A89">
        <v>10088</v>
      </c>
      <c r="B89" s="1">
        <v>45745</v>
      </c>
      <c r="C89" s="1" t="str">
        <f>TEXT(Table1[[#This Row],[Order_Date]],"DD")</f>
        <v>29</v>
      </c>
      <c r="D89" s="1" t="str">
        <f>TEXT(Table1[[#This Row],[Order_Date]],"MMM")</f>
        <v>Mar</v>
      </c>
      <c r="E89" s="1" t="str">
        <f>TEXT(Table1[[#This Row],[Order_Date]],"YYYY")</f>
        <v>2025</v>
      </c>
      <c r="F89">
        <v>3923</v>
      </c>
      <c r="G89" t="s">
        <v>23</v>
      </c>
      <c r="H89" t="s">
        <v>18</v>
      </c>
      <c r="I89" t="s">
        <v>26</v>
      </c>
      <c r="J89" t="s">
        <v>31</v>
      </c>
      <c r="K89">
        <v>4</v>
      </c>
      <c r="L89" s="2">
        <v>80.98</v>
      </c>
      <c r="M89" s="3">
        <v>0</v>
      </c>
      <c r="N89" s="2">
        <v>323.92</v>
      </c>
      <c r="O89" s="2">
        <v>0</v>
      </c>
      <c r="P89" s="2">
        <v>323.92</v>
      </c>
      <c r="Q89" s="2">
        <v>112.88</v>
      </c>
      <c r="R89" s="2">
        <v>451.52</v>
      </c>
      <c r="S89" s="2">
        <v>-127.599999999999</v>
      </c>
      <c r="T89" s="3">
        <v>-0.39392442578414405</v>
      </c>
      <c r="U89" s="2" t="str">
        <f>IF(Table1[[#This Row],[Net_Revenue]]&lt;Table1[[#This Row],[Total_Cost]], "Loss", "Gain")</f>
        <v>Loss</v>
      </c>
      <c r="V89" s="16">
        <f>IF(Table1[[#This Row],[Gain/Loss]]="Gain",Table1[[#This Row],[Quantity]], 0)</f>
        <v>0</v>
      </c>
      <c r="W89" s="16">
        <f>IF(Table1[[#This Row],[Gain/Loss]]="Loss",Table1[[#This Row],[Quantity]],0)</f>
        <v>4</v>
      </c>
      <c r="X89" s="16">
        <f>IF(OR(Table1[[#This Row],[Gain/Loss]]="Gain",Table1[[#This Row],[Gain/Loss]]="Loss"),Table1[[#This Row],[Quantity]],"")</f>
        <v>4</v>
      </c>
    </row>
    <row r="90" spans="1:24" x14ac:dyDescent="0.25">
      <c r="A90">
        <v>10089</v>
      </c>
      <c r="B90" s="1">
        <v>45746</v>
      </c>
      <c r="C90" s="1" t="str">
        <f>TEXT(Table1[[#This Row],[Order_Date]],"DD")</f>
        <v>30</v>
      </c>
      <c r="D90" s="1" t="str">
        <f>TEXT(Table1[[#This Row],[Order_Date]],"MMM")</f>
        <v>Mar</v>
      </c>
      <c r="E90" s="1" t="str">
        <f>TEXT(Table1[[#This Row],[Order_Date]],"YYYY")</f>
        <v>2025</v>
      </c>
      <c r="F90">
        <v>3516</v>
      </c>
      <c r="G90" t="s">
        <v>21</v>
      </c>
      <c r="H90" t="s">
        <v>18</v>
      </c>
      <c r="I90" t="s">
        <v>25</v>
      </c>
      <c r="J90" t="s">
        <v>22</v>
      </c>
      <c r="K90">
        <v>5</v>
      </c>
      <c r="L90" s="2">
        <v>173.7</v>
      </c>
      <c r="M90" s="3">
        <v>0</v>
      </c>
      <c r="N90" s="2">
        <v>868.5</v>
      </c>
      <c r="O90" s="2">
        <v>0</v>
      </c>
      <c r="P90" s="2">
        <v>868.5</v>
      </c>
      <c r="Q90" s="2">
        <v>108.9</v>
      </c>
      <c r="R90" s="2">
        <v>544.5</v>
      </c>
      <c r="S90" s="2">
        <v>324</v>
      </c>
      <c r="T90" s="3">
        <v>0.37305699481865195</v>
      </c>
      <c r="U90" s="2" t="str">
        <f>IF(Table1[[#This Row],[Net_Revenue]]&lt;Table1[[#This Row],[Total_Cost]], "Loss", "Gain")</f>
        <v>Gain</v>
      </c>
      <c r="V90" s="16">
        <f>IF(Table1[[#This Row],[Gain/Loss]]="Gain",Table1[[#This Row],[Quantity]], 0)</f>
        <v>5</v>
      </c>
      <c r="W90" s="16">
        <f>IF(Table1[[#This Row],[Gain/Loss]]="Loss",Table1[[#This Row],[Quantity]],0)</f>
        <v>0</v>
      </c>
      <c r="X90" s="16">
        <f>IF(OR(Table1[[#This Row],[Gain/Loss]]="Gain",Table1[[#This Row],[Gain/Loss]]="Loss"),Table1[[#This Row],[Quantity]],"")</f>
        <v>5</v>
      </c>
    </row>
    <row r="91" spans="1:24" x14ac:dyDescent="0.25">
      <c r="A91">
        <v>10090</v>
      </c>
      <c r="B91" s="1">
        <v>45747</v>
      </c>
      <c r="C91" s="1" t="str">
        <f>TEXT(Table1[[#This Row],[Order_Date]],"DD")</f>
        <v>31</v>
      </c>
      <c r="D91" s="1" t="str">
        <f>TEXT(Table1[[#This Row],[Order_Date]],"MMM")</f>
        <v>Mar</v>
      </c>
      <c r="E91" s="1" t="str">
        <f>TEXT(Table1[[#This Row],[Order_Date]],"YYYY")</f>
        <v>2025</v>
      </c>
      <c r="F91">
        <v>3787</v>
      </c>
      <c r="G91" t="s">
        <v>23</v>
      </c>
      <c r="H91" t="s">
        <v>24</v>
      </c>
      <c r="I91" t="s">
        <v>33</v>
      </c>
      <c r="J91" t="s">
        <v>20</v>
      </c>
      <c r="K91">
        <v>4</v>
      </c>
      <c r="L91" s="2">
        <v>180.1</v>
      </c>
      <c r="M91" s="3">
        <v>0.15</v>
      </c>
      <c r="N91" s="2">
        <v>720.4</v>
      </c>
      <c r="O91" s="2">
        <v>108.05999999999899</v>
      </c>
      <c r="P91" s="2">
        <v>612.34</v>
      </c>
      <c r="Q91" s="2">
        <v>125.58</v>
      </c>
      <c r="R91" s="2">
        <v>502.32</v>
      </c>
      <c r="S91" s="2">
        <v>110.02</v>
      </c>
      <c r="T91" s="3">
        <v>0.17967142437208</v>
      </c>
      <c r="U91" s="2" t="str">
        <f>IF(Table1[[#This Row],[Net_Revenue]]&lt;Table1[[#This Row],[Total_Cost]], "Loss", "Gain")</f>
        <v>Gain</v>
      </c>
      <c r="V91" s="16">
        <f>IF(Table1[[#This Row],[Gain/Loss]]="Gain",Table1[[#This Row],[Quantity]], 0)</f>
        <v>4</v>
      </c>
      <c r="W91" s="16">
        <f>IF(Table1[[#This Row],[Gain/Loss]]="Loss",Table1[[#This Row],[Quantity]],0)</f>
        <v>0</v>
      </c>
      <c r="X91" s="16">
        <f>IF(OR(Table1[[#This Row],[Gain/Loss]]="Gain",Table1[[#This Row],[Gain/Loss]]="Loss"),Table1[[#This Row],[Quantity]],"")</f>
        <v>4</v>
      </c>
    </row>
    <row r="92" spans="1:24" x14ac:dyDescent="0.25">
      <c r="A92">
        <v>10091</v>
      </c>
      <c r="B92" s="1">
        <v>45748</v>
      </c>
      <c r="C92" s="1" t="str">
        <f>TEXT(Table1[[#This Row],[Order_Date]],"DD")</f>
        <v>01</v>
      </c>
      <c r="D92" s="1" t="str">
        <f>TEXT(Table1[[#This Row],[Order_Date]],"MMM")</f>
        <v>Apr</v>
      </c>
      <c r="E92" s="1" t="str">
        <f>TEXT(Table1[[#This Row],[Order_Date]],"YYYY")</f>
        <v>2025</v>
      </c>
      <c r="F92">
        <v>3033</v>
      </c>
      <c r="G92" t="s">
        <v>21</v>
      </c>
      <c r="H92" t="s">
        <v>24</v>
      </c>
      <c r="I92" t="s">
        <v>26</v>
      </c>
      <c r="J92" t="s">
        <v>28</v>
      </c>
      <c r="K92">
        <v>7</v>
      </c>
      <c r="L92" s="2">
        <v>174.32</v>
      </c>
      <c r="M92" s="3">
        <v>0.05</v>
      </c>
      <c r="N92" s="2">
        <v>1220.24</v>
      </c>
      <c r="O92" s="2">
        <v>61.012</v>
      </c>
      <c r="P92" s="2">
        <v>1159.2280000000001</v>
      </c>
      <c r="Q92" s="2">
        <v>116.72</v>
      </c>
      <c r="R92" s="2">
        <v>817.04</v>
      </c>
      <c r="S92" s="2">
        <v>342.18799999999999</v>
      </c>
      <c r="T92" s="3">
        <v>0.29518610661578198</v>
      </c>
      <c r="U92" s="2" t="str">
        <f>IF(Table1[[#This Row],[Net_Revenue]]&lt;Table1[[#This Row],[Total_Cost]], "Loss", "Gain")</f>
        <v>Gain</v>
      </c>
      <c r="V92" s="16">
        <f>IF(Table1[[#This Row],[Gain/Loss]]="Gain",Table1[[#This Row],[Quantity]], 0)</f>
        <v>7</v>
      </c>
      <c r="W92" s="16">
        <f>IF(Table1[[#This Row],[Gain/Loss]]="Loss",Table1[[#This Row],[Quantity]],0)</f>
        <v>0</v>
      </c>
      <c r="X92" s="16">
        <f>IF(OR(Table1[[#This Row],[Gain/Loss]]="Gain",Table1[[#This Row],[Gain/Loss]]="Loss"),Table1[[#This Row],[Quantity]],"")</f>
        <v>7</v>
      </c>
    </row>
    <row r="93" spans="1:24" x14ac:dyDescent="0.25">
      <c r="A93">
        <v>10092</v>
      </c>
      <c r="B93" s="1">
        <v>45749</v>
      </c>
      <c r="C93" s="1" t="str">
        <f>TEXT(Table1[[#This Row],[Order_Date]],"DD")</f>
        <v>02</v>
      </c>
      <c r="D93" s="1" t="str">
        <f>TEXT(Table1[[#This Row],[Order_Date]],"MMM")</f>
        <v>Apr</v>
      </c>
      <c r="E93" s="1" t="str">
        <f>TEXT(Table1[[#This Row],[Order_Date]],"YYYY")</f>
        <v>2025</v>
      </c>
      <c r="F93">
        <v>3123</v>
      </c>
      <c r="G93" t="s">
        <v>17</v>
      </c>
      <c r="H93" t="s">
        <v>18</v>
      </c>
      <c r="I93" t="s">
        <v>25</v>
      </c>
      <c r="J93" t="s">
        <v>32</v>
      </c>
      <c r="K93">
        <v>8</v>
      </c>
      <c r="L93" s="2">
        <v>195.37</v>
      </c>
      <c r="M93" s="3">
        <v>0</v>
      </c>
      <c r="N93" s="2">
        <v>1562.96</v>
      </c>
      <c r="O93" s="2">
        <v>0</v>
      </c>
      <c r="P93" s="2">
        <v>1562.96</v>
      </c>
      <c r="Q93" s="2">
        <v>32.36</v>
      </c>
      <c r="R93" s="2">
        <v>258.88</v>
      </c>
      <c r="S93" s="2">
        <v>1304.08</v>
      </c>
      <c r="T93" s="3">
        <v>0.83436556277831797</v>
      </c>
      <c r="U93" s="2" t="str">
        <f>IF(Table1[[#This Row],[Net_Revenue]]&lt;Table1[[#This Row],[Total_Cost]], "Loss", "Gain")</f>
        <v>Gain</v>
      </c>
      <c r="V93" s="16">
        <f>IF(Table1[[#This Row],[Gain/Loss]]="Gain",Table1[[#This Row],[Quantity]], 0)</f>
        <v>8</v>
      </c>
      <c r="W93" s="16">
        <f>IF(Table1[[#This Row],[Gain/Loss]]="Loss",Table1[[#This Row],[Quantity]],0)</f>
        <v>0</v>
      </c>
      <c r="X93" s="16">
        <f>IF(OR(Table1[[#This Row],[Gain/Loss]]="Gain",Table1[[#This Row],[Gain/Loss]]="Loss"),Table1[[#This Row],[Quantity]],"")</f>
        <v>8</v>
      </c>
    </row>
    <row r="94" spans="1:24" x14ac:dyDescent="0.25">
      <c r="A94">
        <v>10093</v>
      </c>
      <c r="B94" s="1">
        <v>45750</v>
      </c>
      <c r="C94" s="1" t="str">
        <f>TEXT(Table1[[#This Row],[Order_Date]],"DD")</f>
        <v>03</v>
      </c>
      <c r="D94" s="1" t="str">
        <f>TEXT(Table1[[#This Row],[Order_Date]],"MMM")</f>
        <v>Apr</v>
      </c>
      <c r="E94" s="1" t="str">
        <f>TEXT(Table1[[#This Row],[Order_Date]],"YYYY")</f>
        <v>2025</v>
      </c>
      <c r="F94">
        <v>3286</v>
      </c>
      <c r="G94" t="s">
        <v>21</v>
      </c>
      <c r="H94" t="s">
        <v>24</v>
      </c>
      <c r="I94" t="s">
        <v>26</v>
      </c>
      <c r="J94" t="s">
        <v>28</v>
      </c>
      <c r="K94">
        <v>1</v>
      </c>
      <c r="L94" s="2">
        <v>134.16</v>
      </c>
      <c r="M94" s="3">
        <v>0</v>
      </c>
      <c r="N94" s="2">
        <v>134.16</v>
      </c>
      <c r="O94" s="2">
        <v>0</v>
      </c>
      <c r="P94" s="2">
        <v>134.16</v>
      </c>
      <c r="Q94" s="2">
        <v>85.78</v>
      </c>
      <c r="R94" s="2">
        <v>85.78</v>
      </c>
      <c r="S94" s="2">
        <v>48.379999999999903</v>
      </c>
      <c r="T94" s="3">
        <v>0.36061419200953998</v>
      </c>
      <c r="U94" s="2" t="str">
        <f>IF(Table1[[#This Row],[Net_Revenue]]&lt;Table1[[#This Row],[Total_Cost]], "Loss", "Gain")</f>
        <v>Gain</v>
      </c>
      <c r="V94" s="16">
        <f>IF(Table1[[#This Row],[Gain/Loss]]="Gain",Table1[[#This Row],[Quantity]], 0)</f>
        <v>1</v>
      </c>
      <c r="W94" s="16">
        <f>IF(Table1[[#This Row],[Gain/Loss]]="Loss",Table1[[#This Row],[Quantity]],0)</f>
        <v>0</v>
      </c>
      <c r="X94" s="16">
        <f>IF(OR(Table1[[#This Row],[Gain/Loss]]="Gain",Table1[[#This Row],[Gain/Loss]]="Loss"),Table1[[#This Row],[Quantity]],"")</f>
        <v>1</v>
      </c>
    </row>
    <row r="95" spans="1:24" x14ac:dyDescent="0.25">
      <c r="A95">
        <v>10094</v>
      </c>
      <c r="B95" s="1">
        <v>45751</v>
      </c>
      <c r="C95" s="1" t="str">
        <f>TEXT(Table1[[#This Row],[Order_Date]],"DD")</f>
        <v>04</v>
      </c>
      <c r="D95" s="1" t="str">
        <f>TEXT(Table1[[#This Row],[Order_Date]],"MMM")</f>
        <v>Apr</v>
      </c>
      <c r="E95" s="1" t="str">
        <f>TEXT(Table1[[#This Row],[Order_Date]],"YYYY")</f>
        <v>2025</v>
      </c>
      <c r="F95">
        <v>3697</v>
      </c>
      <c r="G95" t="s">
        <v>29</v>
      </c>
      <c r="H95" t="s">
        <v>24</v>
      </c>
      <c r="I95" t="s">
        <v>25</v>
      </c>
      <c r="J95" t="s">
        <v>32</v>
      </c>
      <c r="K95">
        <v>1</v>
      </c>
      <c r="L95" s="2">
        <v>178.48</v>
      </c>
      <c r="M95" s="3">
        <v>0.15</v>
      </c>
      <c r="N95" s="2">
        <v>178.48</v>
      </c>
      <c r="O95" s="2">
        <v>26.771999999999998</v>
      </c>
      <c r="P95" s="2">
        <v>151.708</v>
      </c>
      <c r="Q95" s="2">
        <v>76.59</v>
      </c>
      <c r="R95" s="2">
        <v>76.59</v>
      </c>
      <c r="S95" s="2">
        <v>75.117999999999995</v>
      </c>
      <c r="T95" s="3">
        <v>0.49514857489387504</v>
      </c>
      <c r="U95" s="2" t="str">
        <f>IF(Table1[[#This Row],[Net_Revenue]]&lt;Table1[[#This Row],[Total_Cost]], "Loss", "Gain")</f>
        <v>Gain</v>
      </c>
      <c r="V95" s="16">
        <f>IF(Table1[[#This Row],[Gain/Loss]]="Gain",Table1[[#This Row],[Quantity]], 0)</f>
        <v>1</v>
      </c>
      <c r="W95" s="16">
        <f>IF(Table1[[#This Row],[Gain/Loss]]="Loss",Table1[[#This Row],[Quantity]],0)</f>
        <v>0</v>
      </c>
      <c r="X95" s="16">
        <f>IF(OR(Table1[[#This Row],[Gain/Loss]]="Gain",Table1[[#This Row],[Gain/Loss]]="Loss"),Table1[[#This Row],[Quantity]],"")</f>
        <v>1</v>
      </c>
    </row>
    <row r="96" spans="1:24" x14ac:dyDescent="0.25">
      <c r="A96">
        <v>10095</v>
      </c>
      <c r="B96" s="1">
        <v>45752</v>
      </c>
      <c r="C96" s="1" t="str">
        <f>TEXT(Table1[[#This Row],[Order_Date]],"DD")</f>
        <v>05</v>
      </c>
      <c r="D96" s="1" t="str">
        <f>TEXT(Table1[[#This Row],[Order_Date]],"MMM")</f>
        <v>Apr</v>
      </c>
      <c r="E96" s="1" t="str">
        <f>TEXT(Table1[[#This Row],[Order_Date]],"YYYY")</f>
        <v>2025</v>
      </c>
      <c r="F96">
        <v>3741</v>
      </c>
      <c r="G96" t="s">
        <v>23</v>
      </c>
      <c r="H96" t="s">
        <v>24</v>
      </c>
      <c r="I96" t="s">
        <v>25</v>
      </c>
      <c r="J96" t="s">
        <v>32</v>
      </c>
      <c r="K96">
        <v>7</v>
      </c>
      <c r="L96" s="2">
        <v>220.63</v>
      </c>
      <c r="M96" s="3">
        <v>0.2</v>
      </c>
      <c r="N96" s="2">
        <v>1544.4099999999901</v>
      </c>
      <c r="O96" s="2">
        <v>308.88200000000001</v>
      </c>
      <c r="P96" s="2">
        <v>1235.52799999999</v>
      </c>
      <c r="Q96" s="2">
        <v>24.32</v>
      </c>
      <c r="R96" s="2">
        <v>170.24</v>
      </c>
      <c r="S96" s="2">
        <v>1065.28799999999</v>
      </c>
      <c r="T96" s="3">
        <v>0.86221275438516898</v>
      </c>
      <c r="U96" s="2" t="str">
        <f>IF(Table1[[#This Row],[Net_Revenue]]&lt;Table1[[#This Row],[Total_Cost]], "Loss", "Gain")</f>
        <v>Gain</v>
      </c>
      <c r="V96" s="16">
        <f>IF(Table1[[#This Row],[Gain/Loss]]="Gain",Table1[[#This Row],[Quantity]], 0)</f>
        <v>7</v>
      </c>
      <c r="W96" s="16">
        <f>IF(Table1[[#This Row],[Gain/Loss]]="Loss",Table1[[#This Row],[Quantity]],0)</f>
        <v>0</v>
      </c>
      <c r="X96" s="16">
        <f>IF(OR(Table1[[#This Row],[Gain/Loss]]="Gain",Table1[[#This Row],[Gain/Loss]]="Loss"),Table1[[#This Row],[Quantity]],"")</f>
        <v>7</v>
      </c>
    </row>
    <row r="97" spans="1:24" x14ac:dyDescent="0.25">
      <c r="A97">
        <v>10096</v>
      </c>
      <c r="B97" s="1">
        <v>45753</v>
      </c>
      <c r="C97" s="1" t="str">
        <f>TEXT(Table1[[#This Row],[Order_Date]],"DD")</f>
        <v>06</v>
      </c>
      <c r="D97" s="1" t="str">
        <f>TEXT(Table1[[#This Row],[Order_Date]],"MMM")</f>
        <v>Apr</v>
      </c>
      <c r="E97" s="1" t="str">
        <f>TEXT(Table1[[#This Row],[Order_Date]],"YYYY")</f>
        <v>2025</v>
      </c>
      <c r="F97">
        <v>3841</v>
      </c>
      <c r="G97" t="s">
        <v>21</v>
      </c>
      <c r="H97" t="s">
        <v>24</v>
      </c>
      <c r="I97" t="s">
        <v>33</v>
      </c>
      <c r="J97" t="s">
        <v>20</v>
      </c>
      <c r="K97">
        <v>3</v>
      </c>
      <c r="L97" s="2">
        <v>36.07</v>
      </c>
      <c r="M97" s="3">
        <v>0.15</v>
      </c>
      <c r="N97" s="2">
        <v>108.21</v>
      </c>
      <c r="O97" s="2">
        <v>16.2315</v>
      </c>
      <c r="P97" s="2">
        <v>91.978499999999997</v>
      </c>
      <c r="Q97" s="2">
        <v>67.83</v>
      </c>
      <c r="R97" s="2">
        <v>203.49</v>
      </c>
      <c r="S97" s="2">
        <v>-111.5115</v>
      </c>
      <c r="T97" s="3">
        <v>-1.2123648461325098</v>
      </c>
      <c r="U97" s="2" t="str">
        <f>IF(Table1[[#This Row],[Net_Revenue]]&lt;Table1[[#This Row],[Total_Cost]], "Loss", "Gain")</f>
        <v>Loss</v>
      </c>
      <c r="V97" s="16">
        <f>IF(Table1[[#This Row],[Gain/Loss]]="Gain",Table1[[#This Row],[Quantity]], 0)</f>
        <v>0</v>
      </c>
      <c r="W97" s="16">
        <f>IF(Table1[[#This Row],[Gain/Loss]]="Loss",Table1[[#This Row],[Quantity]],0)</f>
        <v>3</v>
      </c>
      <c r="X97" s="16">
        <f>IF(OR(Table1[[#This Row],[Gain/Loss]]="Gain",Table1[[#This Row],[Gain/Loss]]="Loss"),Table1[[#This Row],[Quantity]],"")</f>
        <v>3</v>
      </c>
    </row>
    <row r="98" spans="1:24" x14ac:dyDescent="0.25">
      <c r="A98">
        <v>10097</v>
      </c>
      <c r="B98" s="1">
        <v>45754</v>
      </c>
      <c r="C98" s="1" t="str">
        <f>TEXT(Table1[[#This Row],[Order_Date]],"DD")</f>
        <v>07</v>
      </c>
      <c r="D98" s="1" t="str">
        <f>TEXT(Table1[[#This Row],[Order_Date]],"MMM")</f>
        <v>Apr</v>
      </c>
      <c r="E98" s="1" t="str">
        <f>TEXT(Table1[[#This Row],[Order_Date]],"YYYY")</f>
        <v>2025</v>
      </c>
      <c r="F98">
        <v>3989</v>
      </c>
      <c r="G98" t="s">
        <v>21</v>
      </c>
      <c r="H98" t="s">
        <v>18</v>
      </c>
      <c r="I98" t="s">
        <v>19</v>
      </c>
      <c r="J98" t="s">
        <v>27</v>
      </c>
      <c r="K98">
        <v>3</v>
      </c>
      <c r="L98" s="2">
        <v>76.55</v>
      </c>
      <c r="M98" s="3">
        <v>0.2</v>
      </c>
      <c r="N98" s="2">
        <v>229.64999999999901</v>
      </c>
      <c r="O98" s="2">
        <v>45.93</v>
      </c>
      <c r="P98" s="2">
        <v>183.719999999999</v>
      </c>
      <c r="Q98" s="2">
        <v>117.62</v>
      </c>
      <c r="R98" s="2">
        <v>352.86</v>
      </c>
      <c r="S98" s="2">
        <v>-169.14</v>
      </c>
      <c r="T98" s="3">
        <v>-0.92064010450685796</v>
      </c>
      <c r="U98" s="2" t="str">
        <f>IF(Table1[[#This Row],[Net_Revenue]]&lt;Table1[[#This Row],[Total_Cost]], "Loss", "Gain")</f>
        <v>Loss</v>
      </c>
      <c r="V98" s="16">
        <f>IF(Table1[[#This Row],[Gain/Loss]]="Gain",Table1[[#This Row],[Quantity]], 0)</f>
        <v>0</v>
      </c>
      <c r="W98" s="16">
        <f>IF(Table1[[#This Row],[Gain/Loss]]="Loss",Table1[[#This Row],[Quantity]],0)</f>
        <v>3</v>
      </c>
      <c r="X98" s="16">
        <f>IF(OR(Table1[[#This Row],[Gain/Loss]]="Gain",Table1[[#This Row],[Gain/Loss]]="Loss"),Table1[[#This Row],[Quantity]],"")</f>
        <v>3</v>
      </c>
    </row>
    <row r="99" spans="1:24" x14ac:dyDescent="0.25">
      <c r="A99">
        <v>10098</v>
      </c>
      <c r="B99" s="1">
        <v>45755</v>
      </c>
      <c r="C99" s="1" t="str">
        <f>TEXT(Table1[[#This Row],[Order_Date]],"DD")</f>
        <v>08</v>
      </c>
      <c r="D99" s="1" t="str">
        <f>TEXT(Table1[[#This Row],[Order_Date]],"MMM")</f>
        <v>Apr</v>
      </c>
      <c r="E99" s="1" t="str">
        <f>TEXT(Table1[[#This Row],[Order_Date]],"YYYY")</f>
        <v>2025</v>
      </c>
      <c r="F99">
        <v>3977</v>
      </c>
      <c r="G99" t="s">
        <v>23</v>
      </c>
      <c r="H99" t="s">
        <v>24</v>
      </c>
      <c r="I99" t="s">
        <v>33</v>
      </c>
      <c r="J99" t="s">
        <v>20</v>
      </c>
      <c r="K99">
        <v>2</v>
      </c>
      <c r="L99" s="2">
        <v>153.44</v>
      </c>
      <c r="M99" s="3">
        <v>0.1</v>
      </c>
      <c r="N99" s="2">
        <v>306.88</v>
      </c>
      <c r="O99" s="2">
        <v>30.687999999999999</v>
      </c>
      <c r="P99" s="2">
        <v>276.19200000000001</v>
      </c>
      <c r="Q99" s="2">
        <v>69.459999999999994</v>
      </c>
      <c r="R99" s="2">
        <v>138.91999999999999</v>
      </c>
      <c r="S99" s="2">
        <v>137.27199999999999</v>
      </c>
      <c r="T99" s="3">
        <v>0.497016568184451</v>
      </c>
      <c r="U99" s="2" t="str">
        <f>IF(Table1[[#This Row],[Net_Revenue]]&lt;Table1[[#This Row],[Total_Cost]], "Loss", "Gain")</f>
        <v>Gain</v>
      </c>
      <c r="V99" s="16">
        <f>IF(Table1[[#This Row],[Gain/Loss]]="Gain",Table1[[#This Row],[Quantity]], 0)</f>
        <v>2</v>
      </c>
      <c r="W99" s="16">
        <f>IF(Table1[[#This Row],[Gain/Loss]]="Loss",Table1[[#This Row],[Quantity]],0)</f>
        <v>0</v>
      </c>
      <c r="X99" s="16">
        <f>IF(OR(Table1[[#This Row],[Gain/Loss]]="Gain",Table1[[#This Row],[Gain/Loss]]="Loss"),Table1[[#This Row],[Quantity]],"")</f>
        <v>2</v>
      </c>
    </row>
    <row r="100" spans="1:24" x14ac:dyDescent="0.25">
      <c r="A100">
        <v>10099</v>
      </c>
      <c r="B100" s="1">
        <v>45756</v>
      </c>
      <c r="C100" s="1" t="str">
        <f>TEXT(Table1[[#This Row],[Order_Date]],"DD")</f>
        <v>09</v>
      </c>
      <c r="D100" s="1" t="str">
        <f>TEXT(Table1[[#This Row],[Order_Date]],"MMM")</f>
        <v>Apr</v>
      </c>
      <c r="E100" s="1" t="str">
        <f>TEXT(Table1[[#This Row],[Order_Date]],"YYYY")</f>
        <v>2025</v>
      </c>
      <c r="F100">
        <v>3895</v>
      </c>
      <c r="G100" t="s">
        <v>17</v>
      </c>
      <c r="H100" t="s">
        <v>18</v>
      </c>
      <c r="I100" t="s">
        <v>19</v>
      </c>
      <c r="J100" t="s">
        <v>27</v>
      </c>
      <c r="K100">
        <v>4</v>
      </c>
      <c r="L100" s="2">
        <v>233.97</v>
      </c>
      <c r="M100" s="3">
        <v>0.1</v>
      </c>
      <c r="N100" s="2">
        <v>935.88</v>
      </c>
      <c r="O100" s="2">
        <v>93.587999999999994</v>
      </c>
      <c r="P100" s="2">
        <v>842.29200000000003</v>
      </c>
      <c r="Q100" s="2">
        <v>61.86</v>
      </c>
      <c r="R100" s="2">
        <v>247.44</v>
      </c>
      <c r="S100" s="2">
        <v>594.85199999999998</v>
      </c>
      <c r="T100" s="3">
        <v>0.70623014346568591</v>
      </c>
      <c r="U100" s="2" t="str">
        <f>IF(Table1[[#This Row],[Net_Revenue]]&lt;Table1[[#This Row],[Total_Cost]], "Loss", "Gain")</f>
        <v>Gain</v>
      </c>
      <c r="V100" s="16">
        <f>IF(Table1[[#This Row],[Gain/Loss]]="Gain",Table1[[#This Row],[Quantity]], 0)</f>
        <v>4</v>
      </c>
      <c r="W100" s="16">
        <f>IF(Table1[[#This Row],[Gain/Loss]]="Loss",Table1[[#This Row],[Quantity]],0)</f>
        <v>0</v>
      </c>
      <c r="X100" s="16">
        <f>IF(OR(Table1[[#This Row],[Gain/Loss]]="Gain",Table1[[#This Row],[Gain/Loss]]="Loss"),Table1[[#This Row],[Quantity]],"")</f>
        <v>4</v>
      </c>
    </row>
    <row r="101" spans="1:24" x14ac:dyDescent="0.25">
      <c r="A101">
        <v>10100</v>
      </c>
      <c r="B101" s="1">
        <v>45757</v>
      </c>
      <c r="C101" s="1" t="str">
        <f>TEXT(Table1[[#This Row],[Order_Date]],"DD")</f>
        <v>10</v>
      </c>
      <c r="D101" s="1" t="str">
        <f>TEXT(Table1[[#This Row],[Order_Date]],"MMM")</f>
        <v>Apr</v>
      </c>
      <c r="E101" s="1" t="str">
        <f>TEXT(Table1[[#This Row],[Order_Date]],"YYYY")</f>
        <v>2025</v>
      </c>
      <c r="F101">
        <v>3415</v>
      </c>
      <c r="G101" t="s">
        <v>17</v>
      </c>
      <c r="H101" t="s">
        <v>18</v>
      </c>
      <c r="I101" t="s">
        <v>33</v>
      </c>
      <c r="J101" t="s">
        <v>20</v>
      </c>
      <c r="K101">
        <v>4</v>
      </c>
      <c r="L101" s="2">
        <v>45.06</v>
      </c>
      <c r="M101" s="3">
        <v>0.05</v>
      </c>
      <c r="N101" s="2">
        <v>180.24</v>
      </c>
      <c r="O101" s="2">
        <v>9.0120000000000005</v>
      </c>
      <c r="P101" s="2">
        <v>171.22800000000001</v>
      </c>
      <c r="Q101" s="2">
        <v>74.069999999999993</v>
      </c>
      <c r="R101" s="2">
        <v>296.27999999999997</v>
      </c>
      <c r="S101" s="2">
        <v>-125.051999999999</v>
      </c>
      <c r="T101" s="3">
        <v>-0.73032447964117908</v>
      </c>
      <c r="U101" s="2" t="str">
        <f>IF(Table1[[#This Row],[Net_Revenue]]&lt;Table1[[#This Row],[Total_Cost]], "Loss", "Gain")</f>
        <v>Loss</v>
      </c>
      <c r="V101" s="16">
        <f>IF(Table1[[#This Row],[Gain/Loss]]="Gain",Table1[[#This Row],[Quantity]], 0)</f>
        <v>0</v>
      </c>
      <c r="W101" s="16">
        <f>IF(Table1[[#This Row],[Gain/Loss]]="Loss",Table1[[#This Row],[Quantity]],0)</f>
        <v>4</v>
      </c>
      <c r="X101" s="16">
        <f>IF(OR(Table1[[#This Row],[Gain/Loss]]="Gain",Table1[[#This Row],[Gain/Loss]]="Loss"),Table1[[#This Row],[Quantity]],"")</f>
        <v>4</v>
      </c>
    </row>
    <row r="102" spans="1:24" x14ac:dyDescent="0.25">
      <c r="A102">
        <v>10101</v>
      </c>
      <c r="B102" s="1">
        <v>45758</v>
      </c>
      <c r="C102" s="1" t="str">
        <f>TEXT(Table1[[#This Row],[Order_Date]],"DD")</f>
        <v>11</v>
      </c>
      <c r="D102" s="1" t="str">
        <f>TEXT(Table1[[#This Row],[Order_Date]],"MMM")</f>
        <v>Apr</v>
      </c>
      <c r="E102" s="1" t="str">
        <f>TEXT(Table1[[#This Row],[Order_Date]],"YYYY")</f>
        <v>2025</v>
      </c>
      <c r="F102">
        <v>3130</v>
      </c>
      <c r="G102" t="s">
        <v>23</v>
      </c>
      <c r="H102" t="s">
        <v>18</v>
      </c>
      <c r="I102" t="s">
        <v>26</v>
      </c>
      <c r="J102" t="s">
        <v>31</v>
      </c>
      <c r="K102">
        <v>2</v>
      </c>
      <c r="L102" s="2">
        <v>102.24</v>
      </c>
      <c r="M102" s="3">
        <v>0.15</v>
      </c>
      <c r="N102" s="2">
        <v>204.48</v>
      </c>
      <c r="O102" s="2">
        <v>30.671999999999901</v>
      </c>
      <c r="P102" s="2">
        <v>173.80799999999999</v>
      </c>
      <c r="Q102" s="2">
        <v>86.92</v>
      </c>
      <c r="R102" s="2">
        <v>173.84</v>
      </c>
      <c r="S102" s="2">
        <v>-3.2000000000010603E-2</v>
      </c>
      <c r="T102" s="3">
        <v>-1.84111203166774E-4</v>
      </c>
      <c r="U102" s="2" t="str">
        <f>IF(Table1[[#This Row],[Net_Revenue]]&lt;Table1[[#This Row],[Total_Cost]], "Loss", "Gain")</f>
        <v>Loss</v>
      </c>
      <c r="V102" s="16">
        <f>IF(Table1[[#This Row],[Gain/Loss]]="Gain",Table1[[#This Row],[Quantity]], 0)</f>
        <v>0</v>
      </c>
      <c r="W102" s="16">
        <f>IF(Table1[[#This Row],[Gain/Loss]]="Loss",Table1[[#This Row],[Quantity]],0)</f>
        <v>2</v>
      </c>
      <c r="X102" s="16">
        <f>IF(OR(Table1[[#This Row],[Gain/Loss]]="Gain",Table1[[#This Row],[Gain/Loss]]="Loss"),Table1[[#This Row],[Quantity]],"")</f>
        <v>2</v>
      </c>
    </row>
    <row r="103" spans="1:24" x14ac:dyDescent="0.25">
      <c r="A103">
        <v>10102</v>
      </c>
      <c r="B103" s="1">
        <v>45759</v>
      </c>
      <c r="C103" s="1" t="str">
        <f>TEXT(Table1[[#This Row],[Order_Date]],"DD")</f>
        <v>12</v>
      </c>
      <c r="D103" s="1" t="str">
        <f>TEXT(Table1[[#This Row],[Order_Date]],"MMM")</f>
        <v>Apr</v>
      </c>
      <c r="E103" s="1" t="str">
        <f>TEXT(Table1[[#This Row],[Order_Date]],"YYYY")</f>
        <v>2025</v>
      </c>
      <c r="F103">
        <v>3083</v>
      </c>
      <c r="G103" t="s">
        <v>21</v>
      </c>
      <c r="H103" t="s">
        <v>24</v>
      </c>
      <c r="I103" t="s">
        <v>33</v>
      </c>
      <c r="J103" t="s">
        <v>20</v>
      </c>
      <c r="K103">
        <v>2</v>
      </c>
      <c r="L103" s="2">
        <v>26.6</v>
      </c>
      <c r="M103" s="3">
        <v>0.2</v>
      </c>
      <c r="N103" s="2">
        <v>53.2</v>
      </c>
      <c r="O103" s="2">
        <v>10.64</v>
      </c>
      <c r="P103" s="2">
        <v>42.56</v>
      </c>
      <c r="Q103" s="2">
        <v>115.91</v>
      </c>
      <c r="R103" s="2">
        <v>231.82</v>
      </c>
      <c r="S103" s="2">
        <v>-189.26</v>
      </c>
      <c r="T103" s="3">
        <v>-4.4468984962405997</v>
      </c>
      <c r="U103" s="2" t="str">
        <f>IF(Table1[[#This Row],[Net_Revenue]]&lt;Table1[[#This Row],[Total_Cost]], "Loss", "Gain")</f>
        <v>Loss</v>
      </c>
      <c r="V103" s="16">
        <f>IF(Table1[[#This Row],[Gain/Loss]]="Gain",Table1[[#This Row],[Quantity]], 0)</f>
        <v>0</v>
      </c>
      <c r="W103" s="16">
        <f>IF(Table1[[#This Row],[Gain/Loss]]="Loss",Table1[[#This Row],[Quantity]],0)</f>
        <v>2</v>
      </c>
      <c r="X103" s="16">
        <f>IF(OR(Table1[[#This Row],[Gain/Loss]]="Gain",Table1[[#This Row],[Gain/Loss]]="Loss"),Table1[[#This Row],[Quantity]],"")</f>
        <v>2</v>
      </c>
    </row>
    <row r="104" spans="1:24" x14ac:dyDescent="0.25">
      <c r="A104">
        <v>10103</v>
      </c>
      <c r="B104" s="1">
        <v>45760</v>
      </c>
      <c r="C104" s="1" t="str">
        <f>TEXT(Table1[[#This Row],[Order_Date]],"DD")</f>
        <v>13</v>
      </c>
      <c r="D104" s="1" t="str">
        <f>TEXT(Table1[[#This Row],[Order_Date]],"MMM")</f>
        <v>Apr</v>
      </c>
      <c r="E104" s="1" t="str">
        <f>TEXT(Table1[[#This Row],[Order_Date]],"YYYY")</f>
        <v>2025</v>
      </c>
      <c r="F104">
        <v>3946</v>
      </c>
      <c r="G104" t="s">
        <v>29</v>
      </c>
      <c r="H104" t="s">
        <v>24</v>
      </c>
      <c r="I104" t="s">
        <v>33</v>
      </c>
      <c r="J104" t="s">
        <v>20</v>
      </c>
      <c r="K104">
        <v>3</v>
      </c>
      <c r="L104" s="2">
        <v>234.16</v>
      </c>
      <c r="M104" s="3">
        <v>0</v>
      </c>
      <c r="N104" s="2">
        <v>702.48</v>
      </c>
      <c r="O104" s="2">
        <v>0</v>
      </c>
      <c r="P104" s="2">
        <v>702.48</v>
      </c>
      <c r="Q104" s="2">
        <v>128.72</v>
      </c>
      <c r="R104" s="2">
        <v>386.159999999999</v>
      </c>
      <c r="S104" s="2">
        <v>316.32</v>
      </c>
      <c r="T104" s="3">
        <v>0.450290399726682</v>
      </c>
      <c r="U104" s="2" t="str">
        <f>IF(Table1[[#This Row],[Net_Revenue]]&lt;Table1[[#This Row],[Total_Cost]], "Loss", "Gain")</f>
        <v>Gain</v>
      </c>
      <c r="V104" s="16">
        <f>IF(Table1[[#This Row],[Gain/Loss]]="Gain",Table1[[#This Row],[Quantity]], 0)</f>
        <v>3</v>
      </c>
      <c r="W104" s="16">
        <f>IF(Table1[[#This Row],[Gain/Loss]]="Loss",Table1[[#This Row],[Quantity]],0)</f>
        <v>0</v>
      </c>
      <c r="X104" s="16">
        <f>IF(OR(Table1[[#This Row],[Gain/Loss]]="Gain",Table1[[#This Row],[Gain/Loss]]="Loss"),Table1[[#This Row],[Quantity]],"")</f>
        <v>3</v>
      </c>
    </row>
    <row r="105" spans="1:24" x14ac:dyDescent="0.25">
      <c r="A105">
        <v>10104</v>
      </c>
      <c r="B105" s="1">
        <v>45761</v>
      </c>
      <c r="C105" s="1" t="str">
        <f>TEXT(Table1[[#This Row],[Order_Date]],"DD")</f>
        <v>14</v>
      </c>
      <c r="D105" s="1" t="str">
        <f>TEXT(Table1[[#This Row],[Order_Date]],"MMM")</f>
        <v>Apr</v>
      </c>
      <c r="E105" s="1" t="str">
        <f>TEXT(Table1[[#This Row],[Order_Date]],"YYYY")</f>
        <v>2025</v>
      </c>
      <c r="F105">
        <v>3402</v>
      </c>
      <c r="G105" t="s">
        <v>17</v>
      </c>
      <c r="H105" t="s">
        <v>18</v>
      </c>
      <c r="I105" t="s">
        <v>26</v>
      </c>
      <c r="J105" t="s">
        <v>30</v>
      </c>
      <c r="K105">
        <v>3</v>
      </c>
      <c r="L105" s="2">
        <v>84.25</v>
      </c>
      <c r="M105" s="3">
        <v>0.05</v>
      </c>
      <c r="N105" s="2">
        <v>252.75</v>
      </c>
      <c r="O105" s="2">
        <v>12.637499999999999</v>
      </c>
      <c r="P105" s="2">
        <v>240.11250000000001</v>
      </c>
      <c r="Q105" s="2">
        <v>46.91</v>
      </c>
      <c r="R105" s="2">
        <v>140.72999999999999</v>
      </c>
      <c r="S105" s="2">
        <v>99.382499999999993</v>
      </c>
      <c r="T105" s="3">
        <v>0.413899734499453</v>
      </c>
      <c r="U105" s="2" t="str">
        <f>IF(Table1[[#This Row],[Net_Revenue]]&lt;Table1[[#This Row],[Total_Cost]], "Loss", "Gain")</f>
        <v>Gain</v>
      </c>
      <c r="V105" s="16">
        <f>IF(Table1[[#This Row],[Gain/Loss]]="Gain",Table1[[#This Row],[Quantity]], 0)</f>
        <v>3</v>
      </c>
      <c r="W105" s="16">
        <f>IF(Table1[[#This Row],[Gain/Loss]]="Loss",Table1[[#This Row],[Quantity]],0)</f>
        <v>0</v>
      </c>
      <c r="X105" s="16">
        <f>IF(OR(Table1[[#This Row],[Gain/Loss]]="Gain",Table1[[#This Row],[Gain/Loss]]="Loss"),Table1[[#This Row],[Quantity]],"")</f>
        <v>3</v>
      </c>
    </row>
    <row r="106" spans="1:24" x14ac:dyDescent="0.25">
      <c r="A106">
        <v>10105</v>
      </c>
      <c r="B106" s="1">
        <v>45762</v>
      </c>
      <c r="C106" s="1" t="str">
        <f>TEXT(Table1[[#This Row],[Order_Date]],"DD")</f>
        <v>15</v>
      </c>
      <c r="D106" s="1" t="str">
        <f>TEXT(Table1[[#This Row],[Order_Date]],"MMM")</f>
        <v>Apr</v>
      </c>
      <c r="E106" s="1" t="str">
        <f>TEXT(Table1[[#This Row],[Order_Date]],"YYYY")</f>
        <v>2025</v>
      </c>
      <c r="F106">
        <v>3021</v>
      </c>
      <c r="G106" t="s">
        <v>29</v>
      </c>
      <c r="H106" t="s">
        <v>24</v>
      </c>
      <c r="I106" t="s">
        <v>25</v>
      </c>
      <c r="J106" t="s">
        <v>22</v>
      </c>
      <c r="K106">
        <v>2</v>
      </c>
      <c r="L106" s="2">
        <v>143.4</v>
      </c>
      <c r="M106" s="3">
        <v>0.15</v>
      </c>
      <c r="N106" s="2">
        <v>286.8</v>
      </c>
      <c r="O106" s="2">
        <v>43.02</v>
      </c>
      <c r="P106" s="2">
        <v>243.78</v>
      </c>
      <c r="Q106" s="2">
        <v>43.23</v>
      </c>
      <c r="R106" s="2">
        <v>86.46</v>
      </c>
      <c r="S106" s="2">
        <v>157.32</v>
      </c>
      <c r="T106" s="3">
        <v>0.64533595865124294</v>
      </c>
      <c r="U106" s="2" t="str">
        <f>IF(Table1[[#This Row],[Net_Revenue]]&lt;Table1[[#This Row],[Total_Cost]], "Loss", "Gain")</f>
        <v>Gain</v>
      </c>
      <c r="V106" s="16">
        <f>IF(Table1[[#This Row],[Gain/Loss]]="Gain",Table1[[#This Row],[Quantity]], 0)</f>
        <v>2</v>
      </c>
      <c r="W106" s="16">
        <f>IF(Table1[[#This Row],[Gain/Loss]]="Loss",Table1[[#This Row],[Quantity]],0)</f>
        <v>0</v>
      </c>
      <c r="X106" s="16">
        <f>IF(OR(Table1[[#This Row],[Gain/Loss]]="Gain",Table1[[#This Row],[Gain/Loss]]="Loss"),Table1[[#This Row],[Quantity]],"")</f>
        <v>2</v>
      </c>
    </row>
    <row r="107" spans="1:24" x14ac:dyDescent="0.25">
      <c r="A107">
        <v>10106</v>
      </c>
      <c r="B107" s="1">
        <v>45763</v>
      </c>
      <c r="C107" s="1" t="str">
        <f>TEXT(Table1[[#This Row],[Order_Date]],"DD")</f>
        <v>16</v>
      </c>
      <c r="D107" s="1" t="str">
        <f>TEXT(Table1[[#This Row],[Order_Date]],"MMM")</f>
        <v>Apr</v>
      </c>
      <c r="E107" s="1" t="str">
        <f>TEXT(Table1[[#This Row],[Order_Date]],"YYYY")</f>
        <v>2025</v>
      </c>
      <c r="F107">
        <v>3631</v>
      </c>
      <c r="G107" t="s">
        <v>23</v>
      </c>
      <c r="H107" t="s">
        <v>18</v>
      </c>
      <c r="I107" t="s">
        <v>26</v>
      </c>
      <c r="J107" t="s">
        <v>31</v>
      </c>
      <c r="K107">
        <v>7</v>
      </c>
      <c r="L107" s="2">
        <v>32.520000000000003</v>
      </c>
      <c r="M107" s="3">
        <v>0.2</v>
      </c>
      <c r="N107" s="2">
        <v>227.64</v>
      </c>
      <c r="O107" s="2">
        <v>45.527999999999999</v>
      </c>
      <c r="P107" s="2">
        <v>182.11199999999999</v>
      </c>
      <c r="Q107" s="2">
        <v>50.82</v>
      </c>
      <c r="R107" s="2">
        <v>355.74</v>
      </c>
      <c r="S107" s="2">
        <v>-173.62799999999999</v>
      </c>
      <c r="T107" s="3">
        <v>-0.95341328413284099</v>
      </c>
      <c r="U107" s="2" t="str">
        <f>IF(Table1[[#This Row],[Net_Revenue]]&lt;Table1[[#This Row],[Total_Cost]], "Loss", "Gain")</f>
        <v>Loss</v>
      </c>
      <c r="V107" s="16">
        <f>IF(Table1[[#This Row],[Gain/Loss]]="Gain",Table1[[#This Row],[Quantity]], 0)</f>
        <v>0</v>
      </c>
      <c r="W107" s="16">
        <f>IF(Table1[[#This Row],[Gain/Loss]]="Loss",Table1[[#This Row],[Quantity]],0)</f>
        <v>7</v>
      </c>
      <c r="X107" s="16">
        <f>IF(OR(Table1[[#This Row],[Gain/Loss]]="Gain",Table1[[#This Row],[Gain/Loss]]="Loss"),Table1[[#This Row],[Quantity]],"")</f>
        <v>7</v>
      </c>
    </row>
    <row r="108" spans="1:24" x14ac:dyDescent="0.25">
      <c r="A108">
        <v>10107</v>
      </c>
      <c r="B108" s="1">
        <v>45764</v>
      </c>
      <c r="C108" s="1" t="str">
        <f>TEXT(Table1[[#This Row],[Order_Date]],"DD")</f>
        <v>17</v>
      </c>
      <c r="D108" s="1" t="str">
        <f>TEXT(Table1[[#This Row],[Order_Date]],"MMM")</f>
        <v>Apr</v>
      </c>
      <c r="E108" s="1" t="str">
        <f>TEXT(Table1[[#This Row],[Order_Date]],"YYYY")</f>
        <v>2025</v>
      </c>
      <c r="F108">
        <v>3579</v>
      </c>
      <c r="G108" t="s">
        <v>29</v>
      </c>
      <c r="H108" t="s">
        <v>18</v>
      </c>
      <c r="I108" t="s">
        <v>33</v>
      </c>
      <c r="J108" t="s">
        <v>20</v>
      </c>
      <c r="K108">
        <v>3</v>
      </c>
      <c r="L108" s="2">
        <v>202.18</v>
      </c>
      <c r="M108" s="3">
        <v>0</v>
      </c>
      <c r="N108" s="2">
        <v>606.54</v>
      </c>
      <c r="O108" s="2">
        <v>0</v>
      </c>
      <c r="P108" s="2">
        <v>606.54</v>
      </c>
      <c r="Q108" s="2">
        <v>130.44</v>
      </c>
      <c r="R108" s="2">
        <v>391.32</v>
      </c>
      <c r="S108" s="2">
        <v>215.219999999999</v>
      </c>
      <c r="T108" s="3">
        <v>0.35483232762884498</v>
      </c>
      <c r="U108" s="2" t="str">
        <f>IF(Table1[[#This Row],[Net_Revenue]]&lt;Table1[[#This Row],[Total_Cost]], "Loss", "Gain")</f>
        <v>Gain</v>
      </c>
      <c r="V108" s="16">
        <f>IF(Table1[[#This Row],[Gain/Loss]]="Gain",Table1[[#This Row],[Quantity]], 0)</f>
        <v>3</v>
      </c>
      <c r="W108" s="16">
        <f>IF(Table1[[#This Row],[Gain/Loss]]="Loss",Table1[[#This Row],[Quantity]],0)</f>
        <v>0</v>
      </c>
      <c r="X108" s="16">
        <f>IF(OR(Table1[[#This Row],[Gain/Loss]]="Gain",Table1[[#This Row],[Gain/Loss]]="Loss"),Table1[[#This Row],[Quantity]],"")</f>
        <v>3</v>
      </c>
    </row>
    <row r="109" spans="1:24" x14ac:dyDescent="0.25">
      <c r="A109">
        <v>10108</v>
      </c>
      <c r="B109" s="1">
        <v>45765</v>
      </c>
      <c r="C109" s="1" t="str">
        <f>TEXT(Table1[[#This Row],[Order_Date]],"DD")</f>
        <v>18</v>
      </c>
      <c r="D109" s="1" t="str">
        <f>TEXT(Table1[[#This Row],[Order_Date]],"MMM")</f>
        <v>Apr</v>
      </c>
      <c r="E109" s="1" t="str">
        <f>TEXT(Table1[[#This Row],[Order_Date]],"YYYY")</f>
        <v>2025</v>
      </c>
      <c r="F109">
        <v>3203</v>
      </c>
      <c r="G109" t="s">
        <v>21</v>
      </c>
      <c r="H109" t="s">
        <v>18</v>
      </c>
      <c r="I109" t="s">
        <v>25</v>
      </c>
      <c r="J109" t="s">
        <v>32</v>
      </c>
      <c r="K109">
        <v>6</v>
      </c>
      <c r="L109" s="2">
        <v>22.22</v>
      </c>
      <c r="M109" s="3">
        <v>0.15</v>
      </c>
      <c r="N109" s="2">
        <v>133.32</v>
      </c>
      <c r="O109" s="2">
        <v>19.997999999999902</v>
      </c>
      <c r="P109" s="2">
        <v>113.322</v>
      </c>
      <c r="Q109" s="2">
        <v>135.58000000000001</v>
      </c>
      <c r="R109" s="2">
        <v>813.48</v>
      </c>
      <c r="S109" s="2">
        <v>-700.15800000000002</v>
      </c>
      <c r="T109" s="3">
        <v>-6.1784825541377595</v>
      </c>
      <c r="U109" s="2" t="str">
        <f>IF(Table1[[#This Row],[Net_Revenue]]&lt;Table1[[#This Row],[Total_Cost]], "Loss", "Gain")</f>
        <v>Loss</v>
      </c>
      <c r="V109" s="16">
        <f>IF(Table1[[#This Row],[Gain/Loss]]="Gain",Table1[[#This Row],[Quantity]], 0)</f>
        <v>0</v>
      </c>
      <c r="W109" s="16">
        <f>IF(Table1[[#This Row],[Gain/Loss]]="Loss",Table1[[#This Row],[Quantity]],0)</f>
        <v>6</v>
      </c>
      <c r="X109" s="16">
        <f>IF(OR(Table1[[#This Row],[Gain/Loss]]="Gain",Table1[[#This Row],[Gain/Loss]]="Loss"),Table1[[#This Row],[Quantity]],"")</f>
        <v>6</v>
      </c>
    </row>
    <row r="110" spans="1:24" x14ac:dyDescent="0.25">
      <c r="A110">
        <v>10109</v>
      </c>
      <c r="B110" s="1">
        <v>45766</v>
      </c>
      <c r="C110" s="1" t="str">
        <f>TEXT(Table1[[#This Row],[Order_Date]],"DD")</f>
        <v>19</v>
      </c>
      <c r="D110" s="1" t="str">
        <f>TEXT(Table1[[#This Row],[Order_Date]],"MMM")</f>
        <v>Apr</v>
      </c>
      <c r="E110" s="1" t="str">
        <f>TEXT(Table1[[#This Row],[Order_Date]],"YYYY")</f>
        <v>2025</v>
      </c>
      <c r="F110">
        <v>3954</v>
      </c>
      <c r="G110" t="s">
        <v>21</v>
      </c>
      <c r="H110" t="s">
        <v>18</v>
      </c>
      <c r="I110" t="s">
        <v>25</v>
      </c>
      <c r="J110" t="s">
        <v>22</v>
      </c>
      <c r="K110">
        <v>9</v>
      </c>
      <c r="L110" s="2">
        <v>62.15</v>
      </c>
      <c r="M110" s="3">
        <v>0.05</v>
      </c>
      <c r="N110" s="2">
        <v>559.35</v>
      </c>
      <c r="O110" s="2">
        <v>27.967500000000001</v>
      </c>
      <c r="P110" s="2">
        <v>531.38250000000005</v>
      </c>
      <c r="Q110" s="2">
        <v>54.57</v>
      </c>
      <c r="R110" s="2">
        <v>491.13</v>
      </c>
      <c r="S110" s="2">
        <v>40.252499999999998</v>
      </c>
      <c r="T110" s="3">
        <v>7.5750518694160995E-2</v>
      </c>
      <c r="U110" s="2" t="str">
        <f>IF(Table1[[#This Row],[Net_Revenue]]&lt;Table1[[#This Row],[Total_Cost]], "Loss", "Gain")</f>
        <v>Gain</v>
      </c>
      <c r="V110" s="16">
        <f>IF(Table1[[#This Row],[Gain/Loss]]="Gain",Table1[[#This Row],[Quantity]], 0)</f>
        <v>9</v>
      </c>
      <c r="W110" s="16">
        <f>IF(Table1[[#This Row],[Gain/Loss]]="Loss",Table1[[#This Row],[Quantity]],0)</f>
        <v>0</v>
      </c>
      <c r="X110" s="16">
        <f>IF(OR(Table1[[#This Row],[Gain/Loss]]="Gain",Table1[[#This Row],[Gain/Loss]]="Loss"),Table1[[#This Row],[Quantity]],"")</f>
        <v>9</v>
      </c>
    </row>
    <row r="111" spans="1:24" x14ac:dyDescent="0.25">
      <c r="A111">
        <v>10110</v>
      </c>
      <c r="B111" s="1">
        <v>45767</v>
      </c>
      <c r="C111" s="1" t="str">
        <f>TEXT(Table1[[#This Row],[Order_Date]],"DD")</f>
        <v>20</v>
      </c>
      <c r="D111" s="1" t="str">
        <f>TEXT(Table1[[#This Row],[Order_Date]],"MMM")</f>
        <v>Apr</v>
      </c>
      <c r="E111" s="1" t="str">
        <f>TEXT(Table1[[#This Row],[Order_Date]],"YYYY")</f>
        <v>2025</v>
      </c>
      <c r="F111">
        <v>3047</v>
      </c>
      <c r="G111" t="s">
        <v>23</v>
      </c>
      <c r="H111" t="s">
        <v>18</v>
      </c>
      <c r="I111" t="s">
        <v>26</v>
      </c>
      <c r="J111" t="s">
        <v>31</v>
      </c>
      <c r="K111">
        <v>3</v>
      </c>
      <c r="L111" s="2">
        <v>18.04</v>
      </c>
      <c r="M111" s="3">
        <v>0.05</v>
      </c>
      <c r="N111" s="2">
        <v>54.12</v>
      </c>
      <c r="O111" s="2">
        <v>2.706</v>
      </c>
      <c r="P111" s="2">
        <v>51.413999999999902</v>
      </c>
      <c r="Q111" s="2">
        <v>125.85</v>
      </c>
      <c r="R111" s="2">
        <v>377.54999999999899</v>
      </c>
      <c r="S111" s="2">
        <v>-326.135999999999</v>
      </c>
      <c r="T111" s="3">
        <v>-6.3433306103395894</v>
      </c>
      <c r="U111" s="2" t="str">
        <f>IF(Table1[[#This Row],[Net_Revenue]]&lt;Table1[[#This Row],[Total_Cost]], "Loss", "Gain")</f>
        <v>Loss</v>
      </c>
      <c r="V111" s="16">
        <f>IF(Table1[[#This Row],[Gain/Loss]]="Gain",Table1[[#This Row],[Quantity]], 0)</f>
        <v>0</v>
      </c>
      <c r="W111" s="16">
        <f>IF(Table1[[#This Row],[Gain/Loss]]="Loss",Table1[[#This Row],[Quantity]],0)</f>
        <v>3</v>
      </c>
      <c r="X111" s="16">
        <f>IF(OR(Table1[[#This Row],[Gain/Loss]]="Gain",Table1[[#This Row],[Gain/Loss]]="Loss"),Table1[[#This Row],[Quantity]],"")</f>
        <v>3</v>
      </c>
    </row>
    <row r="112" spans="1:24" x14ac:dyDescent="0.25">
      <c r="A112">
        <v>10111</v>
      </c>
      <c r="B112" s="1">
        <v>45768</v>
      </c>
      <c r="C112" s="1" t="str">
        <f>TEXT(Table1[[#This Row],[Order_Date]],"DD")</f>
        <v>21</v>
      </c>
      <c r="D112" s="1" t="str">
        <f>TEXT(Table1[[#This Row],[Order_Date]],"MMM")</f>
        <v>Apr</v>
      </c>
      <c r="E112" s="1" t="str">
        <f>TEXT(Table1[[#This Row],[Order_Date]],"YYYY")</f>
        <v>2025</v>
      </c>
      <c r="F112">
        <v>3784</v>
      </c>
      <c r="G112" t="s">
        <v>17</v>
      </c>
      <c r="H112" t="s">
        <v>18</v>
      </c>
      <c r="I112" t="s">
        <v>25</v>
      </c>
      <c r="J112" t="s">
        <v>32</v>
      </c>
      <c r="K112">
        <v>2</v>
      </c>
      <c r="L112" s="2">
        <v>34.81</v>
      </c>
      <c r="M112" s="3">
        <v>0.15</v>
      </c>
      <c r="N112" s="2">
        <v>69.62</v>
      </c>
      <c r="O112" s="2">
        <v>10.443</v>
      </c>
      <c r="P112" s="2">
        <v>59.177</v>
      </c>
      <c r="Q112" s="2">
        <v>83.93</v>
      </c>
      <c r="R112" s="2">
        <v>167.86</v>
      </c>
      <c r="S112" s="2">
        <v>-108.68300000000001</v>
      </c>
      <c r="T112" s="3">
        <v>-1.8365750207006</v>
      </c>
      <c r="U112" s="2" t="str">
        <f>IF(Table1[[#This Row],[Net_Revenue]]&lt;Table1[[#This Row],[Total_Cost]], "Loss", "Gain")</f>
        <v>Loss</v>
      </c>
      <c r="V112" s="16">
        <f>IF(Table1[[#This Row],[Gain/Loss]]="Gain",Table1[[#This Row],[Quantity]], 0)</f>
        <v>0</v>
      </c>
      <c r="W112" s="16">
        <f>IF(Table1[[#This Row],[Gain/Loss]]="Loss",Table1[[#This Row],[Quantity]],0)</f>
        <v>2</v>
      </c>
      <c r="X112" s="16">
        <f>IF(OR(Table1[[#This Row],[Gain/Loss]]="Gain",Table1[[#This Row],[Gain/Loss]]="Loss"),Table1[[#This Row],[Quantity]],"")</f>
        <v>2</v>
      </c>
    </row>
    <row r="113" spans="1:24" x14ac:dyDescent="0.25">
      <c r="A113">
        <v>10112</v>
      </c>
      <c r="B113" s="1">
        <v>45769</v>
      </c>
      <c r="C113" s="1" t="str">
        <f>TEXT(Table1[[#This Row],[Order_Date]],"DD")</f>
        <v>22</v>
      </c>
      <c r="D113" s="1" t="str">
        <f>TEXT(Table1[[#This Row],[Order_Date]],"MMM")</f>
        <v>Apr</v>
      </c>
      <c r="E113" s="1" t="str">
        <f>TEXT(Table1[[#This Row],[Order_Date]],"YYYY")</f>
        <v>2025</v>
      </c>
      <c r="F113">
        <v>3524</v>
      </c>
      <c r="G113" t="s">
        <v>21</v>
      </c>
      <c r="H113" t="s">
        <v>18</v>
      </c>
      <c r="I113" t="s">
        <v>26</v>
      </c>
      <c r="J113" t="s">
        <v>31</v>
      </c>
      <c r="K113">
        <v>1</v>
      </c>
      <c r="L113" s="2">
        <v>171.18</v>
      </c>
      <c r="M113" s="3">
        <v>0.05</v>
      </c>
      <c r="N113" s="2">
        <v>171.18</v>
      </c>
      <c r="O113" s="2">
        <v>8.5589999999999993</v>
      </c>
      <c r="P113" s="2">
        <v>162.62100000000001</v>
      </c>
      <c r="Q113" s="2">
        <v>143.9</v>
      </c>
      <c r="R113" s="2">
        <v>143.9</v>
      </c>
      <c r="S113" s="2">
        <v>18.721</v>
      </c>
      <c r="T113" s="3">
        <v>0.11512043340035999</v>
      </c>
      <c r="U113" s="2" t="str">
        <f>IF(Table1[[#This Row],[Net_Revenue]]&lt;Table1[[#This Row],[Total_Cost]], "Loss", "Gain")</f>
        <v>Gain</v>
      </c>
      <c r="V113" s="16">
        <f>IF(Table1[[#This Row],[Gain/Loss]]="Gain",Table1[[#This Row],[Quantity]], 0)</f>
        <v>1</v>
      </c>
      <c r="W113" s="16">
        <f>IF(Table1[[#This Row],[Gain/Loss]]="Loss",Table1[[#This Row],[Quantity]],0)</f>
        <v>0</v>
      </c>
      <c r="X113" s="16">
        <f>IF(OR(Table1[[#This Row],[Gain/Loss]]="Gain",Table1[[#This Row],[Gain/Loss]]="Loss"),Table1[[#This Row],[Quantity]],"")</f>
        <v>1</v>
      </c>
    </row>
    <row r="114" spans="1:24" x14ac:dyDescent="0.25">
      <c r="A114">
        <v>10113</v>
      </c>
      <c r="B114" s="1">
        <v>45770</v>
      </c>
      <c r="C114" s="1" t="str">
        <f>TEXT(Table1[[#This Row],[Order_Date]],"DD")</f>
        <v>23</v>
      </c>
      <c r="D114" s="1" t="str">
        <f>TEXT(Table1[[#This Row],[Order_Date]],"MMM")</f>
        <v>Apr</v>
      </c>
      <c r="E114" s="1" t="str">
        <f>TEXT(Table1[[#This Row],[Order_Date]],"YYYY")</f>
        <v>2025</v>
      </c>
      <c r="F114">
        <v>3349</v>
      </c>
      <c r="G114" t="s">
        <v>17</v>
      </c>
      <c r="H114" t="s">
        <v>24</v>
      </c>
      <c r="I114" t="s">
        <v>26</v>
      </c>
      <c r="J114" t="s">
        <v>30</v>
      </c>
      <c r="K114">
        <v>9</v>
      </c>
      <c r="L114" s="2">
        <v>76.13</v>
      </c>
      <c r="M114" s="3">
        <v>0.15</v>
      </c>
      <c r="N114" s="2">
        <v>685.17</v>
      </c>
      <c r="O114" s="2">
        <v>102.77549999999999</v>
      </c>
      <c r="P114" s="2">
        <v>582.39449999999999</v>
      </c>
      <c r="Q114" s="2">
        <v>87.65</v>
      </c>
      <c r="R114" s="2">
        <v>788.85</v>
      </c>
      <c r="S114" s="2">
        <v>-206.4555</v>
      </c>
      <c r="T114" s="3">
        <v>-0.35449424745597702</v>
      </c>
      <c r="U114" s="2" t="str">
        <f>IF(Table1[[#This Row],[Net_Revenue]]&lt;Table1[[#This Row],[Total_Cost]], "Loss", "Gain")</f>
        <v>Loss</v>
      </c>
      <c r="V114" s="16">
        <f>IF(Table1[[#This Row],[Gain/Loss]]="Gain",Table1[[#This Row],[Quantity]], 0)</f>
        <v>0</v>
      </c>
      <c r="W114" s="16">
        <f>IF(Table1[[#This Row],[Gain/Loss]]="Loss",Table1[[#This Row],[Quantity]],0)</f>
        <v>9</v>
      </c>
      <c r="X114" s="16">
        <f>IF(OR(Table1[[#This Row],[Gain/Loss]]="Gain",Table1[[#This Row],[Gain/Loss]]="Loss"),Table1[[#This Row],[Quantity]],"")</f>
        <v>9</v>
      </c>
    </row>
    <row r="115" spans="1:24" x14ac:dyDescent="0.25">
      <c r="A115">
        <v>10114</v>
      </c>
      <c r="B115" s="1">
        <v>45771</v>
      </c>
      <c r="C115" s="1" t="str">
        <f>TEXT(Table1[[#This Row],[Order_Date]],"DD")</f>
        <v>24</v>
      </c>
      <c r="D115" s="1" t="str">
        <f>TEXT(Table1[[#This Row],[Order_Date]],"MMM")</f>
        <v>Apr</v>
      </c>
      <c r="E115" s="1" t="str">
        <f>TEXT(Table1[[#This Row],[Order_Date]],"YYYY")</f>
        <v>2025</v>
      </c>
      <c r="F115">
        <v>3107</v>
      </c>
      <c r="G115" t="s">
        <v>17</v>
      </c>
      <c r="H115" t="s">
        <v>24</v>
      </c>
      <c r="I115" t="s">
        <v>19</v>
      </c>
      <c r="J115" t="s">
        <v>27</v>
      </c>
      <c r="K115">
        <v>2</v>
      </c>
      <c r="L115" s="2">
        <v>127.73</v>
      </c>
      <c r="M115" s="3">
        <v>0.15</v>
      </c>
      <c r="N115" s="2">
        <v>255.46</v>
      </c>
      <c r="O115" s="2">
        <v>38.319000000000003</v>
      </c>
      <c r="P115" s="2">
        <v>217.14099999999999</v>
      </c>
      <c r="Q115" s="2">
        <v>136.1</v>
      </c>
      <c r="R115" s="2">
        <v>272.2</v>
      </c>
      <c r="S115" s="2">
        <v>-55.058999999999898</v>
      </c>
      <c r="T115" s="3">
        <v>-0.25356335284446396</v>
      </c>
      <c r="U115" s="2" t="str">
        <f>IF(Table1[[#This Row],[Net_Revenue]]&lt;Table1[[#This Row],[Total_Cost]], "Loss", "Gain")</f>
        <v>Loss</v>
      </c>
      <c r="V115" s="16">
        <f>IF(Table1[[#This Row],[Gain/Loss]]="Gain",Table1[[#This Row],[Quantity]], 0)</f>
        <v>0</v>
      </c>
      <c r="W115" s="16">
        <f>IF(Table1[[#This Row],[Gain/Loss]]="Loss",Table1[[#This Row],[Quantity]],0)</f>
        <v>2</v>
      </c>
      <c r="X115" s="16">
        <f>IF(OR(Table1[[#This Row],[Gain/Loss]]="Gain",Table1[[#This Row],[Gain/Loss]]="Loss"),Table1[[#This Row],[Quantity]],"")</f>
        <v>2</v>
      </c>
    </row>
    <row r="116" spans="1:24" x14ac:dyDescent="0.25">
      <c r="A116">
        <v>10115</v>
      </c>
      <c r="B116" s="1">
        <v>45772</v>
      </c>
      <c r="C116" s="1" t="str">
        <f>TEXT(Table1[[#This Row],[Order_Date]],"DD")</f>
        <v>25</v>
      </c>
      <c r="D116" s="1" t="str">
        <f>TEXT(Table1[[#This Row],[Order_Date]],"MMM")</f>
        <v>Apr</v>
      </c>
      <c r="E116" s="1" t="str">
        <f>TEXT(Table1[[#This Row],[Order_Date]],"YYYY")</f>
        <v>2025</v>
      </c>
      <c r="F116">
        <v>3745</v>
      </c>
      <c r="G116" t="s">
        <v>21</v>
      </c>
      <c r="H116" t="s">
        <v>24</v>
      </c>
      <c r="I116" t="s">
        <v>26</v>
      </c>
      <c r="J116" t="s">
        <v>31</v>
      </c>
      <c r="K116">
        <v>7</v>
      </c>
      <c r="L116" s="2">
        <v>161.69999999999999</v>
      </c>
      <c r="M116" s="3">
        <v>0.1</v>
      </c>
      <c r="N116" s="2">
        <v>1131.8999999999901</v>
      </c>
      <c r="O116" s="2">
        <v>113.19</v>
      </c>
      <c r="P116" s="2">
        <v>1018.70999999999</v>
      </c>
      <c r="Q116" s="2">
        <v>85.4</v>
      </c>
      <c r="R116" s="2">
        <v>597.79999999999995</v>
      </c>
      <c r="S116" s="2">
        <v>420.909999999999</v>
      </c>
      <c r="T116" s="3">
        <v>0.41317941317941298</v>
      </c>
      <c r="U116" s="2" t="str">
        <f>IF(Table1[[#This Row],[Net_Revenue]]&lt;Table1[[#This Row],[Total_Cost]], "Loss", "Gain")</f>
        <v>Gain</v>
      </c>
      <c r="V116" s="16">
        <f>IF(Table1[[#This Row],[Gain/Loss]]="Gain",Table1[[#This Row],[Quantity]], 0)</f>
        <v>7</v>
      </c>
      <c r="W116" s="16">
        <f>IF(Table1[[#This Row],[Gain/Loss]]="Loss",Table1[[#This Row],[Quantity]],0)</f>
        <v>0</v>
      </c>
      <c r="X116" s="16">
        <f>IF(OR(Table1[[#This Row],[Gain/Loss]]="Gain",Table1[[#This Row],[Gain/Loss]]="Loss"),Table1[[#This Row],[Quantity]],"")</f>
        <v>7</v>
      </c>
    </row>
    <row r="117" spans="1:24" x14ac:dyDescent="0.25">
      <c r="A117">
        <v>10116</v>
      </c>
      <c r="B117" s="1">
        <v>45773</v>
      </c>
      <c r="C117" s="1" t="str">
        <f>TEXT(Table1[[#This Row],[Order_Date]],"DD")</f>
        <v>26</v>
      </c>
      <c r="D117" s="1" t="str">
        <f>TEXT(Table1[[#This Row],[Order_Date]],"MMM")</f>
        <v>Apr</v>
      </c>
      <c r="E117" s="1" t="str">
        <f>TEXT(Table1[[#This Row],[Order_Date]],"YYYY")</f>
        <v>2025</v>
      </c>
      <c r="F117">
        <v>3393</v>
      </c>
      <c r="G117" t="s">
        <v>17</v>
      </c>
      <c r="H117" t="s">
        <v>24</v>
      </c>
      <c r="I117" t="s">
        <v>25</v>
      </c>
      <c r="J117" t="s">
        <v>22</v>
      </c>
      <c r="K117">
        <v>2</v>
      </c>
      <c r="L117" s="2">
        <v>125.96</v>
      </c>
      <c r="M117" s="3">
        <v>0.2</v>
      </c>
      <c r="N117" s="2">
        <v>251.92</v>
      </c>
      <c r="O117" s="2">
        <v>50.384</v>
      </c>
      <c r="P117" s="2">
        <v>201.536</v>
      </c>
      <c r="Q117" s="2">
        <v>55.63</v>
      </c>
      <c r="R117" s="2">
        <v>111.26</v>
      </c>
      <c r="S117" s="2">
        <v>90.275999999999996</v>
      </c>
      <c r="T117" s="3">
        <v>0.447939822165766</v>
      </c>
      <c r="U117" s="2" t="str">
        <f>IF(Table1[[#This Row],[Net_Revenue]]&lt;Table1[[#This Row],[Total_Cost]], "Loss", "Gain")</f>
        <v>Gain</v>
      </c>
      <c r="V117" s="16">
        <f>IF(Table1[[#This Row],[Gain/Loss]]="Gain",Table1[[#This Row],[Quantity]], 0)</f>
        <v>2</v>
      </c>
      <c r="W117" s="16">
        <f>IF(Table1[[#This Row],[Gain/Loss]]="Loss",Table1[[#This Row],[Quantity]],0)</f>
        <v>0</v>
      </c>
      <c r="X117" s="16">
        <f>IF(OR(Table1[[#This Row],[Gain/Loss]]="Gain",Table1[[#This Row],[Gain/Loss]]="Loss"),Table1[[#This Row],[Quantity]],"")</f>
        <v>2</v>
      </c>
    </row>
    <row r="118" spans="1:24" x14ac:dyDescent="0.25">
      <c r="A118">
        <v>10117</v>
      </c>
      <c r="B118" s="1">
        <v>45774</v>
      </c>
      <c r="C118" s="1" t="str">
        <f>TEXT(Table1[[#This Row],[Order_Date]],"DD")</f>
        <v>27</v>
      </c>
      <c r="D118" s="1" t="str">
        <f>TEXT(Table1[[#This Row],[Order_Date]],"MMM")</f>
        <v>Apr</v>
      </c>
      <c r="E118" s="1" t="str">
        <f>TEXT(Table1[[#This Row],[Order_Date]],"YYYY")</f>
        <v>2025</v>
      </c>
      <c r="F118">
        <v>3844</v>
      </c>
      <c r="G118" t="s">
        <v>29</v>
      </c>
      <c r="H118" t="s">
        <v>24</v>
      </c>
      <c r="I118" t="s">
        <v>26</v>
      </c>
      <c r="J118" t="s">
        <v>30</v>
      </c>
      <c r="K118">
        <v>1</v>
      </c>
      <c r="L118" s="2">
        <v>95.44</v>
      </c>
      <c r="M118" s="3">
        <v>0.1</v>
      </c>
      <c r="N118" s="2">
        <v>95.44</v>
      </c>
      <c r="O118" s="2">
        <v>9.5440000000000005</v>
      </c>
      <c r="P118" s="2">
        <v>85.896000000000001</v>
      </c>
      <c r="Q118" s="2">
        <v>128.13</v>
      </c>
      <c r="R118" s="2">
        <v>128.13</v>
      </c>
      <c r="S118" s="2">
        <v>-42.233999999999902</v>
      </c>
      <c r="T118" s="3">
        <v>-0.491687622240849</v>
      </c>
      <c r="U118" s="2" t="str">
        <f>IF(Table1[[#This Row],[Net_Revenue]]&lt;Table1[[#This Row],[Total_Cost]], "Loss", "Gain")</f>
        <v>Loss</v>
      </c>
      <c r="V118" s="16">
        <f>IF(Table1[[#This Row],[Gain/Loss]]="Gain",Table1[[#This Row],[Quantity]], 0)</f>
        <v>0</v>
      </c>
      <c r="W118" s="16">
        <f>IF(Table1[[#This Row],[Gain/Loss]]="Loss",Table1[[#This Row],[Quantity]],0)</f>
        <v>1</v>
      </c>
      <c r="X118" s="16">
        <f>IF(OR(Table1[[#This Row],[Gain/Loss]]="Gain",Table1[[#This Row],[Gain/Loss]]="Loss"),Table1[[#This Row],[Quantity]],"")</f>
        <v>1</v>
      </c>
    </row>
    <row r="119" spans="1:24" x14ac:dyDescent="0.25">
      <c r="A119">
        <v>10118</v>
      </c>
      <c r="B119" s="1">
        <v>45775</v>
      </c>
      <c r="C119" s="1" t="str">
        <f>TEXT(Table1[[#This Row],[Order_Date]],"DD")</f>
        <v>28</v>
      </c>
      <c r="D119" s="1" t="str">
        <f>TEXT(Table1[[#This Row],[Order_Date]],"MMM")</f>
        <v>Apr</v>
      </c>
      <c r="E119" s="1" t="str">
        <f>TEXT(Table1[[#This Row],[Order_Date]],"YYYY")</f>
        <v>2025</v>
      </c>
      <c r="F119">
        <v>3835</v>
      </c>
      <c r="G119" t="s">
        <v>23</v>
      </c>
      <c r="H119" t="s">
        <v>24</v>
      </c>
      <c r="I119" t="s">
        <v>26</v>
      </c>
      <c r="J119" t="s">
        <v>30</v>
      </c>
      <c r="K119">
        <v>6</v>
      </c>
      <c r="L119" s="2">
        <v>239.43</v>
      </c>
      <c r="M119" s="3">
        <v>0.15</v>
      </c>
      <c r="N119" s="2">
        <v>1436.58</v>
      </c>
      <c r="O119" s="2">
        <v>215.48699999999999</v>
      </c>
      <c r="P119" s="2">
        <v>1221.0929999999901</v>
      </c>
      <c r="Q119" s="2">
        <v>53.92</v>
      </c>
      <c r="R119" s="2">
        <v>323.52</v>
      </c>
      <c r="S119" s="2">
        <v>897.57299999999896</v>
      </c>
      <c r="T119" s="3">
        <v>0.73505703496785202</v>
      </c>
      <c r="U119" s="2" t="str">
        <f>IF(Table1[[#This Row],[Net_Revenue]]&lt;Table1[[#This Row],[Total_Cost]], "Loss", "Gain")</f>
        <v>Gain</v>
      </c>
      <c r="V119" s="16">
        <f>IF(Table1[[#This Row],[Gain/Loss]]="Gain",Table1[[#This Row],[Quantity]], 0)</f>
        <v>6</v>
      </c>
      <c r="W119" s="16">
        <f>IF(Table1[[#This Row],[Gain/Loss]]="Loss",Table1[[#This Row],[Quantity]],0)</f>
        <v>0</v>
      </c>
      <c r="X119" s="16">
        <f>IF(OR(Table1[[#This Row],[Gain/Loss]]="Gain",Table1[[#This Row],[Gain/Loss]]="Loss"),Table1[[#This Row],[Quantity]],"")</f>
        <v>6</v>
      </c>
    </row>
    <row r="120" spans="1:24" x14ac:dyDescent="0.25">
      <c r="A120">
        <v>10119</v>
      </c>
      <c r="B120" s="1">
        <v>45776</v>
      </c>
      <c r="C120" s="1" t="str">
        <f>TEXT(Table1[[#This Row],[Order_Date]],"DD")</f>
        <v>29</v>
      </c>
      <c r="D120" s="1" t="str">
        <f>TEXT(Table1[[#This Row],[Order_Date]],"MMM")</f>
        <v>Apr</v>
      </c>
      <c r="E120" s="1" t="str">
        <f>TEXT(Table1[[#This Row],[Order_Date]],"YYYY")</f>
        <v>2025</v>
      </c>
      <c r="F120">
        <v>3622</v>
      </c>
      <c r="G120" t="s">
        <v>21</v>
      </c>
      <c r="H120" t="s">
        <v>18</v>
      </c>
      <c r="I120" t="s">
        <v>26</v>
      </c>
      <c r="J120" t="s">
        <v>31</v>
      </c>
      <c r="K120">
        <v>7</v>
      </c>
      <c r="L120" s="2">
        <v>202.86</v>
      </c>
      <c r="M120" s="3">
        <v>0.1</v>
      </c>
      <c r="N120" s="2">
        <v>1420.02</v>
      </c>
      <c r="O120" s="2">
        <v>142.00200000000001</v>
      </c>
      <c r="P120" s="2">
        <v>1278.018</v>
      </c>
      <c r="Q120" s="2">
        <v>119.35</v>
      </c>
      <c r="R120" s="2">
        <v>835.44999999999902</v>
      </c>
      <c r="S120" s="2">
        <v>442.56799999999998</v>
      </c>
      <c r="T120" s="3">
        <v>0.34629246223449101</v>
      </c>
      <c r="U120" s="2" t="str">
        <f>IF(Table1[[#This Row],[Net_Revenue]]&lt;Table1[[#This Row],[Total_Cost]], "Loss", "Gain")</f>
        <v>Gain</v>
      </c>
      <c r="V120" s="16">
        <f>IF(Table1[[#This Row],[Gain/Loss]]="Gain",Table1[[#This Row],[Quantity]], 0)</f>
        <v>7</v>
      </c>
      <c r="W120" s="16">
        <f>IF(Table1[[#This Row],[Gain/Loss]]="Loss",Table1[[#This Row],[Quantity]],0)</f>
        <v>0</v>
      </c>
      <c r="X120" s="16">
        <f>IF(OR(Table1[[#This Row],[Gain/Loss]]="Gain",Table1[[#This Row],[Gain/Loss]]="Loss"),Table1[[#This Row],[Quantity]],"")</f>
        <v>7</v>
      </c>
    </row>
    <row r="121" spans="1:24" x14ac:dyDescent="0.25">
      <c r="A121">
        <v>10120</v>
      </c>
      <c r="B121" s="1">
        <v>45777</v>
      </c>
      <c r="C121" s="1" t="str">
        <f>TEXT(Table1[[#This Row],[Order_Date]],"DD")</f>
        <v>30</v>
      </c>
      <c r="D121" s="1" t="str">
        <f>TEXT(Table1[[#This Row],[Order_Date]],"MMM")</f>
        <v>Apr</v>
      </c>
      <c r="E121" s="1" t="str">
        <f>TEXT(Table1[[#This Row],[Order_Date]],"YYYY")</f>
        <v>2025</v>
      </c>
      <c r="F121">
        <v>3654</v>
      </c>
      <c r="G121" t="s">
        <v>21</v>
      </c>
      <c r="H121" t="s">
        <v>18</v>
      </c>
      <c r="I121" t="s">
        <v>25</v>
      </c>
      <c r="J121" t="s">
        <v>22</v>
      </c>
      <c r="K121">
        <v>3</v>
      </c>
      <c r="L121" s="2">
        <v>55.81</v>
      </c>
      <c r="M121" s="3">
        <v>0.15</v>
      </c>
      <c r="N121" s="2">
        <v>167.43</v>
      </c>
      <c r="O121" s="2">
        <v>25.1145</v>
      </c>
      <c r="P121" s="2">
        <v>142.31549999999999</v>
      </c>
      <c r="Q121" s="2">
        <v>81.95</v>
      </c>
      <c r="R121" s="2">
        <v>245.85</v>
      </c>
      <c r="S121" s="2">
        <v>-103.53449999999999</v>
      </c>
      <c r="T121" s="3">
        <v>-0.72749981555066001</v>
      </c>
      <c r="U121" s="2" t="str">
        <f>IF(Table1[[#This Row],[Net_Revenue]]&lt;Table1[[#This Row],[Total_Cost]], "Loss", "Gain")</f>
        <v>Loss</v>
      </c>
      <c r="V121" s="16">
        <f>IF(Table1[[#This Row],[Gain/Loss]]="Gain",Table1[[#This Row],[Quantity]], 0)</f>
        <v>0</v>
      </c>
      <c r="W121" s="16">
        <f>IF(Table1[[#This Row],[Gain/Loss]]="Loss",Table1[[#This Row],[Quantity]],0)</f>
        <v>3</v>
      </c>
      <c r="X121" s="16">
        <f>IF(OR(Table1[[#This Row],[Gain/Loss]]="Gain",Table1[[#This Row],[Gain/Loss]]="Loss"),Table1[[#This Row],[Quantity]],"")</f>
        <v>3</v>
      </c>
    </row>
    <row r="122" spans="1:24" x14ac:dyDescent="0.25">
      <c r="A122">
        <v>10121</v>
      </c>
      <c r="B122" s="1">
        <v>45778</v>
      </c>
      <c r="C122" s="1" t="str">
        <f>TEXT(Table1[[#This Row],[Order_Date]],"DD")</f>
        <v>01</v>
      </c>
      <c r="D122" s="1" t="str">
        <f>TEXT(Table1[[#This Row],[Order_Date]],"MMM")</f>
        <v>May</v>
      </c>
      <c r="E122" s="1" t="str">
        <f>TEXT(Table1[[#This Row],[Order_Date]],"YYYY")</f>
        <v>2025</v>
      </c>
      <c r="F122">
        <v>3636</v>
      </c>
      <c r="G122" t="s">
        <v>23</v>
      </c>
      <c r="H122" t="s">
        <v>24</v>
      </c>
      <c r="I122" t="s">
        <v>25</v>
      </c>
      <c r="J122" t="s">
        <v>22</v>
      </c>
      <c r="K122">
        <v>3</v>
      </c>
      <c r="L122" s="2">
        <v>198.38</v>
      </c>
      <c r="M122" s="3">
        <v>0</v>
      </c>
      <c r="N122" s="2">
        <v>595.14</v>
      </c>
      <c r="O122" s="2">
        <v>0</v>
      </c>
      <c r="P122" s="2">
        <v>595.14</v>
      </c>
      <c r="Q122" s="2">
        <v>51.92</v>
      </c>
      <c r="R122" s="2">
        <v>155.76</v>
      </c>
      <c r="S122" s="2">
        <v>439.38</v>
      </c>
      <c r="T122" s="3">
        <v>0.73828006855529793</v>
      </c>
      <c r="U122" s="2" t="str">
        <f>IF(Table1[[#This Row],[Net_Revenue]]&lt;Table1[[#This Row],[Total_Cost]], "Loss", "Gain")</f>
        <v>Gain</v>
      </c>
      <c r="V122" s="16">
        <f>IF(Table1[[#This Row],[Gain/Loss]]="Gain",Table1[[#This Row],[Quantity]], 0)</f>
        <v>3</v>
      </c>
      <c r="W122" s="16">
        <f>IF(Table1[[#This Row],[Gain/Loss]]="Loss",Table1[[#This Row],[Quantity]],0)</f>
        <v>0</v>
      </c>
      <c r="X122" s="16">
        <f>IF(OR(Table1[[#This Row],[Gain/Loss]]="Gain",Table1[[#This Row],[Gain/Loss]]="Loss"),Table1[[#This Row],[Quantity]],"")</f>
        <v>3</v>
      </c>
    </row>
    <row r="123" spans="1:24" x14ac:dyDescent="0.25">
      <c r="A123">
        <v>10122</v>
      </c>
      <c r="B123" s="1">
        <v>45779</v>
      </c>
      <c r="C123" s="1" t="str">
        <f>TEXT(Table1[[#This Row],[Order_Date]],"DD")</f>
        <v>02</v>
      </c>
      <c r="D123" s="1" t="str">
        <f>TEXT(Table1[[#This Row],[Order_Date]],"MMM")</f>
        <v>May</v>
      </c>
      <c r="E123" s="1" t="str">
        <f>TEXT(Table1[[#This Row],[Order_Date]],"YYYY")</f>
        <v>2025</v>
      </c>
      <c r="F123">
        <v>3276</v>
      </c>
      <c r="G123" t="s">
        <v>29</v>
      </c>
      <c r="H123" t="s">
        <v>24</v>
      </c>
      <c r="I123" t="s">
        <v>26</v>
      </c>
      <c r="J123" t="s">
        <v>28</v>
      </c>
      <c r="K123">
        <v>7</v>
      </c>
      <c r="L123" s="2">
        <v>102.6</v>
      </c>
      <c r="M123" s="3">
        <v>0.1</v>
      </c>
      <c r="N123" s="2">
        <v>718.19999999999902</v>
      </c>
      <c r="O123" s="2">
        <v>71.819999999999993</v>
      </c>
      <c r="P123" s="2">
        <v>646.37999999999897</v>
      </c>
      <c r="Q123" s="2">
        <v>74.05</v>
      </c>
      <c r="R123" s="2">
        <v>518.35</v>
      </c>
      <c r="S123" s="2">
        <v>128.02999999999901</v>
      </c>
      <c r="T123" s="3">
        <v>0.19807234134719401</v>
      </c>
      <c r="U123" s="2" t="str">
        <f>IF(Table1[[#This Row],[Net_Revenue]]&lt;Table1[[#This Row],[Total_Cost]], "Loss", "Gain")</f>
        <v>Gain</v>
      </c>
      <c r="V123" s="16">
        <f>IF(Table1[[#This Row],[Gain/Loss]]="Gain",Table1[[#This Row],[Quantity]], 0)</f>
        <v>7</v>
      </c>
      <c r="W123" s="16">
        <f>IF(Table1[[#This Row],[Gain/Loss]]="Loss",Table1[[#This Row],[Quantity]],0)</f>
        <v>0</v>
      </c>
      <c r="X123" s="16">
        <f>IF(OR(Table1[[#This Row],[Gain/Loss]]="Gain",Table1[[#This Row],[Gain/Loss]]="Loss"),Table1[[#This Row],[Quantity]],"")</f>
        <v>7</v>
      </c>
    </row>
    <row r="124" spans="1:24" x14ac:dyDescent="0.25">
      <c r="A124">
        <v>10123</v>
      </c>
      <c r="B124" s="1">
        <v>45780</v>
      </c>
      <c r="C124" s="1" t="str">
        <f>TEXT(Table1[[#This Row],[Order_Date]],"DD")</f>
        <v>03</v>
      </c>
      <c r="D124" s="1" t="str">
        <f>TEXT(Table1[[#This Row],[Order_Date]],"MMM")</f>
        <v>May</v>
      </c>
      <c r="E124" s="1" t="str">
        <f>TEXT(Table1[[#This Row],[Order_Date]],"YYYY")</f>
        <v>2025</v>
      </c>
      <c r="F124">
        <v>3309</v>
      </c>
      <c r="G124" t="s">
        <v>17</v>
      </c>
      <c r="H124" t="s">
        <v>24</v>
      </c>
      <c r="I124" t="s">
        <v>26</v>
      </c>
      <c r="J124" t="s">
        <v>28</v>
      </c>
      <c r="K124">
        <v>8</v>
      </c>
      <c r="L124" s="2">
        <v>22.64</v>
      </c>
      <c r="M124" s="3">
        <v>0</v>
      </c>
      <c r="N124" s="2">
        <v>181.12</v>
      </c>
      <c r="O124" s="2">
        <v>0</v>
      </c>
      <c r="P124" s="2">
        <v>181.12</v>
      </c>
      <c r="Q124" s="2">
        <v>136.38</v>
      </c>
      <c r="R124" s="2">
        <v>1091.04</v>
      </c>
      <c r="S124" s="2">
        <v>-909.92</v>
      </c>
      <c r="T124" s="3">
        <v>-5.0238515901060001</v>
      </c>
      <c r="U124" s="2" t="str">
        <f>IF(Table1[[#This Row],[Net_Revenue]]&lt;Table1[[#This Row],[Total_Cost]], "Loss", "Gain")</f>
        <v>Loss</v>
      </c>
      <c r="V124" s="16">
        <f>IF(Table1[[#This Row],[Gain/Loss]]="Gain",Table1[[#This Row],[Quantity]], 0)</f>
        <v>0</v>
      </c>
      <c r="W124" s="16">
        <f>IF(Table1[[#This Row],[Gain/Loss]]="Loss",Table1[[#This Row],[Quantity]],0)</f>
        <v>8</v>
      </c>
      <c r="X124" s="16">
        <f>IF(OR(Table1[[#This Row],[Gain/Loss]]="Gain",Table1[[#This Row],[Gain/Loss]]="Loss"),Table1[[#This Row],[Quantity]],"")</f>
        <v>8</v>
      </c>
    </row>
    <row r="125" spans="1:24" x14ac:dyDescent="0.25">
      <c r="A125">
        <v>10124</v>
      </c>
      <c r="B125" s="1">
        <v>45781</v>
      </c>
      <c r="C125" s="1" t="str">
        <f>TEXT(Table1[[#This Row],[Order_Date]],"DD")</f>
        <v>04</v>
      </c>
      <c r="D125" s="1" t="str">
        <f>TEXT(Table1[[#This Row],[Order_Date]],"MMM")</f>
        <v>May</v>
      </c>
      <c r="E125" s="1" t="str">
        <f>TEXT(Table1[[#This Row],[Order_Date]],"YYYY")</f>
        <v>2025</v>
      </c>
      <c r="F125">
        <v>3911</v>
      </c>
      <c r="G125" t="s">
        <v>29</v>
      </c>
      <c r="H125" t="s">
        <v>18</v>
      </c>
      <c r="I125" t="s">
        <v>26</v>
      </c>
      <c r="J125" t="s">
        <v>28</v>
      </c>
      <c r="K125">
        <v>8</v>
      </c>
      <c r="L125" s="2">
        <v>102.57</v>
      </c>
      <c r="M125" s="3">
        <v>0.1</v>
      </c>
      <c r="N125" s="2">
        <v>820.56</v>
      </c>
      <c r="O125" s="2">
        <v>82.055999999999997</v>
      </c>
      <c r="P125" s="2">
        <v>738.503999999999</v>
      </c>
      <c r="Q125" s="2">
        <v>48.12</v>
      </c>
      <c r="R125" s="2">
        <v>384.96</v>
      </c>
      <c r="S125" s="2">
        <v>353.54399999999902</v>
      </c>
      <c r="T125" s="3">
        <v>0.47872997302655002</v>
      </c>
      <c r="U125" s="2" t="str">
        <f>IF(Table1[[#This Row],[Net_Revenue]]&lt;Table1[[#This Row],[Total_Cost]], "Loss", "Gain")</f>
        <v>Gain</v>
      </c>
      <c r="V125" s="16">
        <f>IF(Table1[[#This Row],[Gain/Loss]]="Gain",Table1[[#This Row],[Quantity]], 0)</f>
        <v>8</v>
      </c>
      <c r="W125" s="16">
        <f>IF(Table1[[#This Row],[Gain/Loss]]="Loss",Table1[[#This Row],[Quantity]],0)</f>
        <v>0</v>
      </c>
      <c r="X125" s="16">
        <f>IF(OR(Table1[[#This Row],[Gain/Loss]]="Gain",Table1[[#This Row],[Gain/Loss]]="Loss"),Table1[[#This Row],[Quantity]],"")</f>
        <v>8</v>
      </c>
    </row>
    <row r="126" spans="1:24" x14ac:dyDescent="0.25">
      <c r="A126">
        <v>10125</v>
      </c>
      <c r="B126" s="1">
        <v>45782</v>
      </c>
      <c r="C126" s="1" t="str">
        <f>TEXT(Table1[[#This Row],[Order_Date]],"DD")</f>
        <v>05</v>
      </c>
      <c r="D126" s="1" t="str">
        <f>TEXT(Table1[[#This Row],[Order_Date]],"MMM")</f>
        <v>May</v>
      </c>
      <c r="E126" s="1" t="str">
        <f>TEXT(Table1[[#This Row],[Order_Date]],"YYYY")</f>
        <v>2025</v>
      </c>
      <c r="F126">
        <v>3827</v>
      </c>
      <c r="G126" t="s">
        <v>23</v>
      </c>
      <c r="H126" t="s">
        <v>24</v>
      </c>
      <c r="I126" t="s">
        <v>26</v>
      </c>
      <c r="J126" t="s">
        <v>31</v>
      </c>
      <c r="K126">
        <v>6</v>
      </c>
      <c r="L126" s="2">
        <v>50.12</v>
      </c>
      <c r="M126" s="3">
        <v>0.15</v>
      </c>
      <c r="N126" s="2">
        <v>300.719999999999</v>
      </c>
      <c r="O126" s="2">
        <v>45.107999999999997</v>
      </c>
      <c r="P126" s="2">
        <v>255.611999999999</v>
      </c>
      <c r="Q126" s="2">
        <v>17.52</v>
      </c>
      <c r="R126" s="2">
        <v>105.12</v>
      </c>
      <c r="S126" s="2">
        <v>150.491999999999</v>
      </c>
      <c r="T126" s="3">
        <v>0.58875170179803704</v>
      </c>
      <c r="U126" s="2" t="str">
        <f>IF(Table1[[#This Row],[Net_Revenue]]&lt;Table1[[#This Row],[Total_Cost]], "Loss", "Gain")</f>
        <v>Gain</v>
      </c>
      <c r="V126" s="16">
        <f>IF(Table1[[#This Row],[Gain/Loss]]="Gain",Table1[[#This Row],[Quantity]], 0)</f>
        <v>6</v>
      </c>
      <c r="W126" s="16">
        <f>IF(Table1[[#This Row],[Gain/Loss]]="Loss",Table1[[#This Row],[Quantity]],0)</f>
        <v>0</v>
      </c>
      <c r="X126" s="16">
        <f>IF(OR(Table1[[#This Row],[Gain/Loss]]="Gain",Table1[[#This Row],[Gain/Loss]]="Loss"),Table1[[#This Row],[Quantity]],"")</f>
        <v>6</v>
      </c>
    </row>
    <row r="127" spans="1:24" x14ac:dyDescent="0.25">
      <c r="A127">
        <v>10126</v>
      </c>
      <c r="B127" s="1">
        <v>45783</v>
      </c>
      <c r="C127" s="1" t="str">
        <f>TEXT(Table1[[#This Row],[Order_Date]],"DD")</f>
        <v>06</v>
      </c>
      <c r="D127" s="1" t="str">
        <f>TEXT(Table1[[#This Row],[Order_Date]],"MMM")</f>
        <v>May</v>
      </c>
      <c r="E127" s="1" t="str">
        <f>TEXT(Table1[[#This Row],[Order_Date]],"YYYY")</f>
        <v>2025</v>
      </c>
      <c r="F127">
        <v>3035</v>
      </c>
      <c r="G127" t="s">
        <v>23</v>
      </c>
      <c r="H127" t="s">
        <v>24</v>
      </c>
      <c r="I127" t="s">
        <v>25</v>
      </c>
      <c r="J127" t="s">
        <v>32</v>
      </c>
      <c r="K127">
        <v>8</v>
      </c>
      <c r="L127" s="2">
        <v>185.61</v>
      </c>
      <c r="M127" s="3">
        <v>0.2</v>
      </c>
      <c r="N127" s="2">
        <v>1484.88</v>
      </c>
      <c r="O127" s="2">
        <v>296.976</v>
      </c>
      <c r="P127" s="2">
        <v>1187.904</v>
      </c>
      <c r="Q127" s="2">
        <v>136.06</v>
      </c>
      <c r="R127" s="2">
        <v>1088.48</v>
      </c>
      <c r="S127" s="2">
        <v>99.423999999999893</v>
      </c>
      <c r="T127" s="3">
        <v>8.3696999084100998E-2</v>
      </c>
      <c r="U127" s="2" t="str">
        <f>IF(Table1[[#This Row],[Net_Revenue]]&lt;Table1[[#This Row],[Total_Cost]], "Loss", "Gain")</f>
        <v>Gain</v>
      </c>
      <c r="V127" s="16">
        <f>IF(Table1[[#This Row],[Gain/Loss]]="Gain",Table1[[#This Row],[Quantity]], 0)</f>
        <v>8</v>
      </c>
      <c r="W127" s="16">
        <f>IF(Table1[[#This Row],[Gain/Loss]]="Loss",Table1[[#This Row],[Quantity]],0)</f>
        <v>0</v>
      </c>
      <c r="X127" s="16">
        <f>IF(OR(Table1[[#This Row],[Gain/Loss]]="Gain",Table1[[#This Row],[Gain/Loss]]="Loss"),Table1[[#This Row],[Quantity]],"")</f>
        <v>8</v>
      </c>
    </row>
    <row r="128" spans="1:24" x14ac:dyDescent="0.25">
      <c r="A128">
        <v>10127</v>
      </c>
      <c r="B128" s="1">
        <v>45784</v>
      </c>
      <c r="C128" s="1" t="str">
        <f>TEXT(Table1[[#This Row],[Order_Date]],"DD")</f>
        <v>07</v>
      </c>
      <c r="D128" s="1" t="str">
        <f>TEXT(Table1[[#This Row],[Order_Date]],"MMM")</f>
        <v>May</v>
      </c>
      <c r="E128" s="1" t="str">
        <f>TEXT(Table1[[#This Row],[Order_Date]],"YYYY")</f>
        <v>2025</v>
      </c>
      <c r="F128">
        <v>3816</v>
      </c>
      <c r="G128" t="s">
        <v>23</v>
      </c>
      <c r="H128" t="s">
        <v>18</v>
      </c>
      <c r="I128" t="s">
        <v>25</v>
      </c>
      <c r="J128" t="s">
        <v>32</v>
      </c>
      <c r="K128">
        <v>3</v>
      </c>
      <c r="L128" s="2">
        <v>108.15</v>
      </c>
      <c r="M128" s="3">
        <v>0.05</v>
      </c>
      <c r="N128" s="2">
        <v>324.45</v>
      </c>
      <c r="O128" s="2">
        <v>16.2225</v>
      </c>
      <c r="P128" s="2">
        <v>308.22750000000002</v>
      </c>
      <c r="Q128" s="2">
        <v>22.11</v>
      </c>
      <c r="R128" s="2">
        <v>66.33</v>
      </c>
      <c r="S128" s="2">
        <v>241.89750000000001</v>
      </c>
      <c r="T128" s="3">
        <v>0.78480181035111996</v>
      </c>
      <c r="U128" s="2" t="str">
        <f>IF(Table1[[#This Row],[Net_Revenue]]&lt;Table1[[#This Row],[Total_Cost]], "Loss", "Gain")</f>
        <v>Gain</v>
      </c>
      <c r="V128" s="16">
        <f>IF(Table1[[#This Row],[Gain/Loss]]="Gain",Table1[[#This Row],[Quantity]], 0)</f>
        <v>3</v>
      </c>
      <c r="W128" s="16">
        <f>IF(Table1[[#This Row],[Gain/Loss]]="Loss",Table1[[#This Row],[Quantity]],0)</f>
        <v>0</v>
      </c>
      <c r="X128" s="16">
        <f>IF(OR(Table1[[#This Row],[Gain/Loss]]="Gain",Table1[[#This Row],[Gain/Loss]]="Loss"),Table1[[#This Row],[Quantity]],"")</f>
        <v>3</v>
      </c>
    </row>
    <row r="129" spans="1:24" x14ac:dyDescent="0.25">
      <c r="A129">
        <v>10128</v>
      </c>
      <c r="B129" s="1">
        <v>45785</v>
      </c>
      <c r="C129" s="1" t="str">
        <f>TEXT(Table1[[#This Row],[Order_Date]],"DD")</f>
        <v>08</v>
      </c>
      <c r="D129" s="1" t="str">
        <f>TEXT(Table1[[#This Row],[Order_Date]],"MMM")</f>
        <v>May</v>
      </c>
      <c r="E129" s="1" t="str">
        <f>TEXT(Table1[[#This Row],[Order_Date]],"YYYY")</f>
        <v>2025</v>
      </c>
      <c r="F129">
        <v>3260</v>
      </c>
      <c r="G129" t="s">
        <v>21</v>
      </c>
      <c r="H129" t="s">
        <v>24</v>
      </c>
      <c r="I129" t="s">
        <v>33</v>
      </c>
      <c r="J129" t="s">
        <v>20</v>
      </c>
      <c r="K129">
        <v>9</v>
      </c>
      <c r="L129" s="2">
        <v>201.38</v>
      </c>
      <c r="M129" s="3">
        <v>0.05</v>
      </c>
      <c r="N129" s="2">
        <v>1812.42</v>
      </c>
      <c r="O129" s="2">
        <v>90.620999999999995</v>
      </c>
      <c r="P129" s="2">
        <v>1721.799</v>
      </c>
      <c r="Q129" s="2">
        <v>38.479999999999997</v>
      </c>
      <c r="R129" s="2">
        <v>346.32</v>
      </c>
      <c r="S129" s="2">
        <v>1375.479</v>
      </c>
      <c r="T129" s="3">
        <v>0.79886153958737294</v>
      </c>
      <c r="U129" s="2" t="str">
        <f>IF(Table1[[#This Row],[Net_Revenue]]&lt;Table1[[#This Row],[Total_Cost]], "Loss", "Gain")</f>
        <v>Gain</v>
      </c>
      <c r="V129" s="16">
        <f>IF(Table1[[#This Row],[Gain/Loss]]="Gain",Table1[[#This Row],[Quantity]], 0)</f>
        <v>9</v>
      </c>
      <c r="W129" s="16">
        <f>IF(Table1[[#This Row],[Gain/Loss]]="Loss",Table1[[#This Row],[Quantity]],0)</f>
        <v>0</v>
      </c>
      <c r="X129" s="16">
        <f>IF(OR(Table1[[#This Row],[Gain/Loss]]="Gain",Table1[[#This Row],[Gain/Loss]]="Loss"),Table1[[#This Row],[Quantity]],"")</f>
        <v>9</v>
      </c>
    </row>
    <row r="130" spans="1:24" x14ac:dyDescent="0.25">
      <c r="A130">
        <v>10129</v>
      </c>
      <c r="B130" s="1">
        <v>45786</v>
      </c>
      <c r="C130" s="1" t="str">
        <f>TEXT(Table1[[#This Row],[Order_Date]],"DD")</f>
        <v>09</v>
      </c>
      <c r="D130" s="1" t="str">
        <f>TEXT(Table1[[#This Row],[Order_Date]],"MMM")</f>
        <v>May</v>
      </c>
      <c r="E130" s="1" t="str">
        <f>TEXT(Table1[[#This Row],[Order_Date]],"YYYY")</f>
        <v>2025</v>
      </c>
      <c r="F130">
        <v>3811</v>
      </c>
      <c r="G130" t="s">
        <v>23</v>
      </c>
      <c r="H130" t="s">
        <v>24</v>
      </c>
      <c r="I130" t="s">
        <v>26</v>
      </c>
      <c r="J130" t="s">
        <v>28</v>
      </c>
      <c r="K130">
        <v>9</v>
      </c>
      <c r="L130" s="2">
        <v>241.44</v>
      </c>
      <c r="M130" s="3">
        <v>0</v>
      </c>
      <c r="N130" s="2">
        <v>2172.96</v>
      </c>
      <c r="O130" s="2">
        <v>0</v>
      </c>
      <c r="P130" s="2">
        <v>2172.96</v>
      </c>
      <c r="Q130" s="2">
        <v>74.56</v>
      </c>
      <c r="R130" s="2">
        <v>671.04</v>
      </c>
      <c r="S130" s="2">
        <v>1501.92</v>
      </c>
      <c r="T130" s="3">
        <v>0.69118621603711006</v>
      </c>
      <c r="U130" s="2" t="str">
        <f>IF(Table1[[#This Row],[Net_Revenue]]&lt;Table1[[#This Row],[Total_Cost]], "Loss", "Gain")</f>
        <v>Gain</v>
      </c>
      <c r="V130" s="16">
        <f>IF(Table1[[#This Row],[Gain/Loss]]="Gain",Table1[[#This Row],[Quantity]], 0)</f>
        <v>9</v>
      </c>
      <c r="W130" s="16">
        <f>IF(Table1[[#This Row],[Gain/Loss]]="Loss",Table1[[#This Row],[Quantity]],0)</f>
        <v>0</v>
      </c>
      <c r="X130" s="16">
        <f>IF(OR(Table1[[#This Row],[Gain/Loss]]="Gain",Table1[[#This Row],[Gain/Loss]]="Loss"),Table1[[#This Row],[Quantity]],"")</f>
        <v>9</v>
      </c>
    </row>
    <row r="131" spans="1:24" x14ac:dyDescent="0.25">
      <c r="A131">
        <v>10130</v>
      </c>
      <c r="B131" s="1">
        <v>45787</v>
      </c>
      <c r="C131" s="1" t="str">
        <f>TEXT(Table1[[#This Row],[Order_Date]],"DD")</f>
        <v>10</v>
      </c>
      <c r="D131" s="1" t="str">
        <f>TEXT(Table1[[#This Row],[Order_Date]],"MMM")</f>
        <v>May</v>
      </c>
      <c r="E131" s="1" t="str">
        <f>TEXT(Table1[[#This Row],[Order_Date]],"YYYY")</f>
        <v>2025</v>
      </c>
      <c r="F131">
        <v>3456</v>
      </c>
      <c r="G131" t="s">
        <v>23</v>
      </c>
      <c r="H131" t="s">
        <v>24</v>
      </c>
      <c r="I131" t="s">
        <v>26</v>
      </c>
      <c r="J131" t="s">
        <v>28</v>
      </c>
      <c r="K131">
        <v>3</v>
      </c>
      <c r="L131" s="2">
        <v>121.2</v>
      </c>
      <c r="M131" s="3">
        <v>0.1</v>
      </c>
      <c r="N131" s="2">
        <v>363.6</v>
      </c>
      <c r="O131" s="2">
        <v>36.36</v>
      </c>
      <c r="P131" s="2">
        <v>327.24</v>
      </c>
      <c r="Q131" s="2">
        <v>118.08</v>
      </c>
      <c r="R131" s="2">
        <v>354.24</v>
      </c>
      <c r="S131" s="2">
        <v>-27</v>
      </c>
      <c r="T131" s="3">
        <v>-8.2508250825082494E-2</v>
      </c>
      <c r="U131" s="2" t="str">
        <f>IF(Table1[[#This Row],[Net_Revenue]]&lt;Table1[[#This Row],[Total_Cost]], "Loss", "Gain")</f>
        <v>Loss</v>
      </c>
      <c r="V131" s="16">
        <f>IF(Table1[[#This Row],[Gain/Loss]]="Gain",Table1[[#This Row],[Quantity]], 0)</f>
        <v>0</v>
      </c>
      <c r="W131" s="16">
        <f>IF(Table1[[#This Row],[Gain/Loss]]="Loss",Table1[[#This Row],[Quantity]],0)</f>
        <v>3</v>
      </c>
      <c r="X131" s="16">
        <f>IF(OR(Table1[[#This Row],[Gain/Loss]]="Gain",Table1[[#This Row],[Gain/Loss]]="Loss"),Table1[[#This Row],[Quantity]],"")</f>
        <v>3</v>
      </c>
    </row>
    <row r="132" spans="1:24" x14ac:dyDescent="0.25">
      <c r="A132">
        <v>10131</v>
      </c>
      <c r="B132" s="1">
        <v>45788</v>
      </c>
      <c r="C132" s="1" t="str">
        <f>TEXT(Table1[[#This Row],[Order_Date]],"DD")</f>
        <v>11</v>
      </c>
      <c r="D132" s="1" t="str">
        <f>TEXT(Table1[[#This Row],[Order_Date]],"MMM")</f>
        <v>May</v>
      </c>
      <c r="E132" s="1" t="str">
        <f>TEXT(Table1[[#This Row],[Order_Date]],"YYYY")</f>
        <v>2025</v>
      </c>
      <c r="F132">
        <v>3474</v>
      </c>
      <c r="G132" t="s">
        <v>29</v>
      </c>
      <c r="H132" t="s">
        <v>24</v>
      </c>
      <c r="I132" t="s">
        <v>25</v>
      </c>
      <c r="J132" t="s">
        <v>22</v>
      </c>
      <c r="K132">
        <v>4</v>
      </c>
      <c r="L132" s="2">
        <v>77.569999999999993</v>
      </c>
      <c r="M132" s="3">
        <v>0</v>
      </c>
      <c r="N132" s="2">
        <v>310.27999999999997</v>
      </c>
      <c r="O132" s="2">
        <v>0</v>
      </c>
      <c r="P132" s="2">
        <v>310.27999999999997</v>
      </c>
      <c r="Q132" s="2">
        <v>146.74</v>
      </c>
      <c r="R132" s="2">
        <v>586.96</v>
      </c>
      <c r="S132" s="2">
        <v>-276.68</v>
      </c>
      <c r="T132" s="3">
        <v>-0.89171071290447301</v>
      </c>
      <c r="U132" s="2" t="str">
        <f>IF(Table1[[#This Row],[Net_Revenue]]&lt;Table1[[#This Row],[Total_Cost]], "Loss", "Gain")</f>
        <v>Loss</v>
      </c>
      <c r="V132" s="16">
        <f>IF(Table1[[#This Row],[Gain/Loss]]="Gain",Table1[[#This Row],[Quantity]], 0)</f>
        <v>0</v>
      </c>
      <c r="W132" s="16">
        <f>IF(Table1[[#This Row],[Gain/Loss]]="Loss",Table1[[#This Row],[Quantity]],0)</f>
        <v>4</v>
      </c>
      <c r="X132" s="16">
        <f>IF(OR(Table1[[#This Row],[Gain/Loss]]="Gain",Table1[[#This Row],[Gain/Loss]]="Loss"),Table1[[#This Row],[Quantity]],"")</f>
        <v>4</v>
      </c>
    </row>
    <row r="133" spans="1:24" x14ac:dyDescent="0.25">
      <c r="A133">
        <v>10132</v>
      </c>
      <c r="B133" s="1">
        <v>45789</v>
      </c>
      <c r="C133" s="1" t="str">
        <f>TEXT(Table1[[#This Row],[Order_Date]],"DD")</f>
        <v>12</v>
      </c>
      <c r="D133" s="1" t="str">
        <f>TEXT(Table1[[#This Row],[Order_Date]],"MMM")</f>
        <v>May</v>
      </c>
      <c r="E133" s="1" t="str">
        <f>TEXT(Table1[[#This Row],[Order_Date]],"YYYY")</f>
        <v>2025</v>
      </c>
      <c r="F133">
        <v>3762</v>
      </c>
      <c r="G133" t="s">
        <v>21</v>
      </c>
      <c r="H133" t="s">
        <v>18</v>
      </c>
      <c r="I133" t="s">
        <v>26</v>
      </c>
      <c r="J133" t="s">
        <v>28</v>
      </c>
      <c r="K133">
        <v>5</v>
      </c>
      <c r="L133" s="2">
        <v>155.15</v>
      </c>
      <c r="M133" s="3">
        <v>0.2</v>
      </c>
      <c r="N133" s="2">
        <v>775.75</v>
      </c>
      <c r="O133" s="2">
        <v>155.15</v>
      </c>
      <c r="P133" s="2">
        <v>620.6</v>
      </c>
      <c r="Q133" s="2">
        <v>32.090000000000003</v>
      </c>
      <c r="R133" s="2">
        <v>160.44999999999999</v>
      </c>
      <c r="S133" s="2">
        <v>460.15</v>
      </c>
      <c r="T133" s="3">
        <v>0.74145987753786602</v>
      </c>
      <c r="U133" s="2" t="str">
        <f>IF(Table1[[#This Row],[Net_Revenue]]&lt;Table1[[#This Row],[Total_Cost]], "Loss", "Gain")</f>
        <v>Gain</v>
      </c>
      <c r="V133" s="16">
        <f>IF(Table1[[#This Row],[Gain/Loss]]="Gain",Table1[[#This Row],[Quantity]], 0)</f>
        <v>5</v>
      </c>
      <c r="W133" s="16">
        <f>IF(Table1[[#This Row],[Gain/Loss]]="Loss",Table1[[#This Row],[Quantity]],0)</f>
        <v>0</v>
      </c>
      <c r="X133" s="16">
        <f>IF(OR(Table1[[#This Row],[Gain/Loss]]="Gain",Table1[[#This Row],[Gain/Loss]]="Loss"),Table1[[#This Row],[Quantity]],"")</f>
        <v>5</v>
      </c>
    </row>
    <row r="134" spans="1:24" x14ac:dyDescent="0.25">
      <c r="A134">
        <v>10133</v>
      </c>
      <c r="B134" s="1">
        <v>45790</v>
      </c>
      <c r="C134" s="1" t="str">
        <f>TEXT(Table1[[#This Row],[Order_Date]],"DD")</f>
        <v>13</v>
      </c>
      <c r="D134" s="1" t="str">
        <f>TEXT(Table1[[#This Row],[Order_Date]],"MMM")</f>
        <v>May</v>
      </c>
      <c r="E134" s="1" t="str">
        <f>TEXT(Table1[[#This Row],[Order_Date]],"YYYY")</f>
        <v>2025</v>
      </c>
      <c r="F134">
        <v>3566</v>
      </c>
      <c r="G134" t="s">
        <v>17</v>
      </c>
      <c r="H134" t="s">
        <v>18</v>
      </c>
      <c r="I134" t="s">
        <v>26</v>
      </c>
      <c r="J134" t="s">
        <v>30</v>
      </c>
      <c r="K134">
        <v>2</v>
      </c>
      <c r="L134" s="2">
        <v>135.62</v>
      </c>
      <c r="M134" s="3">
        <v>0.1</v>
      </c>
      <c r="N134" s="2">
        <v>271.24</v>
      </c>
      <c r="O134" s="2">
        <v>27.123999999999999</v>
      </c>
      <c r="P134" s="2">
        <v>244.11600000000001</v>
      </c>
      <c r="Q134" s="2">
        <v>38.71</v>
      </c>
      <c r="R134" s="2">
        <v>77.42</v>
      </c>
      <c r="S134" s="2">
        <v>166.696</v>
      </c>
      <c r="T134" s="3">
        <v>0.68285569155647297</v>
      </c>
      <c r="U134" s="2" t="str">
        <f>IF(Table1[[#This Row],[Net_Revenue]]&lt;Table1[[#This Row],[Total_Cost]], "Loss", "Gain")</f>
        <v>Gain</v>
      </c>
      <c r="V134" s="16">
        <f>IF(Table1[[#This Row],[Gain/Loss]]="Gain",Table1[[#This Row],[Quantity]], 0)</f>
        <v>2</v>
      </c>
      <c r="W134" s="16">
        <f>IF(Table1[[#This Row],[Gain/Loss]]="Loss",Table1[[#This Row],[Quantity]],0)</f>
        <v>0</v>
      </c>
      <c r="X134" s="16">
        <f>IF(OR(Table1[[#This Row],[Gain/Loss]]="Gain",Table1[[#This Row],[Gain/Loss]]="Loss"),Table1[[#This Row],[Quantity]],"")</f>
        <v>2</v>
      </c>
    </row>
    <row r="135" spans="1:24" x14ac:dyDescent="0.25">
      <c r="A135">
        <v>10134</v>
      </c>
      <c r="B135" s="1">
        <v>45791</v>
      </c>
      <c r="C135" s="1" t="str">
        <f>TEXT(Table1[[#This Row],[Order_Date]],"DD")</f>
        <v>14</v>
      </c>
      <c r="D135" s="1" t="str">
        <f>TEXT(Table1[[#This Row],[Order_Date]],"MMM")</f>
        <v>May</v>
      </c>
      <c r="E135" s="1" t="str">
        <f>TEXT(Table1[[#This Row],[Order_Date]],"YYYY")</f>
        <v>2025</v>
      </c>
      <c r="F135">
        <v>3555</v>
      </c>
      <c r="G135" t="s">
        <v>23</v>
      </c>
      <c r="H135" t="s">
        <v>18</v>
      </c>
      <c r="I135" t="s">
        <v>19</v>
      </c>
      <c r="J135" t="s">
        <v>27</v>
      </c>
      <c r="K135">
        <v>8</v>
      </c>
      <c r="L135" s="2">
        <v>141.35</v>
      </c>
      <c r="M135" s="3">
        <v>0.05</v>
      </c>
      <c r="N135" s="2">
        <v>1130.8</v>
      </c>
      <c r="O135" s="2">
        <v>56.54</v>
      </c>
      <c r="P135" s="2">
        <v>1074.26</v>
      </c>
      <c r="Q135" s="2">
        <v>149.44</v>
      </c>
      <c r="R135" s="2">
        <v>1195.52</v>
      </c>
      <c r="S135" s="2">
        <v>-121.259999999999</v>
      </c>
      <c r="T135" s="3">
        <v>-0.11287770185988399</v>
      </c>
      <c r="U135" s="2" t="str">
        <f>IF(Table1[[#This Row],[Net_Revenue]]&lt;Table1[[#This Row],[Total_Cost]], "Loss", "Gain")</f>
        <v>Loss</v>
      </c>
      <c r="V135" s="16">
        <f>IF(Table1[[#This Row],[Gain/Loss]]="Gain",Table1[[#This Row],[Quantity]], 0)</f>
        <v>0</v>
      </c>
      <c r="W135" s="16">
        <f>IF(Table1[[#This Row],[Gain/Loss]]="Loss",Table1[[#This Row],[Quantity]],0)</f>
        <v>8</v>
      </c>
      <c r="X135" s="16">
        <f>IF(OR(Table1[[#This Row],[Gain/Loss]]="Gain",Table1[[#This Row],[Gain/Loss]]="Loss"),Table1[[#This Row],[Quantity]],"")</f>
        <v>8</v>
      </c>
    </row>
    <row r="136" spans="1:24" x14ac:dyDescent="0.25">
      <c r="A136">
        <v>10135</v>
      </c>
      <c r="B136" s="1">
        <v>45792</v>
      </c>
      <c r="C136" s="1" t="str">
        <f>TEXT(Table1[[#This Row],[Order_Date]],"DD")</f>
        <v>15</v>
      </c>
      <c r="D136" s="1" t="str">
        <f>TEXT(Table1[[#This Row],[Order_Date]],"MMM")</f>
        <v>May</v>
      </c>
      <c r="E136" s="1" t="str">
        <f>TEXT(Table1[[#This Row],[Order_Date]],"YYYY")</f>
        <v>2025</v>
      </c>
      <c r="F136">
        <v>3215</v>
      </c>
      <c r="G136" t="s">
        <v>21</v>
      </c>
      <c r="H136" t="s">
        <v>18</v>
      </c>
      <c r="I136" t="s">
        <v>26</v>
      </c>
      <c r="J136" t="s">
        <v>31</v>
      </c>
      <c r="K136">
        <v>5</v>
      </c>
      <c r="L136" s="2">
        <v>111.97</v>
      </c>
      <c r="M136" s="3">
        <v>0.2</v>
      </c>
      <c r="N136" s="2">
        <v>559.85</v>
      </c>
      <c r="O136" s="2">
        <v>111.97</v>
      </c>
      <c r="P136" s="2">
        <v>447.88</v>
      </c>
      <c r="Q136" s="2">
        <v>86.6</v>
      </c>
      <c r="R136" s="2">
        <v>433</v>
      </c>
      <c r="S136" s="2">
        <v>14.8799999999999</v>
      </c>
      <c r="T136" s="3">
        <v>3.3223184781637903E-2</v>
      </c>
      <c r="U136" s="2" t="str">
        <f>IF(Table1[[#This Row],[Net_Revenue]]&lt;Table1[[#This Row],[Total_Cost]], "Loss", "Gain")</f>
        <v>Gain</v>
      </c>
      <c r="V136" s="16">
        <f>IF(Table1[[#This Row],[Gain/Loss]]="Gain",Table1[[#This Row],[Quantity]], 0)</f>
        <v>5</v>
      </c>
      <c r="W136" s="16">
        <f>IF(Table1[[#This Row],[Gain/Loss]]="Loss",Table1[[#This Row],[Quantity]],0)</f>
        <v>0</v>
      </c>
      <c r="X136" s="16">
        <f>IF(OR(Table1[[#This Row],[Gain/Loss]]="Gain",Table1[[#This Row],[Gain/Loss]]="Loss"),Table1[[#This Row],[Quantity]],"")</f>
        <v>5</v>
      </c>
    </row>
    <row r="137" spans="1:24" x14ac:dyDescent="0.25">
      <c r="A137">
        <v>10136</v>
      </c>
      <c r="B137" s="1">
        <v>45793</v>
      </c>
      <c r="C137" s="1" t="str">
        <f>TEXT(Table1[[#This Row],[Order_Date]],"DD")</f>
        <v>16</v>
      </c>
      <c r="D137" s="1" t="str">
        <f>TEXT(Table1[[#This Row],[Order_Date]],"MMM")</f>
        <v>May</v>
      </c>
      <c r="E137" s="1" t="str">
        <f>TEXT(Table1[[#This Row],[Order_Date]],"YYYY")</f>
        <v>2025</v>
      </c>
      <c r="F137">
        <v>3973</v>
      </c>
      <c r="G137" t="s">
        <v>29</v>
      </c>
      <c r="H137" t="s">
        <v>18</v>
      </c>
      <c r="I137" t="s">
        <v>26</v>
      </c>
      <c r="J137" t="s">
        <v>31</v>
      </c>
      <c r="K137">
        <v>6</v>
      </c>
      <c r="L137" s="2">
        <v>105.69</v>
      </c>
      <c r="M137" s="3">
        <v>0.15</v>
      </c>
      <c r="N137" s="2">
        <v>634.14</v>
      </c>
      <c r="O137" s="2">
        <v>95.120999999999995</v>
      </c>
      <c r="P137" s="2">
        <v>539.01900000000001</v>
      </c>
      <c r="Q137" s="2">
        <v>129.94999999999999</v>
      </c>
      <c r="R137" s="2">
        <v>779.69999999999902</v>
      </c>
      <c r="S137" s="2">
        <v>-240.68099999999899</v>
      </c>
      <c r="T137" s="3">
        <v>-0.44651672761071404</v>
      </c>
      <c r="U137" s="2" t="str">
        <f>IF(Table1[[#This Row],[Net_Revenue]]&lt;Table1[[#This Row],[Total_Cost]], "Loss", "Gain")</f>
        <v>Loss</v>
      </c>
      <c r="V137" s="16">
        <f>IF(Table1[[#This Row],[Gain/Loss]]="Gain",Table1[[#This Row],[Quantity]], 0)</f>
        <v>0</v>
      </c>
      <c r="W137" s="16">
        <f>IF(Table1[[#This Row],[Gain/Loss]]="Loss",Table1[[#This Row],[Quantity]],0)</f>
        <v>6</v>
      </c>
      <c r="X137" s="16">
        <f>IF(OR(Table1[[#This Row],[Gain/Loss]]="Gain",Table1[[#This Row],[Gain/Loss]]="Loss"),Table1[[#This Row],[Quantity]],"")</f>
        <v>6</v>
      </c>
    </row>
    <row r="138" spans="1:24" x14ac:dyDescent="0.25">
      <c r="A138">
        <v>10137</v>
      </c>
      <c r="B138" s="1">
        <v>45794</v>
      </c>
      <c r="C138" s="1" t="str">
        <f>TEXT(Table1[[#This Row],[Order_Date]],"DD")</f>
        <v>17</v>
      </c>
      <c r="D138" s="1" t="str">
        <f>TEXT(Table1[[#This Row],[Order_Date]],"MMM")</f>
        <v>May</v>
      </c>
      <c r="E138" s="1" t="str">
        <f>TEXT(Table1[[#This Row],[Order_Date]],"YYYY")</f>
        <v>2025</v>
      </c>
      <c r="F138">
        <v>3434</v>
      </c>
      <c r="G138" t="s">
        <v>21</v>
      </c>
      <c r="H138" t="s">
        <v>18</v>
      </c>
      <c r="I138" t="s">
        <v>26</v>
      </c>
      <c r="J138" t="s">
        <v>28</v>
      </c>
      <c r="K138">
        <v>9</v>
      </c>
      <c r="L138" s="2">
        <v>84.23</v>
      </c>
      <c r="M138" s="3">
        <v>0.2</v>
      </c>
      <c r="N138" s="2">
        <v>758.07</v>
      </c>
      <c r="O138" s="2">
        <v>151.614</v>
      </c>
      <c r="P138" s="2">
        <v>606.45600000000002</v>
      </c>
      <c r="Q138" s="2">
        <v>58</v>
      </c>
      <c r="R138" s="2">
        <v>522</v>
      </c>
      <c r="S138" s="2">
        <v>84.456000000000003</v>
      </c>
      <c r="T138" s="3">
        <v>0.13926154576754102</v>
      </c>
      <c r="U138" s="2" t="str">
        <f>IF(Table1[[#This Row],[Net_Revenue]]&lt;Table1[[#This Row],[Total_Cost]], "Loss", "Gain")</f>
        <v>Gain</v>
      </c>
      <c r="V138" s="16">
        <f>IF(Table1[[#This Row],[Gain/Loss]]="Gain",Table1[[#This Row],[Quantity]], 0)</f>
        <v>9</v>
      </c>
      <c r="W138" s="16">
        <f>IF(Table1[[#This Row],[Gain/Loss]]="Loss",Table1[[#This Row],[Quantity]],0)</f>
        <v>0</v>
      </c>
      <c r="X138" s="16">
        <f>IF(OR(Table1[[#This Row],[Gain/Loss]]="Gain",Table1[[#This Row],[Gain/Loss]]="Loss"),Table1[[#This Row],[Quantity]],"")</f>
        <v>9</v>
      </c>
    </row>
    <row r="139" spans="1:24" x14ac:dyDescent="0.25">
      <c r="A139">
        <v>10138</v>
      </c>
      <c r="B139" s="1">
        <v>45795</v>
      </c>
      <c r="C139" s="1" t="str">
        <f>TEXT(Table1[[#This Row],[Order_Date]],"DD")</f>
        <v>18</v>
      </c>
      <c r="D139" s="1" t="str">
        <f>TEXT(Table1[[#This Row],[Order_Date]],"MMM")</f>
        <v>May</v>
      </c>
      <c r="E139" s="1" t="str">
        <f>TEXT(Table1[[#This Row],[Order_Date]],"YYYY")</f>
        <v>2025</v>
      </c>
      <c r="F139">
        <v>3039</v>
      </c>
      <c r="G139" t="s">
        <v>23</v>
      </c>
      <c r="H139" t="s">
        <v>18</v>
      </c>
      <c r="I139" t="s">
        <v>26</v>
      </c>
      <c r="J139" t="s">
        <v>30</v>
      </c>
      <c r="K139">
        <v>8</v>
      </c>
      <c r="L139" s="2">
        <v>229.29</v>
      </c>
      <c r="M139" s="3">
        <v>0.1</v>
      </c>
      <c r="N139" s="2">
        <v>1834.32</v>
      </c>
      <c r="O139" s="2">
        <v>183.43199999999999</v>
      </c>
      <c r="P139" s="2">
        <v>1650.8879999999999</v>
      </c>
      <c r="Q139" s="2">
        <v>47.05</v>
      </c>
      <c r="R139" s="2">
        <v>376.4</v>
      </c>
      <c r="S139" s="2">
        <v>1274.4879999999901</v>
      </c>
      <c r="T139" s="3">
        <v>0.77200149253007988</v>
      </c>
      <c r="U139" s="2" t="str">
        <f>IF(Table1[[#This Row],[Net_Revenue]]&lt;Table1[[#This Row],[Total_Cost]], "Loss", "Gain")</f>
        <v>Gain</v>
      </c>
      <c r="V139" s="16">
        <f>IF(Table1[[#This Row],[Gain/Loss]]="Gain",Table1[[#This Row],[Quantity]], 0)</f>
        <v>8</v>
      </c>
      <c r="W139" s="16">
        <f>IF(Table1[[#This Row],[Gain/Loss]]="Loss",Table1[[#This Row],[Quantity]],0)</f>
        <v>0</v>
      </c>
      <c r="X139" s="16">
        <f>IF(OR(Table1[[#This Row],[Gain/Loss]]="Gain",Table1[[#This Row],[Gain/Loss]]="Loss"),Table1[[#This Row],[Quantity]],"")</f>
        <v>8</v>
      </c>
    </row>
    <row r="140" spans="1:24" x14ac:dyDescent="0.25">
      <c r="A140">
        <v>10139</v>
      </c>
      <c r="B140" s="1">
        <v>45796</v>
      </c>
      <c r="C140" s="1" t="str">
        <f>TEXT(Table1[[#This Row],[Order_Date]],"DD")</f>
        <v>19</v>
      </c>
      <c r="D140" s="1" t="str">
        <f>TEXT(Table1[[#This Row],[Order_Date]],"MMM")</f>
        <v>May</v>
      </c>
      <c r="E140" s="1" t="str">
        <f>TEXT(Table1[[#This Row],[Order_Date]],"YYYY")</f>
        <v>2025</v>
      </c>
      <c r="F140">
        <v>3131</v>
      </c>
      <c r="G140" t="s">
        <v>23</v>
      </c>
      <c r="H140" t="s">
        <v>24</v>
      </c>
      <c r="I140" t="s">
        <v>26</v>
      </c>
      <c r="J140" t="s">
        <v>31</v>
      </c>
      <c r="K140">
        <v>9</v>
      </c>
      <c r="L140" s="2">
        <v>151.88</v>
      </c>
      <c r="M140" s="3">
        <v>0.1</v>
      </c>
      <c r="N140" s="2">
        <v>1366.92</v>
      </c>
      <c r="O140" s="2">
        <v>136.69200000000001</v>
      </c>
      <c r="P140" s="2">
        <v>1230.2280000000001</v>
      </c>
      <c r="Q140" s="2">
        <v>131.88</v>
      </c>
      <c r="R140" s="2">
        <v>1186.92</v>
      </c>
      <c r="S140" s="2">
        <v>43.3079999999999</v>
      </c>
      <c r="T140" s="3">
        <v>3.5203230620665403E-2</v>
      </c>
      <c r="U140" s="2" t="str">
        <f>IF(Table1[[#This Row],[Net_Revenue]]&lt;Table1[[#This Row],[Total_Cost]], "Loss", "Gain")</f>
        <v>Gain</v>
      </c>
      <c r="V140" s="16">
        <f>IF(Table1[[#This Row],[Gain/Loss]]="Gain",Table1[[#This Row],[Quantity]], 0)</f>
        <v>9</v>
      </c>
      <c r="W140" s="16">
        <f>IF(Table1[[#This Row],[Gain/Loss]]="Loss",Table1[[#This Row],[Quantity]],0)</f>
        <v>0</v>
      </c>
      <c r="X140" s="16">
        <f>IF(OR(Table1[[#This Row],[Gain/Loss]]="Gain",Table1[[#This Row],[Gain/Loss]]="Loss"),Table1[[#This Row],[Quantity]],"")</f>
        <v>9</v>
      </c>
    </row>
    <row r="141" spans="1:24" x14ac:dyDescent="0.25">
      <c r="A141">
        <v>10140</v>
      </c>
      <c r="B141" s="1">
        <v>45797</v>
      </c>
      <c r="C141" s="1" t="str">
        <f>TEXT(Table1[[#This Row],[Order_Date]],"DD")</f>
        <v>20</v>
      </c>
      <c r="D141" s="1" t="str">
        <f>TEXT(Table1[[#This Row],[Order_Date]],"MMM")</f>
        <v>May</v>
      </c>
      <c r="E141" s="1" t="str">
        <f>TEXT(Table1[[#This Row],[Order_Date]],"YYYY")</f>
        <v>2025</v>
      </c>
      <c r="F141">
        <v>3413</v>
      </c>
      <c r="G141" t="s">
        <v>17</v>
      </c>
      <c r="H141" t="s">
        <v>18</v>
      </c>
      <c r="I141" t="s">
        <v>33</v>
      </c>
      <c r="J141" t="s">
        <v>20</v>
      </c>
      <c r="K141">
        <v>1</v>
      </c>
      <c r="L141" s="2">
        <v>199.11</v>
      </c>
      <c r="M141" s="3">
        <v>0.05</v>
      </c>
      <c r="N141" s="2">
        <v>199.11</v>
      </c>
      <c r="O141" s="2">
        <v>9.9555000000000007</v>
      </c>
      <c r="P141" s="2">
        <v>189.15450000000001</v>
      </c>
      <c r="Q141" s="2">
        <v>34.97</v>
      </c>
      <c r="R141" s="2">
        <v>34.97</v>
      </c>
      <c r="S141" s="2">
        <v>154.18450000000001</v>
      </c>
      <c r="T141" s="3">
        <v>0.81512467321686699</v>
      </c>
      <c r="U141" s="2" t="str">
        <f>IF(Table1[[#This Row],[Net_Revenue]]&lt;Table1[[#This Row],[Total_Cost]], "Loss", "Gain")</f>
        <v>Gain</v>
      </c>
      <c r="V141" s="16">
        <f>IF(Table1[[#This Row],[Gain/Loss]]="Gain",Table1[[#This Row],[Quantity]], 0)</f>
        <v>1</v>
      </c>
      <c r="W141" s="16">
        <f>IF(Table1[[#This Row],[Gain/Loss]]="Loss",Table1[[#This Row],[Quantity]],0)</f>
        <v>0</v>
      </c>
      <c r="X141" s="16">
        <f>IF(OR(Table1[[#This Row],[Gain/Loss]]="Gain",Table1[[#This Row],[Gain/Loss]]="Loss"),Table1[[#This Row],[Quantity]],"")</f>
        <v>1</v>
      </c>
    </row>
    <row r="142" spans="1:24" x14ac:dyDescent="0.25">
      <c r="A142">
        <v>10141</v>
      </c>
      <c r="B142" s="1">
        <v>45798</v>
      </c>
      <c r="C142" s="1" t="str">
        <f>TEXT(Table1[[#This Row],[Order_Date]],"DD")</f>
        <v>21</v>
      </c>
      <c r="D142" s="1" t="str">
        <f>TEXT(Table1[[#This Row],[Order_Date]],"MMM")</f>
        <v>May</v>
      </c>
      <c r="E142" s="1" t="str">
        <f>TEXT(Table1[[#This Row],[Order_Date]],"YYYY")</f>
        <v>2025</v>
      </c>
      <c r="F142">
        <v>3908</v>
      </c>
      <c r="G142" t="s">
        <v>21</v>
      </c>
      <c r="H142" t="s">
        <v>24</v>
      </c>
      <c r="I142" t="s">
        <v>19</v>
      </c>
      <c r="J142" t="s">
        <v>27</v>
      </c>
      <c r="K142">
        <v>7</v>
      </c>
      <c r="L142" s="2">
        <v>114.4</v>
      </c>
      <c r="M142" s="3">
        <v>0</v>
      </c>
      <c r="N142" s="2">
        <v>800.8</v>
      </c>
      <c r="O142" s="2">
        <v>0</v>
      </c>
      <c r="P142" s="2">
        <v>800.8</v>
      </c>
      <c r="Q142" s="2">
        <v>43.48</v>
      </c>
      <c r="R142" s="2">
        <v>304.35999999999899</v>
      </c>
      <c r="S142" s="2">
        <v>496.44</v>
      </c>
      <c r="T142" s="3">
        <v>0.61993006993007005</v>
      </c>
      <c r="U142" s="2" t="str">
        <f>IF(Table1[[#This Row],[Net_Revenue]]&lt;Table1[[#This Row],[Total_Cost]], "Loss", "Gain")</f>
        <v>Gain</v>
      </c>
      <c r="V142" s="16">
        <f>IF(Table1[[#This Row],[Gain/Loss]]="Gain",Table1[[#This Row],[Quantity]], 0)</f>
        <v>7</v>
      </c>
      <c r="W142" s="16">
        <f>IF(Table1[[#This Row],[Gain/Loss]]="Loss",Table1[[#This Row],[Quantity]],0)</f>
        <v>0</v>
      </c>
      <c r="X142" s="16">
        <f>IF(OR(Table1[[#This Row],[Gain/Loss]]="Gain",Table1[[#This Row],[Gain/Loss]]="Loss"),Table1[[#This Row],[Quantity]],"")</f>
        <v>7</v>
      </c>
    </row>
    <row r="143" spans="1:24" x14ac:dyDescent="0.25">
      <c r="A143">
        <v>10142</v>
      </c>
      <c r="B143" s="1">
        <v>45799</v>
      </c>
      <c r="C143" s="1" t="str">
        <f>TEXT(Table1[[#This Row],[Order_Date]],"DD")</f>
        <v>22</v>
      </c>
      <c r="D143" s="1" t="str">
        <f>TEXT(Table1[[#This Row],[Order_Date]],"MMM")</f>
        <v>May</v>
      </c>
      <c r="E143" s="1" t="str">
        <f>TEXT(Table1[[#This Row],[Order_Date]],"YYYY")</f>
        <v>2025</v>
      </c>
      <c r="F143">
        <v>3460</v>
      </c>
      <c r="G143" t="s">
        <v>17</v>
      </c>
      <c r="H143" t="s">
        <v>24</v>
      </c>
      <c r="I143" t="s">
        <v>26</v>
      </c>
      <c r="J143" t="s">
        <v>31</v>
      </c>
      <c r="K143">
        <v>1</v>
      </c>
      <c r="L143" s="2">
        <v>99.96</v>
      </c>
      <c r="M143" s="3">
        <v>0.2</v>
      </c>
      <c r="N143" s="2">
        <v>99.96</v>
      </c>
      <c r="O143" s="2">
        <v>19.992000000000001</v>
      </c>
      <c r="P143" s="2">
        <v>79.967999999999904</v>
      </c>
      <c r="Q143" s="2">
        <v>58.42</v>
      </c>
      <c r="R143" s="2">
        <v>58.42</v>
      </c>
      <c r="S143" s="2">
        <v>21.547999999999899</v>
      </c>
      <c r="T143" s="3">
        <v>0.26945778311324498</v>
      </c>
      <c r="U143" s="2" t="str">
        <f>IF(Table1[[#This Row],[Net_Revenue]]&lt;Table1[[#This Row],[Total_Cost]], "Loss", "Gain")</f>
        <v>Gain</v>
      </c>
      <c r="V143" s="16">
        <f>IF(Table1[[#This Row],[Gain/Loss]]="Gain",Table1[[#This Row],[Quantity]], 0)</f>
        <v>1</v>
      </c>
      <c r="W143" s="16">
        <f>IF(Table1[[#This Row],[Gain/Loss]]="Loss",Table1[[#This Row],[Quantity]],0)</f>
        <v>0</v>
      </c>
      <c r="X143" s="16">
        <f>IF(OR(Table1[[#This Row],[Gain/Loss]]="Gain",Table1[[#This Row],[Gain/Loss]]="Loss"),Table1[[#This Row],[Quantity]],"")</f>
        <v>1</v>
      </c>
    </row>
    <row r="144" spans="1:24" x14ac:dyDescent="0.25">
      <c r="A144">
        <v>10143</v>
      </c>
      <c r="B144" s="1">
        <v>45800</v>
      </c>
      <c r="C144" s="1" t="str">
        <f>TEXT(Table1[[#This Row],[Order_Date]],"DD")</f>
        <v>23</v>
      </c>
      <c r="D144" s="1" t="str">
        <f>TEXT(Table1[[#This Row],[Order_Date]],"MMM")</f>
        <v>May</v>
      </c>
      <c r="E144" s="1" t="str">
        <f>TEXT(Table1[[#This Row],[Order_Date]],"YYYY")</f>
        <v>2025</v>
      </c>
      <c r="F144">
        <v>3847</v>
      </c>
      <c r="G144" t="s">
        <v>23</v>
      </c>
      <c r="H144" t="s">
        <v>24</v>
      </c>
      <c r="I144" t="s">
        <v>33</v>
      </c>
      <c r="J144" t="s">
        <v>20</v>
      </c>
      <c r="K144">
        <v>9</v>
      </c>
      <c r="L144" s="2">
        <v>45.57</v>
      </c>
      <c r="M144" s="3">
        <v>0.15</v>
      </c>
      <c r="N144" s="2">
        <v>410.13</v>
      </c>
      <c r="O144" s="2">
        <v>61.519499999999901</v>
      </c>
      <c r="P144" s="2">
        <v>348.6105</v>
      </c>
      <c r="Q144" s="2">
        <v>53.58</v>
      </c>
      <c r="R144" s="2">
        <v>482.219999999999</v>
      </c>
      <c r="S144" s="2">
        <v>-133.609499999999</v>
      </c>
      <c r="T144" s="3">
        <v>-0.38326298261239899</v>
      </c>
      <c r="U144" s="2" t="str">
        <f>IF(Table1[[#This Row],[Net_Revenue]]&lt;Table1[[#This Row],[Total_Cost]], "Loss", "Gain")</f>
        <v>Loss</v>
      </c>
      <c r="V144" s="16">
        <f>IF(Table1[[#This Row],[Gain/Loss]]="Gain",Table1[[#This Row],[Quantity]], 0)</f>
        <v>0</v>
      </c>
      <c r="W144" s="16">
        <f>IF(Table1[[#This Row],[Gain/Loss]]="Loss",Table1[[#This Row],[Quantity]],0)</f>
        <v>9</v>
      </c>
      <c r="X144" s="16">
        <f>IF(OR(Table1[[#This Row],[Gain/Loss]]="Gain",Table1[[#This Row],[Gain/Loss]]="Loss"),Table1[[#This Row],[Quantity]],"")</f>
        <v>9</v>
      </c>
    </row>
    <row r="145" spans="1:24" x14ac:dyDescent="0.25">
      <c r="A145">
        <v>10144</v>
      </c>
      <c r="B145" s="1">
        <v>45801</v>
      </c>
      <c r="C145" s="1" t="str">
        <f>TEXT(Table1[[#This Row],[Order_Date]],"DD")</f>
        <v>24</v>
      </c>
      <c r="D145" s="1" t="str">
        <f>TEXT(Table1[[#This Row],[Order_Date]],"MMM")</f>
        <v>May</v>
      </c>
      <c r="E145" s="1" t="str">
        <f>TEXT(Table1[[#This Row],[Order_Date]],"YYYY")</f>
        <v>2025</v>
      </c>
      <c r="F145">
        <v>3797</v>
      </c>
      <c r="G145" t="s">
        <v>21</v>
      </c>
      <c r="H145" t="s">
        <v>18</v>
      </c>
      <c r="I145" t="s">
        <v>26</v>
      </c>
      <c r="J145" t="s">
        <v>30</v>
      </c>
      <c r="K145">
        <v>5</v>
      </c>
      <c r="L145" s="2">
        <v>126.95</v>
      </c>
      <c r="M145" s="3">
        <v>0.2</v>
      </c>
      <c r="N145" s="2">
        <v>634.75</v>
      </c>
      <c r="O145" s="2">
        <v>126.95</v>
      </c>
      <c r="P145" s="2">
        <v>507.8</v>
      </c>
      <c r="Q145" s="2">
        <v>29.14</v>
      </c>
      <c r="R145" s="2">
        <v>145.69999999999999</v>
      </c>
      <c r="S145" s="2">
        <v>362.1</v>
      </c>
      <c r="T145" s="3">
        <v>0.71307601417881006</v>
      </c>
      <c r="U145" s="2" t="str">
        <f>IF(Table1[[#This Row],[Net_Revenue]]&lt;Table1[[#This Row],[Total_Cost]], "Loss", "Gain")</f>
        <v>Gain</v>
      </c>
      <c r="V145" s="16">
        <f>IF(Table1[[#This Row],[Gain/Loss]]="Gain",Table1[[#This Row],[Quantity]], 0)</f>
        <v>5</v>
      </c>
      <c r="W145" s="16">
        <f>IF(Table1[[#This Row],[Gain/Loss]]="Loss",Table1[[#This Row],[Quantity]],0)</f>
        <v>0</v>
      </c>
      <c r="X145" s="16">
        <f>IF(OR(Table1[[#This Row],[Gain/Loss]]="Gain",Table1[[#This Row],[Gain/Loss]]="Loss"),Table1[[#This Row],[Quantity]],"")</f>
        <v>5</v>
      </c>
    </row>
    <row r="146" spans="1:24" x14ac:dyDescent="0.25">
      <c r="A146">
        <v>10145</v>
      </c>
      <c r="B146" s="1">
        <v>45802</v>
      </c>
      <c r="C146" s="1" t="str">
        <f>TEXT(Table1[[#This Row],[Order_Date]],"DD")</f>
        <v>25</v>
      </c>
      <c r="D146" s="1" t="str">
        <f>TEXT(Table1[[#This Row],[Order_Date]],"MMM")</f>
        <v>May</v>
      </c>
      <c r="E146" s="1" t="str">
        <f>TEXT(Table1[[#This Row],[Order_Date]],"YYYY")</f>
        <v>2025</v>
      </c>
      <c r="F146">
        <v>3648</v>
      </c>
      <c r="G146" t="s">
        <v>21</v>
      </c>
      <c r="H146" t="s">
        <v>18</v>
      </c>
      <c r="I146" t="s">
        <v>26</v>
      </c>
      <c r="J146" t="s">
        <v>30</v>
      </c>
      <c r="K146">
        <v>7</v>
      </c>
      <c r="L146" s="2">
        <v>138.72</v>
      </c>
      <c r="M146" s="3">
        <v>0.05</v>
      </c>
      <c r="N146" s="2">
        <v>971.04</v>
      </c>
      <c r="O146" s="2">
        <v>48.552</v>
      </c>
      <c r="P146" s="2">
        <v>922.48799999999903</v>
      </c>
      <c r="Q146" s="2">
        <v>47.01</v>
      </c>
      <c r="R146" s="2">
        <v>329.07</v>
      </c>
      <c r="S146" s="2">
        <v>593.41799999999898</v>
      </c>
      <c r="T146" s="3">
        <v>0.64327991258422801</v>
      </c>
      <c r="U146" s="2" t="str">
        <f>IF(Table1[[#This Row],[Net_Revenue]]&lt;Table1[[#This Row],[Total_Cost]], "Loss", "Gain")</f>
        <v>Gain</v>
      </c>
      <c r="V146" s="16">
        <f>IF(Table1[[#This Row],[Gain/Loss]]="Gain",Table1[[#This Row],[Quantity]], 0)</f>
        <v>7</v>
      </c>
      <c r="W146" s="16">
        <f>IF(Table1[[#This Row],[Gain/Loss]]="Loss",Table1[[#This Row],[Quantity]],0)</f>
        <v>0</v>
      </c>
      <c r="X146" s="16">
        <f>IF(OR(Table1[[#This Row],[Gain/Loss]]="Gain",Table1[[#This Row],[Gain/Loss]]="Loss"),Table1[[#This Row],[Quantity]],"")</f>
        <v>7</v>
      </c>
    </row>
    <row r="147" spans="1:24" x14ac:dyDescent="0.25">
      <c r="A147">
        <v>10146</v>
      </c>
      <c r="B147" s="1">
        <v>45803</v>
      </c>
      <c r="C147" s="1" t="str">
        <f>TEXT(Table1[[#This Row],[Order_Date]],"DD")</f>
        <v>26</v>
      </c>
      <c r="D147" s="1" t="str">
        <f>TEXT(Table1[[#This Row],[Order_Date]],"MMM")</f>
        <v>May</v>
      </c>
      <c r="E147" s="1" t="str">
        <f>TEXT(Table1[[#This Row],[Order_Date]],"YYYY")</f>
        <v>2025</v>
      </c>
      <c r="F147">
        <v>3566</v>
      </c>
      <c r="G147" t="s">
        <v>21</v>
      </c>
      <c r="H147" t="s">
        <v>18</v>
      </c>
      <c r="I147" t="s">
        <v>26</v>
      </c>
      <c r="J147" t="s">
        <v>28</v>
      </c>
      <c r="K147">
        <v>5</v>
      </c>
      <c r="L147" s="2">
        <v>63.43</v>
      </c>
      <c r="M147" s="3">
        <v>0</v>
      </c>
      <c r="N147" s="2">
        <v>317.14999999999998</v>
      </c>
      <c r="O147" s="2">
        <v>0</v>
      </c>
      <c r="P147" s="2">
        <v>317.14999999999998</v>
      </c>
      <c r="Q147" s="2">
        <v>30.13</v>
      </c>
      <c r="R147" s="2">
        <v>150.65</v>
      </c>
      <c r="S147" s="2">
        <v>166.49999999999901</v>
      </c>
      <c r="T147" s="3">
        <v>0.52498817594198299</v>
      </c>
      <c r="U147" s="2" t="str">
        <f>IF(Table1[[#This Row],[Net_Revenue]]&lt;Table1[[#This Row],[Total_Cost]], "Loss", "Gain")</f>
        <v>Gain</v>
      </c>
      <c r="V147" s="16">
        <f>IF(Table1[[#This Row],[Gain/Loss]]="Gain",Table1[[#This Row],[Quantity]], 0)</f>
        <v>5</v>
      </c>
      <c r="W147" s="16">
        <f>IF(Table1[[#This Row],[Gain/Loss]]="Loss",Table1[[#This Row],[Quantity]],0)</f>
        <v>0</v>
      </c>
      <c r="X147" s="16">
        <f>IF(OR(Table1[[#This Row],[Gain/Loss]]="Gain",Table1[[#This Row],[Gain/Loss]]="Loss"),Table1[[#This Row],[Quantity]],"")</f>
        <v>5</v>
      </c>
    </row>
    <row r="148" spans="1:24" x14ac:dyDescent="0.25">
      <c r="A148">
        <v>10147</v>
      </c>
      <c r="B148" s="1">
        <v>45804</v>
      </c>
      <c r="C148" s="1" t="str">
        <f>TEXT(Table1[[#This Row],[Order_Date]],"DD")</f>
        <v>27</v>
      </c>
      <c r="D148" s="1" t="str">
        <f>TEXT(Table1[[#This Row],[Order_Date]],"MMM")</f>
        <v>May</v>
      </c>
      <c r="E148" s="1" t="str">
        <f>TEXT(Table1[[#This Row],[Order_Date]],"YYYY")</f>
        <v>2025</v>
      </c>
      <c r="F148">
        <v>3678</v>
      </c>
      <c r="G148" t="s">
        <v>17</v>
      </c>
      <c r="H148" t="s">
        <v>24</v>
      </c>
      <c r="I148" t="s">
        <v>33</v>
      </c>
      <c r="J148" t="s">
        <v>20</v>
      </c>
      <c r="K148">
        <v>2</v>
      </c>
      <c r="L148" s="2">
        <v>68.16</v>
      </c>
      <c r="M148" s="3">
        <v>0</v>
      </c>
      <c r="N148" s="2">
        <v>136.32</v>
      </c>
      <c r="O148" s="2">
        <v>0</v>
      </c>
      <c r="P148" s="2">
        <v>136.32</v>
      </c>
      <c r="Q148" s="2">
        <v>82.23</v>
      </c>
      <c r="R148" s="2">
        <v>164.46</v>
      </c>
      <c r="S148" s="2">
        <v>-28.14</v>
      </c>
      <c r="T148" s="3">
        <v>-0.20642605633802799</v>
      </c>
      <c r="U148" s="2" t="str">
        <f>IF(Table1[[#This Row],[Net_Revenue]]&lt;Table1[[#This Row],[Total_Cost]], "Loss", "Gain")</f>
        <v>Loss</v>
      </c>
      <c r="V148" s="16">
        <f>IF(Table1[[#This Row],[Gain/Loss]]="Gain",Table1[[#This Row],[Quantity]], 0)</f>
        <v>0</v>
      </c>
      <c r="W148" s="16">
        <f>IF(Table1[[#This Row],[Gain/Loss]]="Loss",Table1[[#This Row],[Quantity]],0)</f>
        <v>2</v>
      </c>
      <c r="X148" s="16">
        <f>IF(OR(Table1[[#This Row],[Gain/Loss]]="Gain",Table1[[#This Row],[Gain/Loss]]="Loss"),Table1[[#This Row],[Quantity]],"")</f>
        <v>2</v>
      </c>
    </row>
    <row r="149" spans="1:24" x14ac:dyDescent="0.25">
      <c r="A149">
        <v>10148</v>
      </c>
      <c r="B149" s="1">
        <v>45805</v>
      </c>
      <c r="C149" s="1" t="str">
        <f>TEXT(Table1[[#This Row],[Order_Date]],"DD")</f>
        <v>28</v>
      </c>
      <c r="D149" s="1" t="str">
        <f>TEXT(Table1[[#This Row],[Order_Date]],"MMM")</f>
        <v>May</v>
      </c>
      <c r="E149" s="1" t="str">
        <f>TEXT(Table1[[#This Row],[Order_Date]],"YYYY")</f>
        <v>2025</v>
      </c>
      <c r="F149">
        <v>3373</v>
      </c>
      <c r="G149" t="s">
        <v>21</v>
      </c>
      <c r="H149" t="s">
        <v>18</v>
      </c>
      <c r="I149" t="s">
        <v>25</v>
      </c>
      <c r="J149" t="s">
        <v>22</v>
      </c>
      <c r="K149">
        <v>9</v>
      </c>
      <c r="L149" s="2">
        <v>102.27</v>
      </c>
      <c r="M149" s="3">
        <v>0.2</v>
      </c>
      <c r="N149" s="2">
        <v>920.43</v>
      </c>
      <c r="O149" s="2">
        <v>184.08600000000001</v>
      </c>
      <c r="P149" s="2">
        <v>736.34399999999903</v>
      </c>
      <c r="Q149" s="2">
        <v>105.71</v>
      </c>
      <c r="R149" s="2">
        <v>951.39</v>
      </c>
      <c r="S149" s="2">
        <v>-215.04599999999999</v>
      </c>
      <c r="T149" s="3">
        <v>-0.29204556565952799</v>
      </c>
      <c r="U149" s="2" t="str">
        <f>IF(Table1[[#This Row],[Net_Revenue]]&lt;Table1[[#This Row],[Total_Cost]], "Loss", "Gain")</f>
        <v>Loss</v>
      </c>
      <c r="V149" s="16">
        <f>IF(Table1[[#This Row],[Gain/Loss]]="Gain",Table1[[#This Row],[Quantity]], 0)</f>
        <v>0</v>
      </c>
      <c r="W149" s="16">
        <f>IF(Table1[[#This Row],[Gain/Loss]]="Loss",Table1[[#This Row],[Quantity]],0)</f>
        <v>9</v>
      </c>
      <c r="X149" s="16">
        <f>IF(OR(Table1[[#This Row],[Gain/Loss]]="Gain",Table1[[#This Row],[Gain/Loss]]="Loss"),Table1[[#This Row],[Quantity]],"")</f>
        <v>9</v>
      </c>
    </row>
    <row r="150" spans="1:24" x14ac:dyDescent="0.25">
      <c r="A150">
        <v>10149</v>
      </c>
      <c r="B150" s="1">
        <v>45806</v>
      </c>
      <c r="C150" s="1" t="str">
        <f>TEXT(Table1[[#This Row],[Order_Date]],"DD")</f>
        <v>29</v>
      </c>
      <c r="D150" s="1" t="str">
        <f>TEXT(Table1[[#This Row],[Order_Date]],"MMM")</f>
        <v>May</v>
      </c>
      <c r="E150" s="1" t="str">
        <f>TEXT(Table1[[#This Row],[Order_Date]],"YYYY")</f>
        <v>2025</v>
      </c>
      <c r="F150">
        <v>3710</v>
      </c>
      <c r="G150" t="s">
        <v>21</v>
      </c>
      <c r="H150" t="s">
        <v>18</v>
      </c>
      <c r="I150" t="s">
        <v>26</v>
      </c>
      <c r="J150" t="s">
        <v>30</v>
      </c>
      <c r="K150">
        <v>4</v>
      </c>
      <c r="L150" s="2">
        <v>214.41</v>
      </c>
      <c r="M150" s="3">
        <v>0.2</v>
      </c>
      <c r="N150" s="2">
        <v>857.64</v>
      </c>
      <c r="O150" s="2">
        <v>171.52799999999999</v>
      </c>
      <c r="P150" s="2">
        <v>686.11199999999997</v>
      </c>
      <c r="Q150" s="2">
        <v>79.78</v>
      </c>
      <c r="R150" s="2">
        <v>319.12</v>
      </c>
      <c r="S150" s="2">
        <v>366.991999999999</v>
      </c>
      <c r="T150" s="3">
        <v>0.53488643253579493</v>
      </c>
      <c r="U150" s="2" t="str">
        <f>IF(Table1[[#This Row],[Net_Revenue]]&lt;Table1[[#This Row],[Total_Cost]], "Loss", "Gain")</f>
        <v>Gain</v>
      </c>
      <c r="V150" s="16">
        <f>IF(Table1[[#This Row],[Gain/Loss]]="Gain",Table1[[#This Row],[Quantity]], 0)</f>
        <v>4</v>
      </c>
      <c r="W150" s="16">
        <f>IF(Table1[[#This Row],[Gain/Loss]]="Loss",Table1[[#This Row],[Quantity]],0)</f>
        <v>0</v>
      </c>
      <c r="X150" s="16">
        <f>IF(OR(Table1[[#This Row],[Gain/Loss]]="Gain",Table1[[#This Row],[Gain/Loss]]="Loss"),Table1[[#This Row],[Quantity]],"")</f>
        <v>4</v>
      </c>
    </row>
    <row r="151" spans="1:24" x14ac:dyDescent="0.25">
      <c r="A151">
        <v>10150</v>
      </c>
      <c r="B151" s="1">
        <v>45807</v>
      </c>
      <c r="C151" s="1" t="str">
        <f>TEXT(Table1[[#This Row],[Order_Date]],"DD")</f>
        <v>30</v>
      </c>
      <c r="D151" s="1" t="str">
        <f>TEXT(Table1[[#This Row],[Order_Date]],"MMM")</f>
        <v>May</v>
      </c>
      <c r="E151" s="1" t="str">
        <f>TEXT(Table1[[#This Row],[Order_Date]],"YYYY")</f>
        <v>2025</v>
      </c>
      <c r="F151">
        <v>3661</v>
      </c>
      <c r="G151" t="s">
        <v>23</v>
      </c>
      <c r="H151" t="s">
        <v>18</v>
      </c>
      <c r="I151" t="s">
        <v>33</v>
      </c>
      <c r="J151" t="s">
        <v>20</v>
      </c>
      <c r="K151">
        <v>2</v>
      </c>
      <c r="L151" s="2">
        <v>203.09</v>
      </c>
      <c r="M151" s="3">
        <v>0</v>
      </c>
      <c r="N151" s="2">
        <v>406.18</v>
      </c>
      <c r="O151" s="2">
        <v>0</v>
      </c>
      <c r="P151" s="2">
        <v>406.18</v>
      </c>
      <c r="Q151" s="2">
        <v>15.25</v>
      </c>
      <c r="R151" s="2">
        <v>30.5</v>
      </c>
      <c r="S151" s="2">
        <v>375.68</v>
      </c>
      <c r="T151" s="3">
        <v>0.92491013836230196</v>
      </c>
      <c r="U151" s="2" t="str">
        <f>IF(Table1[[#This Row],[Net_Revenue]]&lt;Table1[[#This Row],[Total_Cost]], "Loss", "Gain")</f>
        <v>Gain</v>
      </c>
      <c r="V151" s="16">
        <f>IF(Table1[[#This Row],[Gain/Loss]]="Gain",Table1[[#This Row],[Quantity]], 0)</f>
        <v>2</v>
      </c>
      <c r="W151" s="16">
        <f>IF(Table1[[#This Row],[Gain/Loss]]="Loss",Table1[[#This Row],[Quantity]],0)</f>
        <v>0</v>
      </c>
      <c r="X151" s="16">
        <f>IF(OR(Table1[[#This Row],[Gain/Loss]]="Gain",Table1[[#This Row],[Gain/Loss]]="Loss"),Table1[[#This Row],[Quantity]],"")</f>
        <v>2</v>
      </c>
    </row>
    <row r="152" spans="1:24" x14ac:dyDescent="0.25">
      <c r="A152">
        <v>10151</v>
      </c>
      <c r="B152" s="1">
        <v>45808</v>
      </c>
      <c r="C152" s="1" t="str">
        <f>TEXT(Table1[[#This Row],[Order_Date]],"DD")</f>
        <v>31</v>
      </c>
      <c r="D152" s="1" t="str">
        <f>TEXT(Table1[[#This Row],[Order_Date]],"MMM")</f>
        <v>May</v>
      </c>
      <c r="E152" s="1" t="str">
        <f>TEXT(Table1[[#This Row],[Order_Date]],"YYYY")</f>
        <v>2025</v>
      </c>
      <c r="F152">
        <v>3044</v>
      </c>
      <c r="G152" t="s">
        <v>29</v>
      </c>
      <c r="H152" t="s">
        <v>18</v>
      </c>
      <c r="I152" t="s">
        <v>33</v>
      </c>
      <c r="J152" t="s">
        <v>20</v>
      </c>
      <c r="K152">
        <v>9</v>
      </c>
      <c r="L152" s="2">
        <v>197.52</v>
      </c>
      <c r="M152" s="3">
        <v>0.05</v>
      </c>
      <c r="N152" s="2">
        <v>1777.68</v>
      </c>
      <c r="O152" s="2">
        <v>88.884</v>
      </c>
      <c r="P152" s="2">
        <v>1688.796</v>
      </c>
      <c r="Q152" s="2">
        <v>90.6</v>
      </c>
      <c r="R152" s="2">
        <v>815.4</v>
      </c>
      <c r="S152" s="2">
        <v>873.39599999999996</v>
      </c>
      <c r="T152" s="3">
        <v>0.51717081281575705</v>
      </c>
      <c r="U152" s="2" t="str">
        <f>IF(Table1[[#This Row],[Net_Revenue]]&lt;Table1[[#This Row],[Total_Cost]], "Loss", "Gain")</f>
        <v>Gain</v>
      </c>
      <c r="V152" s="16">
        <f>IF(Table1[[#This Row],[Gain/Loss]]="Gain",Table1[[#This Row],[Quantity]], 0)</f>
        <v>9</v>
      </c>
      <c r="W152" s="16">
        <f>IF(Table1[[#This Row],[Gain/Loss]]="Loss",Table1[[#This Row],[Quantity]],0)</f>
        <v>0</v>
      </c>
      <c r="X152" s="16">
        <f>IF(OR(Table1[[#This Row],[Gain/Loss]]="Gain",Table1[[#This Row],[Gain/Loss]]="Loss"),Table1[[#This Row],[Quantity]],"")</f>
        <v>9</v>
      </c>
    </row>
    <row r="153" spans="1:24" x14ac:dyDescent="0.25">
      <c r="A153">
        <v>10152</v>
      </c>
      <c r="B153" s="1">
        <v>45809</v>
      </c>
      <c r="C153" s="1" t="str">
        <f>TEXT(Table1[[#This Row],[Order_Date]],"DD")</f>
        <v>01</v>
      </c>
      <c r="D153" s="1" t="str">
        <f>TEXT(Table1[[#This Row],[Order_Date]],"MMM")</f>
        <v>Jun</v>
      </c>
      <c r="E153" s="1" t="str">
        <f>TEXT(Table1[[#This Row],[Order_Date]],"YYYY")</f>
        <v>2025</v>
      </c>
      <c r="F153">
        <v>3987</v>
      </c>
      <c r="G153" t="s">
        <v>17</v>
      </c>
      <c r="H153" t="s">
        <v>18</v>
      </c>
      <c r="I153" t="s">
        <v>26</v>
      </c>
      <c r="J153" t="s">
        <v>30</v>
      </c>
      <c r="K153">
        <v>8</v>
      </c>
      <c r="L153" s="2">
        <v>137.16</v>
      </c>
      <c r="M153" s="3">
        <v>0.2</v>
      </c>
      <c r="N153" s="2">
        <v>1097.28</v>
      </c>
      <c r="O153" s="2">
        <v>219.45599999999999</v>
      </c>
      <c r="P153" s="2">
        <v>877.82399999999996</v>
      </c>
      <c r="Q153" s="2">
        <v>108.37</v>
      </c>
      <c r="R153" s="2">
        <v>866.96</v>
      </c>
      <c r="S153" s="2">
        <v>10.8639999999999</v>
      </c>
      <c r="T153" s="3">
        <v>1.23760571595216E-2</v>
      </c>
      <c r="U153" s="2" t="str">
        <f>IF(Table1[[#This Row],[Net_Revenue]]&lt;Table1[[#This Row],[Total_Cost]], "Loss", "Gain")</f>
        <v>Gain</v>
      </c>
      <c r="V153" s="16">
        <f>IF(Table1[[#This Row],[Gain/Loss]]="Gain",Table1[[#This Row],[Quantity]], 0)</f>
        <v>8</v>
      </c>
      <c r="W153" s="16">
        <f>IF(Table1[[#This Row],[Gain/Loss]]="Loss",Table1[[#This Row],[Quantity]],0)</f>
        <v>0</v>
      </c>
      <c r="X153" s="16">
        <f>IF(OR(Table1[[#This Row],[Gain/Loss]]="Gain",Table1[[#This Row],[Gain/Loss]]="Loss"),Table1[[#This Row],[Quantity]],"")</f>
        <v>8</v>
      </c>
    </row>
    <row r="154" spans="1:24" x14ac:dyDescent="0.25">
      <c r="A154">
        <v>10153</v>
      </c>
      <c r="B154" s="1">
        <v>45810</v>
      </c>
      <c r="C154" s="1" t="str">
        <f>TEXT(Table1[[#This Row],[Order_Date]],"DD")</f>
        <v>02</v>
      </c>
      <c r="D154" s="1" t="str">
        <f>TEXT(Table1[[#This Row],[Order_Date]],"MMM")</f>
        <v>Jun</v>
      </c>
      <c r="E154" s="1" t="str">
        <f>TEXT(Table1[[#This Row],[Order_Date]],"YYYY")</f>
        <v>2025</v>
      </c>
      <c r="F154">
        <v>3647</v>
      </c>
      <c r="G154" t="s">
        <v>17</v>
      </c>
      <c r="H154" t="s">
        <v>24</v>
      </c>
      <c r="I154" t="s">
        <v>26</v>
      </c>
      <c r="J154" t="s">
        <v>31</v>
      </c>
      <c r="K154">
        <v>3</v>
      </c>
      <c r="L154" s="2">
        <v>222.38</v>
      </c>
      <c r="M154" s="3">
        <v>0.05</v>
      </c>
      <c r="N154" s="2">
        <v>667.14</v>
      </c>
      <c r="O154" s="2">
        <v>33.356999999999999</v>
      </c>
      <c r="P154" s="2">
        <v>633.78300000000002</v>
      </c>
      <c r="Q154" s="2">
        <v>30.64</v>
      </c>
      <c r="R154" s="2">
        <v>91.92</v>
      </c>
      <c r="S154" s="2">
        <v>541.86300000000006</v>
      </c>
      <c r="T154" s="3">
        <v>0.85496613194105808</v>
      </c>
      <c r="U154" s="2" t="str">
        <f>IF(Table1[[#This Row],[Net_Revenue]]&lt;Table1[[#This Row],[Total_Cost]], "Loss", "Gain")</f>
        <v>Gain</v>
      </c>
      <c r="V154" s="16">
        <f>IF(Table1[[#This Row],[Gain/Loss]]="Gain",Table1[[#This Row],[Quantity]], 0)</f>
        <v>3</v>
      </c>
      <c r="W154" s="16">
        <f>IF(Table1[[#This Row],[Gain/Loss]]="Loss",Table1[[#This Row],[Quantity]],0)</f>
        <v>0</v>
      </c>
      <c r="X154" s="16">
        <f>IF(OR(Table1[[#This Row],[Gain/Loss]]="Gain",Table1[[#This Row],[Gain/Loss]]="Loss"),Table1[[#This Row],[Quantity]],"")</f>
        <v>3</v>
      </c>
    </row>
    <row r="155" spans="1:24" x14ac:dyDescent="0.25">
      <c r="A155">
        <v>10154</v>
      </c>
      <c r="B155" s="1">
        <v>45811</v>
      </c>
      <c r="C155" s="1" t="str">
        <f>TEXT(Table1[[#This Row],[Order_Date]],"DD")</f>
        <v>03</v>
      </c>
      <c r="D155" s="1" t="str">
        <f>TEXT(Table1[[#This Row],[Order_Date]],"MMM")</f>
        <v>Jun</v>
      </c>
      <c r="E155" s="1" t="str">
        <f>TEXT(Table1[[#This Row],[Order_Date]],"YYYY")</f>
        <v>2025</v>
      </c>
      <c r="F155">
        <v>3721</v>
      </c>
      <c r="G155" t="s">
        <v>21</v>
      </c>
      <c r="H155" t="s">
        <v>24</v>
      </c>
      <c r="I155" t="s">
        <v>19</v>
      </c>
      <c r="J155" t="s">
        <v>27</v>
      </c>
      <c r="K155">
        <v>9</v>
      </c>
      <c r="L155" s="2">
        <v>20.7</v>
      </c>
      <c r="M155" s="3">
        <v>0.1</v>
      </c>
      <c r="N155" s="2">
        <v>186.29999999999899</v>
      </c>
      <c r="O155" s="2">
        <v>18.63</v>
      </c>
      <c r="P155" s="2">
        <v>167.67</v>
      </c>
      <c r="Q155" s="2">
        <v>75.25</v>
      </c>
      <c r="R155" s="2">
        <v>677.25</v>
      </c>
      <c r="S155" s="2">
        <v>-509.58</v>
      </c>
      <c r="T155" s="3">
        <v>-3.0391841116478799</v>
      </c>
      <c r="U155" s="2" t="str">
        <f>IF(Table1[[#This Row],[Net_Revenue]]&lt;Table1[[#This Row],[Total_Cost]], "Loss", "Gain")</f>
        <v>Loss</v>
      </c>
      <c r="V155" s="16">
        <f>IF(Table1[[#This Row],[Gain/Loss]]="Gain",Table1[[#This Row],[Quantity]], 0)</f>
        <v>0</v>
      </c>
      <c r="W155" s="16">
        <f>IF(Table1[[#This Row],[Gain/Loss]]="Loss",Table1[[#This Row],[Quantity]],0)</f>
        <v>9</v>
      </c>
      <c r="X155" s="16">
        <f>IF(OR(Table1[[#This Row],[Gain/Loss]]="Gain",Table1[[#This Row],[Gain/Loss]]="Loss"),Table1[[#This Row],[Quantity]],"")</f>
        <v>9</v>
      </c>
    </row>
    <row r="156" spans="1:24" x14ac:dyDescent="0.25">
      <c r="A156">
        <v>10155</v>
      </c>
      <c r="B156" s="1">
        <v>45812</v>
      </c>
      <c r="C156" s="1" t="str">
        <f>TEXT(Table1[[#This Row],[Order_Date]],"DD")</f>
        <v>04</v>
      </c>
      <c r="D156" s="1" t="str">
        <f>TEXT(Table1[[#This Row],[Order_Date]],"MMM")</f>
        <v>Jun</v>
      </c>
      <c r="E156" s="1" t="str">
        <f>TEXT(Table1[[#This Row],[Order_Date]],"YYYY")</f>
        <v>2025</v>
      </c>
      <c r="F156">
        <v>3495</v>
      </c>
      <c r="G156" t="s">
        <v>21</v>
      </c>
      <c r="H156" t="s">
        <v>24</v>
      </c>
      <c r="I156" t="s">
        <v>26</v>
      </c>
      <c r="J156" t="s">
        <v>31</v>
      </c>
      <c r="K156">
        <v>9</v>
      </c>
      <c r="L156" s="2">
        <v>50.19</v>
      </c>
      <c r="M156" s="3">
        <v>0.1</v>
      </c>
      <c r="N156" s="2">
        <v>451.71</v>
      </c>
      <c r="O156" s="2">
        <v>45.170999999999999</v>
      </c>
      <c r="P156" s="2">
        <v>406.53899999999999</v>
      </c>
      <c r="Q156" s="2">
        <v>145.76</v>
      </c>
      <c r="R156" s="2">
        <v>1311.84</v>
      </c>
      <c r="S156" s="2">
        <v>-905.30099999999902</v>
      </c>
      <c r="T156" s="3">
        <v>-2.22684908458967</v>
      </c>
      <c r="U156" s="2" t="str">
        <f>IF(Table1[[#This Row],[Net_Revenue]]&lt;Table1[[#This Row],[Total_Cost]], "Loss", "Gain")</f>
        <v>Loss</v>
      </c>
      <c r="V156" s="16">
        <f>IF(Table1[[#This Row],[Gain/Loss]]="Gain",Table1[[#This Row],[Quantity]], 0)</f>
        <v>0</v>
      </c>
      <c r="W156" s="16">
        <f>IF(Table1[[#This Row],[Gain/Loss]]="Loss",Table1[[#This Row],[Quantity]],0)</f>
        <v>9</v>
      </c>
      <c r="X156" s="16">
        <f>IF(OR(Table1[[#This Row],[Gain/Loss]]="Gain",Table1[[#This Row],[Gain/Loss]]="Loss"),Table1[[#This Row],[Quantity]],"")</f>
        <v>9</v>
      </c>
    </row>
    <row r="157" spans="1:24" x14ac:dyDescent="0.25">
      <c r="A157">
        <v>10156</v>
      </c>
      <c r="B157" s="1">
        <v>45813</v>
      </c>
      <c r="C157" s="1" t="str">
        <f>TEXT(Table1[[#This Row],[Order_Date]],"DD")</f>
        <v>05</v>
      </c>
      <c r="D157" s="1" t="str">
        <f>TEXT(Table1[[#This Row],[Order_Date]],"MMM")</f>
        <v>Jun</v>
      </c>
      <c r="E157" s="1" t="str">
        <f>TEXT(Table1[[#This Row],[Order_Date]],"YYYY")</f>
        <v>2025</v>
      </c>
      <c r="F157">
        <v>3197</v>
      </c>
      <c r="G157" t="s">
        <v>17</v>
      </c>
      <c r="H157" t="s">
        <v>18</v>
      </c>
      <c r="I157" t="s">
        <v>25</v>
      </c>
      <c r="J157" t="s">
        <v>32</v>
      </c>
      <c r="K157">
        <v>7</v>
      </c>
      <c r="L157" s="2">
        <v>119.68</v>
      </c>
      <c r="M157" s="3">
        <v>0.15</v>
      </c>
      <c r="N157" s="2">
        <v>837.76</v>
      </c>
      <c r="O157" s="2">
        <v>125.66399999999901</v>
      </c>
      <c r="P157" s="2">
        <v>712.096</v>
      </c>
      <c r="Q157" s="2">
        <v>124.93</v>
      </c>
      <c r="R157" s="2">
        <v>874.51</v>
      </c>
      <c r="S157" s="2">
        <v>-162.41399999999999</v>
      </c>
      <c r="T157" s="3">
        <v>-0.22807879836426501</v>
      </c>
      <c r="U157" s="2" t="str">
        <f>IF(Table1[[#This Row],[Net_Revenue]]&lt;Table1[[#This Row],[Total_Cost]], "Loss", "Gain")</f>
        <v>Loss</v>
      </c>
      <c r="V157" s="16">
        <f>IF(Table1[[#This Row],[Gain/Loss]]="Gain",Table1[[#This Row],[Quantity]], 0)</f>
        <v>0</v>
      </c>
      <c r="W157" s="16">
        <f>IF(Table1[[#This Row],[Gain/Loss]]="Loss",Table1[[#This Row],[Quantity]],0)</f>
        <v>7</v>
      </c>
      <c r="X157" s="16">
        <f>IF(OR(Table1[[#This Row],[Gain/Loss]]="Gain",Table1[[#This Row],[Gain/Loss]]="Loss"),Table1[[#This Row],[Quantity]],"")</f>
        <v>7</v>
      </c>
    </row>
    <row r="158" spans="1:24" x14ac:dyDescent="0.25">
      <c r="A158">
        <v>10157</v>
      </c>
      <c r="B158" s="1">
        <v>45814</v>
      </c>
      <c r="C158" s="1" t="str">
        <f>TEXT(Table1[[#This Row],[Order_Date]],"DD")</f>
        <v>06</v>
      </c>
      <c r="D158" s="1" t="str">
        <f>TEXT(Table1[[#This Row],[Order_Date]],"MMM")</f>
        <v>Jun</v>
      </c>
      <c r="E158" s="1" t="str">
        <f>TEXT(Table1[[#This Row],[Order_Date]],"YYYY")</f>
        <v>2025</v>
      </c>
      <c r="F158">
        <v>3100</v>
      </c>
      <c r="G158" t="s">
        <v>17</v>
      </c>
      <c r="H158" t="s">
        <v>24</v>
      </c>
      <c r="I158" t="s">
        <v>26</v>
      </c>
      <c r="J158" t="s">
        <v>30</v>
      </c>
      <c r="K158">
        <v>7</v>
      </c>
      <c r="L158" s="2">
        <v>196.24</v>
      </c>
      <c r="M158" s="3">
        <v>0.15</v>
      </c>
      <c r="N158" s="2">
        <v>1373.68</v>
      </c>
      <c r="O158" s="2">
        <v>206.05199999999999</v>
      </c>
      <c r="P158" s="2">
        <v>1167.6279999999999</v>
      </c>
      <c r="Q158" s="2">
        <v>71.11</v>
      </c>
      <c r="R158" s="2">
        <v>497.77</v>
      </c>
      <c r="S158" s="2">
        <v>669.85799999999995</v>
      </c>
      <c r="T158" s="3">
        <v>0.57369127838660905</v>
      </c>
      <c r="U158" s="2" t="str">
        <f>IF(Table1[[#This Row],[Net_Revenue]]&lt;Table1[[#This Row],[Total_Cost]], "Loss", "Gain")</f>
        <v>Gain</v>
      </c>
      <c r="V158" s="16">
        <f>IF(Table1[[#This Row],[Gain/Loss]]="Gain",Table1[[#This Row],[Quantity]], 0)</f>
        <v>7</v>
      </c>
      <c r="W158" s="16">
        <f>IF(Table1[[#This Row],[Gain/Loss]]="Loss",Table1[[#This Row],[Quantity]],0)</f>
        <v>0</v>
      </c>
      <c r="X158" s="16">
        <f>IF(OR(Table1[[#This Row],[Gain/Loss]]="Gain",Table1[[#This Row],[Gain/Loss]]="Loss"),Table1[[#This Row],[Quantity]],"")</f>
        <v>7</v>
      </c>
    </row>
    <row r="159" spans="1:24" x14ac:dyDescent="0.25">
      <c r="A159">
        <v>10158</v>
      </c>
      <c r="B159" s="1">
        <v>45815</v>
      </c>
      <c r="C159" s="1" t="str">
        <f>TEXT(Table1[[#This Row],[Order_Date]],"DD")</f>
        <v>07</v>
      </c>
      <c r="D159" s="1" t="str">
        <f>TEXT(Table1[[#This Row],[Order_Date]],"MMM")</f>
        <v>Jun</v>
      </c>
      <c r="E159" s="1" t="str">
        <f>TEXT(Table1[[#This Row],[Order_Date]],"YYYY")</f>
        <v>2025</v>
      </c>
      <c r="F159">
        <v>3180</v>
      </c>
      <c r="G159" t="s">
        <v>23</v>
      </c>
      <c r="H159" t="s">
        <v>24</v>
      </c>
      <c r="I159" t="s">
        <v>26</v>
      </c>
      <c r="J159" t="s">
        <v>30</v>
      </c>
      <c r="K159">
        <v>6</v>
      </c>
      <c r="L159" s="2">
        <v>122.93</v>
      </c>
      <c r="M159" s="3">
        <v>0.15</v>
      </c>
      <c r="N159" s="2">
        <v>737.58</v>
      </c>
      <c r="O159" s="2">
        <v>110.637</v>
      </c>
      <c r="P159" s="2">
        <v>626.94299999999998</v>
      </c>
      <c r="Q159" s="2">
        <v>42.57</v>
      </c>
      <c r="R159" s="2">
        <v>255.42</v>
      </c>
      <c r="S159" s="2">
        <v>371.522999999999</v>
      </c>
      <c r="T159" s="3">
        <v>0.59259454208755802</v>
      </c>
      <c r="U159" s="2" t="str">
        <f>IF(Table1[[#This Row],[Net_Revenue]]&lt;Table1[[#This Row],[Total_Cost]], "Loss", "Gain")</f>
        <v>Gain</v>
      </c>
      <c r="V159" s="16">
        <f>IF(Table1[[#This Row],[Gain/Loss]]="Gain",Table1[[#This Row],[Quantity]], 0)</f>
        <v>6</v>
      </c>
      <c r="W159" s="16">
        <f>IF(Table1[[#This Row],[Gain/Loss]]="Loss",Table1[[#This Row],[Quantity]],0)</f>
        <v>0</v>
      </c>
      <c r="X159" s="16">
        <f>IF(OR(Table1[[#This Row],[Gain/Loss]]="Gain",Table1[[#This Row],[Gain/Loss]]="Loss"),Table1[[#This Row],[Quantity]],"")</f>
        <v>6</v>
      </c>
    </row>
    <row r="160" spans="1:24" x14ac:dyDescent="0.25">
      <c r="A160">
        <v>10159</v>
      </c>
      <c r="B160" s="1">
        <v>45816</v>
      </c>
      <c r="C160" s="1" t="str">
        <f>TEXT(Table1[[#This Row],[Order_Date]],"DD")</f>
        <v>08</v>
      </c>
      <c r="D160" s="1" t="str">
        <f>TEXT(Table1[[#This Row],[Order_Date]],"MMM")</f>
        <v>Jun</v>
      </c>
      <c r="E160" s="1" t="str">
        <f>TEXT(Table1[[#This Row],[Order_Date]],"YYYY")</f>
        <v>2025</v>
      </c>
      <c r="F160">
        <v>3169</v>
      </c>
      <c r="G160" t="s">
        <v>29</v>
      </c>
      <c r="H160" t="s">
        <v>18</v>
      </c>
      <c r="I160" t="s">
        <v>26</v>
      </c>
      <c r="J160" t="s">
        <v>28</v>
      </c>
      <c r="K160">
        <v>3</v>
      </c>
      <c r="L160" s="2">
        <v>248.77</v>
      </c>
      <c r="M160" s="3">
        <v>0</v>
      </c>
      <c r="N160" s="2">
        <v>746.31</v>
      </c>
      <c r="O160" s="2">
        <v>0</v>
      </c>
      <c r="P160" s="2">
        <v>746.31</v>
      </c>
      <c r="Q160" s="2">
        <v>28.24</v>
      </c>
      <c r="R160" s="2">
        <v>84.72</v>
      </c>
      <c r="S160" s="2">
        <v>661.59</v>
      </c>
      <c r="T160" s="3">
        <v>0.88648148892551304</v>
      </c>
      <c r="U160" s="2" t="str">
        <f>IF(Table1[[#This Row],[Net_Revenue]]&lt;Table1[[#This Row],[Total_Cost]], "Loss", "Gain")</f>
        <v>Gain</v>
      </c>
      <c r="V160" s="16">
        <f>IF(Table1[[#This Row],[Gain/Loss]]="Gain",Table1[[#This Row],[Quantity]], 0)</f>
        <v>3</v>
      </c>
      <c r="W160" s="16">
        <f>IF(Table1[[#This Row],[Gain/Loss]]="Loss",Table1[[#This Row],[Quantity]],0)</f>
        <v>0</v>
      </c>
      <c r="X160" s="16">
        <f>IF(OR(Table1[[#This Row],[Gain/Loss]]="Gain",Table1[[#This Row],[Gain/Loss]]="Loss"),Table1[[#This Row],[Quantity]],"")</f>
        <v>3</v>
      </c>
    </row>
    <row r="161" spans="1:24" x14ac:dyDescent="0.25">
      <c r="A161">
        <v>10160</v>
      </c>
      <c r="B161" s="1">
        <v>45817</v>
      </c>
      <c r="C161" s="1" t="str">
        <f>TEXT(Table1[[#This Row],[Order_Date]],"DD")</f>
        <v>09</v>
      </c>
      <c r="D161" s="1" t="str">
        <f>TEXT(Table1[[#This Row],[Order_Date]],"MMM")</f>
        <v>Jun</v>
      </c>
      <c r="E161" s="1" t="str">
        <f>TEXT(Table1[[#This Row],[Order_Date]],"YYYY")</f>
        <v>2025</v>
      </c>
      <c r="F161">
        <v>3029</v>
      </c>
      <c r="G161" t="s">
        <v>21</v>
      </c>
      <c r="H161" t="s">
        <v>18</v>
      </c>
      <c r="I161" t="s">
        <v>26</v>
      </c>
      <c r="J161" t="s">
        <v>31</v>
      </c>
      <c r="K161">
        <v>3</v>
      </c>
      <c r="L161" s="2">
        <v>238.86</v>
      </c>
      <c r="M161" s="3">
        <v>0.15</v>
      </c>
      <c r="N161" s="2">
        <v>716.58</v>
      </c>
      <c r="O161" s="2">
        <v>107.48699999999999</v>
      </c>
      <c r="P161" s="2">
        <v>609.09299999999996</v>
      </c>
      <c r="Q161" s="2">
        <v>11.65</v>
      </c>
      <c r="R161" s="2">
        <v>34.950000000000003</v>
      </c>
      <c r="S161" s="2">
        <v>574.14300000000003</v>
      </c>
      <c r="T161" s="3">
        <v>0.94261959996256706</v>
      </c>
      <c r="U161" s="2" t="str">
        <f>IF(Table1[[#This Row],[Net_Revenue]]&lt;Table1[[#This Row],[Total_Cost]], "Loss", "Gain")</f>
        <v>Gain</v>
      </c>
      <c r="V161" s="16">
        <f>IF(Table1[[#This Row],[Gain/Loss]]="Gain",Table1[[#This Row],[Quantity]], 0)</f>
        <v>3</v>
      </c>
      <c r="W161" s="16">
        <f>IF(Table1[[#This Row],[Gain/Loss]]="Loss",Table1[[#This Row],[Quantity]],0)</f>
        <v>0</v>
      </c>
      <c r="X161" s="16">
        <f>IF(OR(Table1[[#This Row],[Gain/Loss]]="Gain",Table1[[#This Row],[Gain/Loss]]="Loss"),Table1[[#This Row],[Quantity]],"")</f>
        <v>3</v>
      </c>
    </row>
    <row r="162" spans="1:24" x14ac:dyDescent="0.25">
      <c r="A162">
        <v>10161</v>
      </c>
      <c r="B162" s="1">
        <v>45818</v>
      </c>
      <c r="C162" s="1" t="str">
        <f>TEXT(Table1[[#This Row],[Order_Date]],"DD")</f>
        <v>10</v>
      </c>
      <c r="D162" s="1" t="str">
        <f>TEXT(Table1[[#This Row],[Order_Date]],"MMM")</f>
        <v>Jun</v>
      </c>
      <c r="E162" s="1" t="str">
        <f>TEXT(Table1[[#This Row],[Order_Date]],"YYYY")</f>
        <v>2025</v>
      </c>
      <c r="F162">
        <v>3282</v>
      </c>
      <c r="G162" t="s">
        <v>29</v>
      </c>
      <c r="H162" t="s">
        <v>24</v>
      </c>
      <c r="I162" t="s">
        <v>26</v>
      </c>
      <c r="J162" t="s">
        <v>31</v>
      </c>
      <c r="K162">
        <v>5</v>
      </c>
      <c r="L162" s="2">
        <v>226.48</v>
      </c>
      <c r="M162" s="3">
        <v>0</v>
      </c>
      <c r="N162" s="2">
        <v>1132.3999999999901</v>
      </c>
      <c r="O162" s="2">
        <v>0</v>
      </c>
      <c r="P162" s="2">
        <v>1132.3999999999901</v>
      </c>
      <c r="Q162" s="2">
        <v>38.99</v>
      </c>
      <c r="R162" s="2">
        <v>194.95</v>
      </c>
      <c r="S162" s="2">
        <v>937.44999999999902</v>
      </c>
      <c r="T162" s="3">
        <v>0.82784351819145097</v>
      </c>
      <c r="U162" s="2" t="str">
        <f>IF(Table1[[#This Row],[Net_Revenue]]&lt;Table1[[#This Row],[Total_Cost]], "Loss", "Gain")</f>
        <v>Gain</v>
      </c>
      <c r="V162" s="16">
        <f>IF(Table1[[#This Row],[Gain/Loss]]="Gain",Table1[[#This Row],[Quantity]], 0)</f>
        <v>5</v>
      </c>
      <c r="W162" s="16">
        <f>IF(Table1[[#This Row],[Gain/Loss]]="Loss",Table1[[#This Row],[Quantity]],0)</f>
        <v>0</v>
      </c>
      <c r="X162" s="16">
        <f>IF(OR(Table1[[#This Row],[Gain/Loss]]="Gain",Table1[[#This Row],[Gain/Loss]]="Loss"),Table1[[#This Row],[Quantity]],"")</f>
        <v>5</v>
      </c>
    </row>
    <row r="163" spans="1:24" x14ac:dyDescent="0.25">
      <c r="A163">
        <v>10162</v>
      </c>
      <c r="B163" s="1">
        <v>45819</v>
      </c>
      <c r="C163" s="1" t="str">
        <f>TEXT(Table1[[#This Row],[Order_Date]],"DD")</f>
        <v>11</v>
      </c>
      <c r="D163" s="1" t="str">
        <f>TEXT(Table1[[#This Row],[Order_Date]],"MMM")</f>
        <v>Jun</v>
      </c>
      <c r="E163" s="1" t="str">
        <f>TEXT(Table1[[#This Row],[Order_Date]],"YYYY")</f>
        <v>2025</v>
      </c>
      <c r="F163">
        <v>3832</v>
      </c>
      <c r="G163" t="s">
        <v>29</v>
      </c>
      <c r="H163" t="s">
        <v>18</v>
      </c>
      <c r="I163" t="s">
        <v>26</v>
      </c>
      <c r="J163" t="s">
        <v>30</v>
      </c>
      <c r="K163">
        <v>8</v>
      </c>
      <c r="L163" s="2">
        <v>206.58</v>
      </c>
      <c r="M163" s="3">
        <v>0.15</v>
      </c>
      <c r="N163" s="2">
        <v>1652.64</v>
      </c>
      <c r="O163" s="2">
        <v>247.89599999999999</v>
      </c>
      <c r="P163" s="2">
        <v>1404.7439999999999</v>
      </c>
      <c r="Q163" s="2">
        <v>75.81</v>
      </c>
      <c r="R163" s="2">
        <v>606.48</v>
      </c>
      <c r="S163" s="2">
        <v>798.26400000000001</v>
      </c>
      <c r="T163" s="3">
        <v>0.568262971758555</v>
      </c>
      <c r="U163" s="2" t="str">
        <f>IF(Table1[[#This Row],[Net_Revenue]]&lt;Table1[[#This Row],[Total_Cost]], "Loss", "Gain")</f>
        <v>Gain</v>
      </c>
      <c r="V163" s="16">
        <f>IF(Table1[[#This Row],[Gain/Loss]]="Gain",Table1[[#This Row],[Quantity]], 0)</f>
        <v>8</v>
      </c>
      <c r="W163" s="16">
        <f>IF(Table1[[#This Row],[Gain/Loss]]="Loss",Table1[[#This Row],[Quantity]],0)</f>
        <v>0</v>
      </c>
      <c r="X163" s="16">
        <f>IF(OR(Table1[[#This Row],[Gain/Loss]]="Gain",Table1[[#This Row],[Gain/Loss]]="Loss"),Table1[[#This Row],[Quantity]],"")</f>
        <v>8</v>
      </c>
    </row>
    <row r="164" spans="1:24" x14ac:dyDescent="0.25">
      <c r="A164">
        <v>10163</v>
      </c>
      <c r="B164" s="1">
        <v>45820</v>
      </c>
      <c r="C164" s="1" t="str">
        <f>TEXT(Table1[[#This Row],[Order_Date]],"DD")</f>
        <v>12</v>
      </c>
      <c r="D164" s="1" t="str">
        <f>TEXT(Table1[[#This Row],[Order_Date]],"MMM")</f>
        <v>Jun</v>
      </c>
      <c r="E164" s="1" t="str">
        <f>TEXT(Table1[[#This Row],[Order_Date]],"YYYY")</f>
        <v>2025</v>
      </c>
      <c r="F164">
        <v>3764</v>
      </c>
      <c r="G164" t="s">
        <v>29</v>
      </c>
      <c r="H164" t="s">
        <v>24</v>
      </c>
      <c r="I164" t="s">
        <v>26</v>
      </c>
      <c r="J164" t="s">
        <v>28</v>
      </c>
      <c r="K164">
        <v>9</v>
      </c>
      <c r="L164" s="2">
        <v>77.650000000000006</v>
      </c>
      <c r="M164" s="3">
        <v>0.05</v>
      </c>
      <c r="N164" s="2">
        <v>698.85</v>
      </c>
      <c r="O164" s="2">
        <v>34.942500000000003</v>
      </c>
      <c r="P164" s="2">
        <v>663.90750000000003</v>
      </c>
      <c r="Q164" s="2">
        <v>77.290000000000006</v>
      </c>
      <c r="R164" s="2">
        <v>695.61</v>
      </c>
      <c r="S164" s="2">
        <v>-31.702499999999901</v>
      </c>
      <c r="T164" s="3">
        <v>-4.7751381028230497E-2</v>
      </c>
      <c r="U164" s="2" t="str">
        <f>IF(Table1[[#This Row],[Net_Revenue]]&lt;Table1[[#This Row],[Total_Cost]], "Loss", "Gain")</f>
        <v>Loss</v>
      </c>
      <c r="V164" s="16">
        <f>IF(Table1[[#This Row],[Gain/Loss]]="Gain",Table1[[#This Row],[Quantity]], 0)</f>
        <v>0</v>
      </c>
      <c r="W164" s="16">
        <f>IF(Table1[[#This Row],[Gain/Loss]]="Loss",Table1[[#This Row],[Quantity]],0)</f>
        <v>9</v>
      </c>
      <c r="X164" s="16">
        <f>IF(OR(Table1[[#This Row],[Gain/Loss]]="Gain",Table1[[#This Row],[Gain/Loss]]="Loss"),Table1[[#This Row],[Quantity]],"")</f>
        <v>9</v>
      </c>
    </row>
    <row r="165" spans="1:24" x14ac:dyDescent="0.25">
      <c r="A165">
        <v>10164</v>
      </c>
      <c r="B165" s="1">
        <v>45821</v>
      </c>
      <c r="C165" s="1" t="str">
        <f>TEXT(Table1[[#This Row],[Order_Date]],"DD")</f>
        <v>13</v>
      </c>
      <c r="D165" s="1" t="str">
        <f>TEXT(Table1[[#This Row],[Order_Date]],"MMM")</f>
        <v>Jun</v>
      </c>
      <c r="E165" s="1" t="str">
        <f>TEXT(Table1[[#This Row],[Order_Date]],"YYYY")</f>
        <v>2025</v>
      </c>
      <c r="F165">
        <v>3190</v>
      </c>
      <c r="G165" t="s">
        <v>21</v>
      </c>
      <c r="H165" t="s">
        <v>18</v>
      </c>
      <c r="I165" t="s">
        <v>33</v>
      </c>
      <c r="J165" t="s">
        <v>20</v>
      </c>
      <c r="K165">
        <v>6</v>
      </c>
      <c r="L165" s="2">
        <v>167</v>
      </c>
      <c r="M165" s="3">
        <v>0.15</v>
      </c>
      <c r="N165" s="2">
        <v>1002</v>
      </c>
      <c r="O165" s="2">
        <v>150.29999999999899</v>
      </c>
      <c r="P165" s="2">
        <v>851.7</v>
      </c>
      <c r="Q165" s="2">
        <v>30.03</v>
      </c>
      <c r="R165" s="2">
        <v>180.18</v>
      </c>
      <c r="S165" s="2">
        <v>671.52</v>
      </c>
      <c r="T165" s="3">
        <v>0.78844663613948496</v>
      </c>
      <c r="U165" s="2" t="str">
        <f>IF(Table1[[#This Row],[Net_Revenue]]&lt;Table1[[#This Row],[Total_Cost]], "Loss", "Gain")</f>
        <v>Gain</v>
      </c>
      <c r="V165" s="16">
        <f>IF(Table1[[#This Row],[Gain/Loss]]="Gain",Table1[[#This Row],[Quantity]], 0)</f>
        <v>6</v>
      </c>
      <c r="W165" s="16">
        <f>IF(Table1[[#This Row],[Gain/Loss]]="Loss",Table1[[#This Row],[Quantity]],0)</f>
        <v>0</v>
      </c>
      <c r="X165" s="16">
        <f>IF(OR(Table1[[#This Row],[Gain/Loss]]="Gain",Table1[[#This Row],[Gain/Loss]]="Loss"),Table1[[#This Row],[Quantity]],"")</f>
        <v>6</v>
      </c>
    </row>
    <row r="166" spans="1:24" x14ac:dyDescent="0.25">
      <c r="A166">
        <v>10165</v>
      </c>
      <c r="B166" s="1">
        <v>45822</v>
      </c>
      <c r="C166" s="1" t="str">
        <f>TEXT(Table1[[#This Row],[Order_Date]],"DD")</f>
        <v>14</v>
      </c>
      <c r="D166" s="1" t="str">
        <f>TEXT(Table1[[#This Row],[Order_Date]],"MMM")</f>
        <v>Jun</v>
      </c>
      <c r="E166" s="1" t="str">
        <f>TEXT(Table1[[#This Row],[Order_Date]],"YYYY")</f>
        <v>2025</v>
      </c>
      <c r="F166">
        <v>3726</v>
      </c>
      <c r="G166" t="s">
        <v>29</v>
      </c>
      <c r="H166" t="s">
        <v>24</v>
      </c>
      <c r="I166" t="s">
        <v>25</v>
      </c>
      <c r="J166" t="s">
        <v>22</v>
      </c>
      <c r="K166">
        <v>7</v>
      </c>
      <c r="L166" s="2">
        <v>22.05</v>
      </c>
      <c r="M166" s="3">
        <v>0.15</v>
      </c>
      <c r="N166" s="2">
        <v>154.35</v>
      </c>
      <c r="O166" s="2">
        <v>23.1525</v>
      </c>
      <c r="P166" s="2">
        <v>131.19749999999999</v>
      </c>
      <c r="Q166" s="2">
        <v>70.89</v>
      </c>
      <c r="R166" s="2">
        <v>496.23</v>
      </c>
      <c r="S166" s="2">
        <v>-365.03250000000003</v>
      </c>
      <c r="T166" s="3">
        <v>-2.7823129251700602</v>
      </c>
      <c r="U166" s="2" t="str">
        <f>IF(Table1[[#This Row],[Net_Revenue]]&lt;Table1[[#This Row],[Total_Cost]], "Loss", "Gain")</f>
        <v>Loss</v>
      </c>
      <c r="V166" s="16">
        <f>IF(Table1[[#This Row],[Gain/Loss]]="Gain",Table1[[#This Row],[Quantity]], 0)</f>
        <v>0</v>
      </c>
      <c r="W166" s="16">
        <f>IF(Table1[[#This Row],[Gain/Loss]]="Loss",Table1[[#This Row],[Quantity]],0)</f>
        <v>7</v>
      </c>
      <c r="X166" s="16">
        <f>IF(OR(Table1[[#This Row],[Gain/Loss]]="Gain",Table1[[#This Row],[Gain/Loss]]="Loss"),Table1[[#This Row],[Quantity]],"")</f>
        <v>7</v>
      </c>
    </row>
    <row r="167" spans="1:24" x14ac:dyDescent="0.25">
      <c r="A167">
        <v>10166</v>
      </c>
      <c r="B167" s="1">
        <v>45823</v>
      </c>
      <c r="C167" s="1" t="str">
        <f>TEXT(Table1[[#This Row],[Order_Date]],"DD")</f>
        <v>15</v>
      </c>
      <c r="D167" s="1" t="str">
        <f>TEXT(Table1[[#This Row],[Order_Date]],"MMM")</f>
        <v>Jun</v>
      </c>
      <c r="E167" s="1" t="str">
        <f>TEXT(Table1[[#This Row],[Order_Date]],"YYYY")</f>
        <v>2025</v>
      </c>
      <c r="F167">
        <v>3738</v>
      </c>
      <c r="G167" t="s">
        <v>29</v>
      </c>
      <c r="H167" t="s">
        <v>18</v>
      </c>
      <c r="I167" t="s">
        <v>25</v>
      </c>
      <c r="J167" t="s">
        <v>32</v>
      </c>
      <c r="K167">
        <v>3</v>
      </c>
      <c r="L167" s="2">
        <v>206.63</v>
      </c>
      <c r="M167" s="3">
        <v>0.15</v>
      </c>
      <c r="N167" s="2">
        <v>619.89</v>
      </c>
      <c r="O167" s="2">
        <v>92.983499999999907</v>
      </c>
      <c r="P167" s="2">
        <v>526.90650000000005</v>
      </c>
      <c r="Q167" s="2">
        <v>68.959999999999994</v>
      </c>
      <c r="R167" s="2">
        <v>206.88</v>
      </c>
      <c r="S167" s="2">
        <v>320.0265</v>
      </c>
      <c r="T167" s="3">
        <v>0.60736866977347903</v>
      </c>
      <c r="U167" s="2" t="str">
        <f>IF(Table1[[#This Row],[Net_Revenue]]&lt;Table1[[#This Row],[Total_Cost]], "Loss", "Gain")</f>
        <v>Gain</v>
      </c>
      <c r="V167" s="16">
        <f>IF(Table1[[#This Row],[Gain/Loss]]="Gain",Table1[[#This Row],[Quantity]], 0)</f>
        <v>3</v>
      </c>
      <c r="W167" s="16">
        <f>IF(Table1[[#This Row],[Gain/Loss]]="Loss",Table1[[#This Row],[Quantity]],0)</f>
        <v>0</v>
      </c>
      <c r="X167" s="16">
        <f>IF(OR(Table1[[#This Row],[Gain/Loss]]="Gain",Table1[[#This Row],[Gain/Loss]]="Loss"),Table1[[#This Row],[Quantity]],"")</f>
        <v>3</v>
      </c>
    </row>
    <row r="168" spans="1:24" x14ac:dyDescent="0.25">
      <c r="A168">
        <v>10167</v>
      </c>
      <c r="B168" s="1">
        <v>45824</v>
      </c>
      <c r="C168" s="1" t="str">
        <f>TEXT(Table1[[#This Row],[Order_Date]],"DD")</f>
        <v>16</v>
      </c>
      <c r="D168" s="1" t="str">
        <f>TEXT(Table1[[#This Row],[Order_Date]],"MMM")</f>
        <v>Jun</v>
      </c>
      <c r="E168" s="1" t="str">
        <f>TEXT(Table1[[#This Row],[Order_Date]],"YYYY")</f>
        <v>2025</v>
      </c>
      <c r="F168">
        <v>3012</v>
      </c>
      <c r="G168" t="s">
        <v>23</v>
      </c>
      <c r="H168" t="s">
        <v>18</v>
      </c>
      <c r="I168" t="s">
        <v>19</v>
      </c>
      <c r="J168" t="s">
        <v>27</v>
      </c>
      <c r="K168">
        <v>4</v>
      </c>
      <c r="L168" s="2">
        <v>87.63</v>
      </c>
      <c r="M168" s="3">
        <v>0</v>
      </c>
      <c r="N168" s="2">
        <v>350.52</v>
      </c>
      <c r="O168" s="2">
        <v>0</v>
      </c>
      <c r="P168" s="2">
        <v>350.52</v>
      </c>
      <c r="Q168" s="2">
        <v>122.38</v>
      </c>
      <c r="R168" s="2">
        <v>489.52</v>
      </c>
      <c r="S168" s="2">
        <v>-139</v>
      </c>
      <c r="T168" s="3">
        <v>-0.39655369165810794</v>
      </c>
      <c r="U168" s="2" t="str">
        <f>IF(Table1[[#This Row],[Net_Revenue]]&lt;Table1[[#This Row],[Total_Cost]], "Loss", "Gain")</f>
        <v>Loss</v>
      </c>
      <c r="V168" s="16">
        <f>IF(Table1[[#This Row],[Gain/Loss]]="Gain",Table1[[#This Row],[Quantity]], 0)</f>
        <v>0</v>
      </c>
      <c r="W168" s="16">
        <f>IF(Table1[[#This Row],[Gain/Loss]]="Loss",Table1[[#This Row],[Quantity]],0)</f>
        <v>4</v>
      </c>
      <c r="X168" s="16">
        <f>IF(OR(Table1[[#This Row],[Gain/Loss]]="Gain",Table1[[#This Row],[Gain/Loss]]="Loss"),Table1[[#This Row],[Quantity]],"")</f>
        <v>4</v>
      </c>
    </row>
    <row r="169" spans="1:24" x14ac:dyDescent="0.25">
      <c r="A169">
        <v>10168</v>
      </c>
      <c r="B169" s="1">
        <v>45825</v>
      </c>
      <c r="C169" s="1" t="str">
        <f>TEXT(Table1[[#This Row],[Order_Date]],"DD")</f>
        <v>17</v>
      </c>
      <c r="D169" s="1" t="str">
        <f>TEXT(Table1[[#This Row],[Order_Date]],"MMM")</f>
        <v>Jun</v>
      </c>
      <c r="E169" s="1" t="str">
        <f>TEXT(Table1[[#This Row],[Order_Date]],"YYYY")</f>
        <v>2025</v>
      </c>
      <c r="F169">
        <v>3646</v>
      </c>
      <c r="G169" t="s">
        <v>23</v>
      </c>
      <c r="H169" t="s">
        <v>24</v>
      </c>
      <c r="I169" t="s">
        <v>26</v>
      </c>
      <c r="J169" t="s">
        <v>28</v>
      </c>
      <c r="K169">
        <v>9</v>
      </c>
      <c r="L169" s="2">
        <v>56.96</v>
      </c>
      <c r="M169" s="3">
        <v>0.2</v>
      </c>
      <c r="N169" s="2">
        <v>512.64</v>
      </c>
      <c r="O169" s="2">
        <v>102.52800000000001</v>
      </c>
      <c r="P169" s="2">
        <v>410.111999999999</v>
      </c>
      <c r="Q169" s="2">
        <v>138.59</v>
      </c>
      <c r="R169" s="2">
        <v>1247.31</v>
      </c>
      <c r="S169" s="2">
        <v>-837.19799999999998</v>
      </c>
      <c r="T169" s="3">
        <v>-2.0413886938202199</v>
      </c>
      <c r="U169" s="2" t="str">
        <f>IF(Table1[[#This Row],[Net_Revenue]]&lt;Table1[[#This Row],[Total_Cost]], "Loss", "Gain")</f>
        <v>Loss</v>
      </c>
      <c r="V169" s="16">
        <f>IF(Table1[[#This Row],[Gain/Loss]]="Gain",Table1[[#This Row],[Quantity]], 0)</f>
        <v>0</v>
      </c>
      <c r="W169" s="16">
        <f>IF(Table1[[#This Row],[Gain/Loss]]="Loss",Table1[[#This Row],[Quantity]],0)</f>
        <v>9</v>
      </c>
      <c r="X169" s="16">
        <f>IF(OR(Table1[[#This Row],[Gain/Loss]]="Gain",Table1[[#This Row],[Gain/Loss]]="Loss"),Table1[[#This Row],[Quantity]],"")</f>
        <v>9</v>
      </c>
    </row>
    <row r="170" spans="1:24" x14ac:dyDescent="0.25">
      <c r="A170">
        <v>10169</v>
      </c>
      <c r="B170" s="1">
        <v>45826</v>
      </c>
      <c r="C170" s="1" t="str">
        <f>TEXT(Table1[[#This Row],[Order_Date]],"DD")</f>
        <v>18</v>
      </c>
      <c r="D170" s="1" t="str">
        <f>TEXT(Table1[[#This Row],[Order_Date]],"MMM")</f>
        <v>Jun</v>
      </c>
      <c r="E170" s="1" t="str">
        <f>TEXT(Table1[[#This Row],[Order_Date]],"YYYY")</f>
        <v>2025</v>
      </c>
      <c r="F170">
        <v>3488</v>
      </c>
      <c r="G170" t="s">
        <v>29</v>
      </c>
      <c r="H170" t="s">
        <v>24</v>
      </c>
      <c r="I170" t="s">
        <v>26</v>
      </c>
      <c r="J170" t="s">
        <v>28</v>
      </c>
      <c r="K170">
        <v>3</v>
      </c>
      <c r="L170" s="2">
        <v>141.75</v>
      </c>
      <c r="M170" s="3">
        <v>0.15</v>
      </c>
      <c r="N170" s="2">
        <v>425.25</v>
      </c>
      <c r="O170" s="2">
        <v>63.787499999999902</v>
      </c>
      <c r="P170" s="2">
        <v>361.46249999999998</v>
      </c>
      <c r="Q170" s="2">
        <v>143.81</v>
      </c>
      <c r="R170" s="2">
        <v>431.43</v>
      </c>
      <c r="S170" s="2">
        <v>-69.967500000000001</v>
      </c>
      <c r="T170" s="3">
        <v>-0.19356779748936601</v>
      </c>
      <c r="U170" s="2" t="str">
        <f>IF(Table1[[#This Row],[Net_Revenue]]&lt;Table1[[#This Row],[Total_Cost]], "Loss", "Gain")</f>
        <v>Loss</v>
      </c>
      <c r="V170" s="16">
        <f>IF(Table1[[#This Row],[Gain/Loss]]="Gain",Table1[[#This Row],[Quantity]], 0)</f>
        <v>0</v>
      </c>
      <c r="W170" s="16">
        <f>IF(Table1[[#This Row],[Gain/Loss]]="Loss",Table1[[#This Row],[Quantity]],0)</f>
        <v>3</v>
      </c>
      <c r="X170" s="16">
        <f>IF(OR(Table1[[#This Row],[Gain/Loss]]="Gain",Table1[[#This Row],[Gain/Loss]]="Loss"),Table1[[#This Row],[Quantity]],"")</f>
        <v>3</v>
      </c>
    </row>
    <row r="171" spans="1:24" x14ac:dyDescent="0.25">
      <c r="A171">
        <v>10170</v>
      </c>
      <c r="B171" s="1">
        <v>45827</v>
      </c>
      <c r="C171" s="1" t="str">
        <f>TEXT(Table1[[#This Row],[Order_Date]],"DD")</f>
        <v>19</v>
      </c>
      <c r="D171" s="1" t="str">
        <f>TEXT(Table1[[#This Row],[Order_Date]],"MMM")</f>
        <v>Jun</v>
      </c>
      <c r="E171" s="1" t="str">
        <f>TEXT(Table1[[#This Row],[Order_Date]],"YYYY")</f>
        <v>2025</v>
      </c>
      <c r="F171">
        <v>3930</v>
      </c>
      <c r="G171" t="s">
        <v>23</v>
      </c>
      <c r="H171" t="s">
        <v>24</v>
      </c>
      <c r="I171" t="s">
        <v>33</v>
      </c>
      <c r="J171" t="s">
        <v>20</v>
      </c>
      <c r="K171">
        <v>4</v>
      </c>
      <c r="L171" s="2">
        <v>156.47</v>
      </c>
      <c r="M171" s="3">
        <v>0.1</v>
      </c>
      <c r="N171" s="2">
        <v>625.88</v>
      </c>
      <c r="O171" s="2">
        <v>62.588000000000001</v>
      </c>
      <c r="P171" s="2">
        <v>563.29200000000003</v>
      </c>
      <c r="Q171" s="2">
        <v>75.62</v>
      </c>
      <c r="R171" s="2">
        <v>302.48</v>
      </c>
      <c r="S171" s="2">
        <v>260.81200000000001</v>
      </c>
      <c r="T171" s="3">
        <v>0.46301385427096398</v>
      </c>
      <c r="U171" s="2" t="str">
        <f>IF(Table1[[#This Row],[Net_Revenue]]&lt;Table1[[#This Row],[Total_Cost]], "Loss", "Gain")</f>
        <v>Gain</v>
      </c>
      <c r="V171" s="16">
        <f>IF(Table1[[#This Row],[Gain/Loss]]="Gain",Table1[[#This Row],[Quantity]], 0)</f>
        <v>4</v>
      </c>
      <c r="W171" s="16">
        <f>IF(Table1[[#This Row],[Gain/Loss]]="Loss",Table1[[#This Row],[Quantity]],0)</f>
        <v>0</v>
      </c>
      <c r="X171" s="16">
        <f>IF(OR(Table1[[#This Row],[Gain/Loss]]="Gain",Table1[[#This Row],[Gain/Loss]]="Loss"),Table1[[#This Row],[Quantity]],"")</f>
        <v>4</v>
      </c>
    </row>
    <row r="172" spans="1:24" x14ac:dyDescent="0.25">
      <c r="A172">
        <v>10171</v>
      </c>
      <c r="B172" s="1">
        <v>45828</v>
      </c>
      <c r="C172" s="1" t="str">
        <f>TEXT(Table1[[#This Row],[Order_Date]],"DD")</f>
        <v>20</v>
      </c>
      <c r="D172" s="1" t="str">
        <f>TEXT(Table1[[#This Row],[Order_Date]],"MMM")</f>
        <v>Jun</v>
      </c>
      <c r="E172" s="1" t="str">
        <f>TEXT(Table1[[#This Row],[Order_Date]],"YYYY")</f>
        <v>2025</v>
      </c>
      <c r="F172">
        <v>3443</v>
      </c>
      <c r="G172" t="s">
        <v>17</v>
      </c>
      <c r="H172" t="s">
        <v>24</v>
      </c>
      <c r="I172" t="s">
        <v>26</v>
      </c>
      <c r="J172" t="s">
        <v>31</v>
      </c>
      <c r="K172">
        <v>4</v>
      </c>
      <c r="L172" s="2">
        <v>108.09</v>
      </c>
      <c r="M172" s="3">
        <v>0.15</v>
      </c>
      <c r="N172" s="2">
        <v>432.36</v>
      </c>
      <c r="O172" s="2">
        <v>64.853999999999999</v>
      </c>
      <c r="P172" s="2">
        <v>367.50599999999997</v>
      </c>
      <c r="Q172" s="2">
        <v>128.38999999999999</v>
      </c>
      <c r="R172" s="2">
        <v>513.55999999999995</v>
      </c>
      <c r="S172" s="2">
        <v>-146.05399999999901</v>
      </c>
      <c r="T172" s="3">
        <v>-0.39741936186075799</v>
      </c>
      <c r="U172" s="2" t="str">
        <f>IF(Table1[[#This Row],[Net_Revenue]]&lt;Table1[[#This Row],[Total_Cost]], "Loss", "Gain")</f>
        <v>Loss</v>
      </c>
      <c r="V172" s="16">
        <f>IF(Table1[[#This Row],[Gain/Loss]]="Gain",Table1[[#This Row],[Quantity]], 0)</f>
        <v>0</v>
      </c>
      <c r="W172" s="16">
        <f>IF(Table1[[#This Row],[Gain/Loss]]="Loss",Table1[[#This Row],[Quantity]],0)</f>
        <v>4</v>
      </c>
      <c r="X172" s="16">
        <f>IF(OR(Table1[[#This Row],[Gain/Loss]]="Gain",Table1[[#This Row],[Gain/Loss]]="Loss"),Table1[[#This Row],[Quantity]],"")</f>
        <v>4</v>
      </c>
    </row>
    <row r="173" spans="1:24" x14ac:dyDescent="0.25">
      <c r="A173">
        <v>10172</v>
      </c>
      <c r="B173" s="1">
        <v>45829</v>
      </c>
      <c r="C173" s="1" t="str">
        <f>TEXT(Table1[[#This Row],[Order_Date]],"DD")</f>
        <v>21</v>
      </c>
      <c r="D173" s="1" t="str">
        <f>TEXT(Table1[[#This Row],[Order_Date]],"MMM")</f>
        <v>Jun</v>
      </c>
      <c r="E173" s="1" t="str">
        <f>TEXT(Table1[[#This Row],[Order_Date]],"YYYY")</f>
        <v>2025</v>
      </c>
      <c r="F173">
        <v>3106</v>
      </c>
      <c r="G173" t="s">
        <v>21</v>
      </c>
      <c r="H173" t="s">
        <v>18</v>
      </c>
      <c r="I173" t="s">
        <v>19</v>
      </c>
      <c r="J173" t="s">
        <v>27</v>
      </c>
      <c r="K173">
        <v>7</v>
      </c>
      <c r="L173" s="2">
        <v>148</v>
      </c>
      <c r="M173" s="3">
        <v>0.1</v>
      </c>
      <c r="N173" s="2">
        <v>1036</v>
      </c>
      <c r="O173" s="2">
        <v>103.6</v>
      </c>
      <c r="P173" s="2">
        <v>932.4</v>
      </c>
      <c r="Q173" s="2">
        <v>94.93</v>
      </c>
      <c r="R173" s="2">
        <v>664.51</v>
      </c>
      <c r="S173" s="2">
        <v>267.89</v>
      </c>
      <c r="T173" s="3">
        <v>0.28731231231231197</v>
      </c>
      <c r="U173" s="2" t="str">
        <f>IF(Table1[[#This Row],[Net_Revenue]]&lt;Table1[[#This Row],[Total_Cost]], "Loss", "Gain")</f>
        <v>Gain</v>
      </c>
      <c r="V173" s="16">
        <f>IF(Table1[[#This Row],[Gain/Loss]]="Gain",Table1[[#This Row],[Quantity]], 0)</f>
        <v>7</v>
      </c>
      <c r="W173" s="16">
        <f>IF(Table1[[#This Row],[Gain/Loss]]="Loss",Table1[[#This Row],[Quantity]],0)</f>
        <v>0</v>
      </c>
      <c r="X173" s="16">
        <f>IF(OR(Table1[[#This Row],[Gain/Loss]]="Gain",Table1[[#This Row],[Gain/Loss]]="Loss"),Table1[[#This Row],[Quantity]],"")</f>
        <v>7</v>
      </c>
    </row>
    <row r="174" spans="1:24" x14ac:dyDescent="0.25">
      <c r="A174">
        <v>10173</v>
      </c>
      <c r="B174" s="1">
        <v>45830</v>
      </c>
      <c r="C174" s="1" t="str">
        <f>TEXT(Table1[[#This Row],[Order_Date]],"DD")</f>
        <v>22</v>
      </c>
      <c r="D174" s="1" t="str">
        <f>TEXT(Table1[[#This Row],[Order_Date]],"MMM")</f>
        <v>Jun</v>
      </c>
      <c r="E174" s="1" t="str">
        <f>TEXT(Table1[[#This Row],[Order_Date]],"YYYY")</f>
        <v>2025</v>
      </c>
      <c r="F174">
        <v>3622</v>
      </c>
      <c r="G174" t="s">
        <v>29</v>
      </c>
      <c r="H174" t="s">
        <v>24</v>
      </c>
      <c r="I174" t="s">
        <v>25</v>
      </c>
      <c r="J174" t="s">
        <v>22</v>
      </c>
      <c r="K174">
        <v>5</v>
      </c>
      <c r="L174" s="2">
        <v>210.58</v>
      </c>
      <c r="M174" s="3">
        <v>0.2</v>
      </c>
      <c r="N174" s="2">
        <v>1052.9000000000001</v>
      </c>
      <c r="O174" s="2">
        <v>210.58</v>
      </c>
      <c r="P174" s="2">
        <v>842.32</v>
      </c>
      <c r="Q174" s="2">
        <v>19.75</v>
      </c>
      <c r="R174" s="2">
        <v>98.75</v>
      </c>
      <c r="S174" s="2">
        <v>743.57</v>
      </c>
      <c r="T174" s="3">
        <v>0.88276427011112102</v>
      </c>
      <c r="U174" s="2" t="str">
        <f>IF(Table1[[#This Row],[Net_Revenue]]&lt;Table1[[#This Row],[Total_Cost]], "Loss", "Gain")</f>
        <v>Gain</v>
      </c>
      <c r="V174" s="16">
        <f>IF(Table1[[#This Row],[Gain/Loss]]="Gain",Table1[[#This Row],[Quantity]], 0)</f>
        <v>5</v>
      </c>
      <c r="W174" s="16">
        <f>IF(Table1[[#This Row],[Gain/Loss]]="Loss",Table1[[#This Row],[Quantity]],0)</f>
        <v>0</v>
      </c>
      <c r="X174" s="16">
        <f>IF(OR(Table1[[#This Row],[Gain/Loss]]="Gain",Table1[[#This Row],[Gain/Loss]]="Loss"),Table1[[#This Row],[Quantity]],"")</f>
        <v>5</v>
      </c>
    </row>
    <row r="175" spans="1:24" x14ac:dyDescent="0.25">
      <c r="A175">
        <v>10174</v>
      </c>
      <c r="B175" s="1">
        <v>45831</v>
      </c>
      <c r="C175" s="1" t="str">
        <f>TEXT(Table1[[#This Row],[Order_Date]],"DD")</f>
        <v>23</v>
      </c>
      <c r="D175" s="1" t="str">
        <f>TEXT(Table1[[#This Row],[Order_Date]],"MMM")</f>
        <v>Jun</v>
      </c>
      <c r="E175" s="1" t="str">
        <f>TEXT(Table1[[#This Row],[Order_Date]],"YYYY")</f>
        <v>2025</v>
      </c>
      <c r="F175">
        <v>3884</v>
      </c>
      <c r="G175" t="s">
        <v>29</v>
      </c>
      <c r="H175" t="s">
        <v>24</v>
      </c>
      <c r="I175" t="s">
        <v>26</v>
      </c>
      <c r="J175" t="s">
        <v>28</v>
      </c>
      <c r="K175">
        <v>2</v>
      </c>
      <c r="L175" s="2">
        <v>84.9</v>
      </c>
      <c r="M175" s="3">
        <v>0.1</v>
      </c>
      <c r="N175" s="2">
        <v>169.8</v>
      </c>
      <c r="O175" s="2">
        <v>16.98</v>
      </c>
      <c r="P175" s="2">
        <v>152.82</v>
      </c>
      <c r="Q175" s="2">
        <v>15.57</v>
      </c>
      <c r="R175" s="2">
        <v>31.14</v>
      </c>
      <c r="S175" s="2">
        <v>121.68</v>
      </c>
      <c r="T175" s="3">
        <v>0.7962308598351</v>
      </c>
      <c r="U175" s="2" t="str">
        <f>IF(Table1[[#This Row],[Net_Revenue]]&lt;Table1[[#This Row],[Total_Cost]], "Loss", "Gain")</f>
        <v>Gain</v>
      </c>
      <c r="V175" s="16">
        <f>IF(Table1[[#This Row],[Gain/Loss]]="Gain",Table1[[#This Row],[Quantity]], 0)</f>
        <v>2</v>
      </c>
      <c r="W175" s="16">
        <f>IF(Table1[[#This Row],[Gain/Loss]]="Loss",Table1[[#This Row],[Quantity]],0)</f>
        <v>0</v>
      </c>
      <c r="X175" s="16">
        <f>IF(OR(Table1[[#This Row],[Gain/Loss]]="Gain",Table1[[#This Row],[Gain/Loss]]="Loss"),Table1[[#This Row],[Quantity]],"")</f>
        <v>2</v>
      </c>
    </row>
    <row r="176" spans="1:24" x14ac:dyDescent="0.25">
      <c r="A176">
        <v>10175</v>
      </c>
      <c r="B176" s="1">
        <v>45832</v>
      </c>
      <c r="C176" s="1" t="str">
        <f>TEXT(Table1[[#This Row],[Order_Date]],"DD")</f>
        <v>24</v>
      </c>
      <c r="D176" s="1" t="str">
        <f>TEXT(Table1[[#This Row],[Order_Date]],"MMM")</f>
        <v>Jun</v>
      </c>
      <c r="E176" s="1" t="str">
        <f>TEXT(Table1[[#This Row],[Order_Date]],"YYYY")</f>
        <v>2025</v>
      </c>
      <c r="F176">
        <v>3497</v>
      </c>
      <c r="G176" t="s">
        <v>23</v>
      </c>
      <c r="H176" t="s">
        <v>24</v>
      </c>
      <c r="I176" t="s">
        <v>26</v>
      </c>
      <c r="J176" t="s">
        <v>30</v>
      </c>
      <c r="K176">
        <v>1</v>
      </c>
      <c r="L176" s="2">
        <v>142.79</v>
      </c>
      <c r="M176" s="3">
        <v>0.15</v>
      </c>
      <c r="N176" s="2">
        <v>142.79</v>
      </c>
      <c r="O176" s="2">
        <v>21.418499999999899</v>
      </c>
      <c r="P176" s="2">
        <v>121.3715</v>
      </c>
      <c r="Q176" s="2">
        <v>92.74</v>
      </c>
      <c r="R176" s="2">
        <v>92.74</v>
      </c>
      <c r="S176" s="2">
        <v>28.631499999999999</v>
      </c>
      <c r="T176" s="3">
        <v>0.23589969638671299</v>
      </c>
      <c r="U176" s="2" t="str">
        <f>IF(Table1[[#This Row],[Net_Revenue]]&lt;Table1[[#This Row],[Total_Cost]], "Loss", "Gain")</f>
        <v>Gain</v>
      </c>
      <c r="V176" s="16">
        <f>IF(Table1[[#This Row],[Gain/Loss]]="Gain",Table1[[#This Row],[Quantity]], 0)</f>
        <v>1</v>
      </c>
      <c r="W176" s="16">
        <f>IF(Table1[[#This Row],[Gain/Loss]]="Loss",Table1[[#This Row],[Quantity]],0)</f>
        <v>0</v>
      </c>
      <c r="X176" s="16">
        <f>IF(OR(Table1[[#This Row],[Gain/Loss]]="Gain",Table1[[#This Row],[Gain/Loss]]="Loss"),Table1[[#This Row],[Quantity]],"")</f>
        <v>1</v>
      </c>
    </row>
    <row r="177" spans="1:24" x14ac:dyDescent="0.25">
      <c r="A177">
        <v>10176</v>
      </c>
      <c r="B177" s="1">
        <v>45833</v>
      </c>
      <c r="C177" s="1" t="str">
        <f>TEXT(Table1[[#This Row],[Order_Date]],"DD")</f>
        <v>25</v>
      </c>
      <c r="D177" s="1" t="str">
        <f>TEXT(Table1[[#This Row],[Order_Date]],"MMM")</f>
        <v>Jun</v>
      </c>
      <c r="E177" s="1" t="str">
        <f>TEXT(Table1[[#This Row],[Order_Date]],"YYYY")</f>
        <v>2025</v>
      </c>
      <c r="F177">
        <v>3349</v>
      </c>
      <c r="G177" t="s">
        <v>21</v>
      </c>
      <c r="H177" t="s">
        <v>24</v>
      </c>
      <c r="I177" t="s">
        <v>19</v>
      </c>
      <c r="J177" t="s">
        <v>27</v>
      </c>
      <c r="K177">
        <v>8</v>
      </c>
      <c r="L177" s="2">
        <v>143.27000000000001</v>
      </c>
      <c r="M177" s="3">
        <v>0.2</v>
      </c>
      <c r="N177" s="2">
        <v>1146.1600000000001</v>
      </c>
      <c r="O177" s="2">
        <v>229.232</v>
      </c>
      <c r="P177" s="2">
        <v>916.928</v>
      </c>
      <c r="Q177" s="2">
        <v>103.84</v>
      </c>
      <c r="R177" s="2">
        <v>830.72</v>
      </c>
      <c r="S177" s="2">
        <v>86.207999999999998</v>
      </c>
      <c r="T177" s="3">
        <v>9.401828715013609E-2</v>
      </c>
      <c r="U177" s="2" t="str">
        <f>IF(Table1[[#This Row],[Net_Revenue]]&lt;Table1[[#This Row],[Total_Cost]], "Loss", "Gain")</f>
        <v>Gain</v>
      </c>
      <c r="V177" s="16">
        <f>IF(Table1[[#This Row],[Gain/Loss]]="Gain",Table1[[#This Row],[Quantity]], 0)</f>
        <v>8</v>
      </c>
      <c r="W177" s="16">
        <f>IF(Table1[[#This Row],[Gain/Loss]]="Loss",Table1[[#This Row],[Quantity]],0)</f>
        <v>0</v>
      </c>
      <c r="X177" s="16">
        <f>IF(OR(Table1[[#This Row],[Gain/Loss]]="Gain",Table1[[#This Row],[Gain/Loss]]="Loss"),Table1[[#This Row],[Quantity]],"")</f>
        <v>8</v>
      </c>
    </row>
    <row r="178" spans="1:24" x14ac:dyDescent="0.25">
      <c r="A178">
        <v>10177</v>
      </c>
      <c r="B178" s="1">
        <v>45834</v>
      </c>
      <c r="C178" s="1" t="str">
        <f>TEXT(Table1[[#This Row],[Order_Date]],"DD")</f>
        <v>26</v>
      </c>
      <c r="D178" s="1" t="str">
        <f>TEXT(Table1[[#This Row],[Order_Date]],"MMM")</f>
        <v>Jun</v>
      </c>
      <c r="E178" s="1" t="str">
        <f>TEXT(Table1[[#This Row],[Order_Date]],"YYYY")</f>
        <v>2025</v>
      </c>
      <c r="F178">
        <v>3486</v>
      </c>
      <c r="G178" t="s">
        <v>29</v>
      </c>
      <c r="H178" t="s">
        <v>24</v>
      </c>
      <c r="I178" t="s">
        <v>26</v>
      </c>
      <c r="J178" t="s">
        <v>28</v>
      </c>
      <c r="K178">
        <v>8</v>
      </c>
      <c r="L178" s="2">
        <v>85.06</v>
      </c>
      <c r="M178" s="3">
        <v>0.05</v>
      </c>
      <c r="N178" s="2">
        <v>680.48</v>
      </c>
      <c r="O178" s="2">
        <v>34.024000000000001</v>
      </c>
      <c r="P178" s="2">
        <v>646.45600000000002</v>
      </c>
      <c r="Q178" s="2">
        <v>99.49</v>
      </c>
      <c r="R178" s="2">
        <v>795.92</v>
      </c>
      <c r="S178" s="2">
        <v>-149.463999999999</v>
      </c>
      <c r="T178" s="3">
        <v>-0.231205217369782</v>
      </c>
      <c r="U178" s="2" t="str">
        <f>IF(Table1[[#This Row],[Net_Revenue]]&lt;Table1[[#This Row],[Total_Cost]], "Loss", "Gain")</f>
        <v>Loss</v>
      </c>
      <c r="V178" s="16">
        <f>IF(Table1[[#This Row],[Gain/Loss]]="Gain",Table1[[#This Row],[Quantity]], 0)</f>
        <v>0</v>
      </c>
      <c r="W178" s="16">
        <f>IF(Table1[[#This Row],[Gain/Loss]]="Loss",Table1[[#This Row],[Quantity]],0)</f>
        <v>8</v>
      </c>
      <c r="X178" s="16">
        <f>IF(OR(Table1[[#This Row],[Gain/Loss]]="Gain",Table1[[#This Row],[Gain/Loss]]="Loss"),Table1[[#This Row],[Quantity]],"")</f>
        <v>8</v>
      </c>
    </row>
    <row r="179" spans="1:24" x14ac:dyDescent="0.25">
      <c r="A179">
        <v>10178</v>
      </c>
      <c r="B179" s="1">
        <v>45835</v>
      </c>
      <c r="C179" s="1" t="str">
        <f>TEXT(Table1[[#This Row],[Order_Date]],"DD")</f>
        <v>27</v>
      </c>
      <c r="D179" s="1" t="str">
        <f>TEXT(Table1[[#This Row],[Order_Date]],"MMM")</f>
        <v>Jun</v>
      </c>
      <c r="E179" s="1" t="str">
        <f>TEXT(Table1[[#This Row],[Order_Date]],"YYYY")</f>
        <v>2025</v>
      </c>
      <c r="F179">
        <v>3234</v>
      </c>
      <c r="G179" t="s">
        <v>23</v>
      </c>
      <c r="H179" t="s">
        <v>24</v>
      </c>
      <c r="I179" t="s">
        <v>25</v>
      </c>
      <c r="J179" t="s">
        <v>32</v>
      </c>
      <c r="K179">
        <v>7</v>
      </c>
      <c r="L179" s="2">
        <v>127.31</v>
      </c>
      <c r="M179" s="3">
        <v>0.15</v>
      </c>
      <c r="N179" s="2">
        <v>891.17</v>
      </c>
      <c r="O179" s="2">
        <v>133.6755</v>
      </c>
      <c r="P179" s="2">
        <v>757.49450000000002</v>
      </c>
      <c r="Q179" s="2">
        <v>75.17</v>
      </c>
      <c r="R179" s="2">
        <v>526.19000000000005</v>
      </c>
      <c r="S179" s="2">
        <v>231.304499999999</v>
      </c>
      <c r="T179" s="3">
        <v>0.30535469234430002</v>
      </c>
      <c r="U179" s="2" t="str">
        <f>IF(Table1[[#This Row],[Net_Revenue]]&lt;Table1[[#This Row],[Total_Cost]], "Loss", "Gain")</f>
        <v>Gain</v>
      </c>
      <c r="V179" s="16">
        <f>IF(Table1[[#This Row],[Gain/Loss]]="Gain",Table1[[#This Row],[Quantity]], 0)</f>
        <v>7</v>
      </c>
      <c r="W179" s="16">
        <f>IF(Table1[[#This Row],[Gain/Loss]]="Loss",Table1[[#This Row],[Quantity]],0)</f>
        <v>0</v>
      </c>
      <c r="X179" s="16">
        <f>IF(OR(Table1[[#This Row],[Gain/Loss]]="Gain",Table1[[#This Row],[Gain/Loss]]="Loss"),Table1[[#This Row],[Quantity]],"")</f>
        <v>7</v>
      </c>
    </row>
    <row r="180" spans="1:24" x14ac:dyDescent="0.25">
      <c r="A180">
        <v>10179</v>
      </c>
      <c r="B180" s="1">
        <v>45836</v>
      </c>
      <c r="C180" s="1" t="str">
        <f>TEXT(Table1[[#This Row],[Order_Date]],"DD")</f>
        <v>28</v>
      </c>
      <c r="D180" s="1" t="str">
        <f>TEXT(Table1[[#This Row],[Order_Date]],"MMM")</f>
        <v>Jun</v>
      </c>
      <c r="E180" s="1" t="str">
        <f>TEXT(Table1[[#This Row],[Order_Date]],"YYYY")</f>
        <v>2025</v>
      </c>
      <c r="F180">
        <v>3529</v>
      </c>
      <c r="G180" t="s">
        <v>21</v>
      </c>
      <c r="H180" t="s">
        <v>18</v>
      </c>
      <c r="I180" t="s">
        <v>19</v>
      </c>
      <c r="J180" t="s">
        <v>27</v>
      </c>
      <c r="K180">
        <v>7</v>
      </c>
      <c r="L180" s="2">
        <v>75.78</v>
      </c>
      <c r="M180" s="3">
        <v>0.15</v>
      </c>
      <c r="N180" s="2">
        <v>530.46</v>
      </c>
      <c r="O180" s="2">
        <v>79.569000000000003</v>
      </c>
      <c r="P180" s="2">
        <v>450.89100000000002</v>
      </c>
      <c r="Q180" s="2">
        <v>90.94</v>
      </c>
      <c r="R180" s="2">
        <v>636.57999999999902</v>
      </c>
      <c r="S180" s="2">
        <v>-185.688999999999</v>
      </c>
      <c r="T180" s="3">
        <v>-0.411826805148028</v>
      </c>
      <c r="U180" s="2" t="str">
        <f>IF(Table1[[#This Row],[Net_Revenue]]&lt;Table1[[#This Row],[Total_Cost]], "Loss", "Gain")</f>
        <v>Loss</v>
      </c>
      <c r="V180" s="16">
        <f>IF(Table1[[#This Row],[Gain/Loss]]="Gain",Table1[[#This Row],[Quantity]], 0)</f>
        <v>0</v>
      </c>
      <c r="W180" s="16">
        <f>IF(Table1[[#This Row],[Gain/Loss]]="Loss",Table1[[#This Row],[Quantity]],0)</f>
        <v>7</v>
      </c>
      <c r="X180" s="16">
        <f>IF(OR(Table1[[#This Row],[Gain/Loss]]="Gain",Table1[[#This Row],[Gain/Loss]]="Loss"),Table1[[#This Row],[Quantity]],"")</f>
        <v>7</v>
      </c>
    </row>
    <row r="181" spans="1:24" x14ac:dyDescent="0.25">
      <c r="A181">
        <v>10180</v>
      </c>
      <c r="B181" s="1">
        <v>45837</v>
      </c>
      <c r="C181" s="1" t="str">
        <f>TEXT(Table1[[#This Row],[Order_Date]],"DD")</f>
        <v>29</v>
      </c>
      <c r="D181" s="1" t="str">
        <f>TEXT(Table1[[#This Row],[Order_Date]],"MMM")</f>
        <v>Jun</v>
      </c>
      <c r="E181" s="1" t="str">
        <f>TEXT(Table1[[#This Row],[Order_Date]],"YYYY")</f>
        <v>2025</v>
      </c>
      <c r="F181">
        <v>3005</v>
      </c>
      <c r="G181" t="s">
        <v>17</v>
      </c>
      <c r="H181" t="s">
        <v>18</v>
      </c>
      <c r="I181" t="s">
        <v>26</v>
      </c>
      <c r="J181" t="s">
        <v>28</v>
      </c>
      <c r="K181">
        <v>4</v>
      </c>
      <c r="L181" s="2">
        <v>108.87</v>
      </c>
      <c r="M181" s="3">
        <v>0.1</v>
      </c>
      <c r="N181" s="2">
        <v>435.48</v>
      </c>
      <c r="O181" s="2">
        <v>43.548000000000002</v>
      </c>
      <c r="P181" s="2">
        <v>391.93200000000002</v>
      </c>
      <c r="Q181" s="2">
        <v>101.15</v>
      </c>
      <c r="R181" s="2">
        <v>404.6</v>
      </c>
      <c r="S181" s="2">
        <v>-12.667999999999999</v>
      </c>
      <c r="T181" s="3">
        <v>-3.2321933396609596E-2</v>
      </c>
      <c r="U181" s="2" t="str">
        <f>IF(Table1[[#This Row],[Net_Revenue]]&lt;Table1[[#This Row],[Total_Cost]], "Loss", "Gain")</f>
        <v>Loss</v>
      </c>
      <c r="V181" s="16">
        <f>IF(Table1[[#This Row],[Gain/Loss]]="Gain",Table1[[#This Row],[Quantity]], 0)</f>
        <v>0</v>
      </c>
      <c r="W181" s="16">
        <f>IF(Table1[[#This Row],[Gain/Loss]]="Loss",Table1[[#This Row],[Quantity]],0)</f>
        <v>4</v>
      </c>
      <c r="X181" s="16">
        <f>IF(OR(Table1[[#This Row],[Gain/Loss]]="Gain",Table1[[#This Row],[Gain/Loss]]="Loss"),Table1[[#This Row],[Quantity]],"")</f>
        <v>4</v>
      </c>
    </row>
    <row r="182" spans="1:24" x14ac:dyDescent="0.25">
      <c r="A182">
        <v>10181</v>
      </c>
      <c r="B182" s="1">
        <v>45838</v>
      </c>
      <c r="C182" s="1" t="str">
        <f>TEXT(Table1[[#This Row],[Order_Date]],"DD")</f>
        <v>30</v>
      </c>
      <c r="D182" s="1" t="str">
        <f>TEXT(Table1[[#This Row],[Order_Date]],"MMM")</f>
        <v>Jun</v>
      </c>
      <c r="E182" s="1" t="str">
        <f>TEXT(Table1[[#This Row],[Order_Date]],"YYYY")</f>
        <v>2025</v>
      </c>
      <c r="F182">
        <v>3847</v>
      </c>
      <c r="G182" t="s">
        <v>23</v>
      </c>
      <c r="H182" t="s">
        <v>18</v>
      </c>
      <c r="I182" t="s">
        <v>19</v>
      </c>
      <c r="J182" t="s">
        <v>27</v>
      </c>
      <c r="K182">
        <v>9</v>
      </c>
      <c r="L182" s="2">
        <v>77.73</v>
      </c>
      <c r="M182" s="3">
        <v>0</v>
      </c>
      <c r="N182" s="2">
        <v>699.57</v>
      </c>
      <c r="O182" s="2">
        <v>0</v>
      </c>
      <c r="P182" s="2">
        <v>699.57</v>
      </c>
      <c r="Q182" s="2">
        <v>107.01</v>
      </c>
      <c r="R182" s="2">
        <v>963.09</v>
      </c>
      <c r="S182" s="2">
        <v>-263.52</v>
      </c>
      <c r="T182" s="3">
        <v>-0.37668853724430695</v>
      </c>
      <c r="U182" s="2" t="str">
        <f>IF(Table1[[#This Row],[Net_Revenue]]&lt;Table1[[#This Row],[Total_Cost]], "Loss", "Gain")</f>
        <v>Loss</v>
      </c>
      <c r="V182" s="16">
        <f>IF(Table1[[#This Row],[Gain/Loss]]="Gain",Table1[[#This Row],[Quantity]], 0)</f>
        <v>0</v>
      </c>
      <c r="W182" s="16">
        <f>IF(Table1[[#This Row],[Gain/Loss]]="Loss",Table1[[#This Row],[Quantity]],0)</f>
        <v>9</v>
      </c>
      <c r="X182" s="16">
        <f>IF(OR(Table1[[#This Row],[Gain/Loss]]="Gain",Table1[[#This Row],[Gain/Loss]]="Loss"),Table1[[#This Row],[Quantity]],"")</f>
        <v>9</v>
      </c>
    </row>
    <row r="183" spans="1:24" x14ac:dyDescent="0.25">
      <c r="A183">
        <v>10182</v>
      </c>
      <c r="B183" s="1">
        <v>45839</v>
      </c>
      <c r="C183" s="1" t="str">
        <f>TEXT(Table1[[#This Row],[Order_Date]],"DD")</f>
        <v>01</v>
      </c>
      <c r="D183" s="1" t="str">
        <f>TEXT(Table1[[#This Row],[Order_Date]],"MMM")</f>
        <v>Jul</v>
      </c>
      <c r="E183" s="1" t="str">
        <f>TEXT(Table1[[#This Row],[Order_Date]],"YYYY")</f>
        <v>2025</v>
      </c>
      <c r="F183">
        <v>3049</v>
      </c>
      <c r="G183" t="s">
        <v>23</v>
      </c>
      <c r="H183" t="s">
        <v>24</v>
      </c>
      <c r="I183" t="s">
        <v>25</v>
      </c>
      <c r="J183" t="s">
        <v>32</v>
      </c>
      <c r="K183">
        <v>4</v>
      </c>
      <c r="L183" s="2">
        <v>84.75</v>
      </c>
      <c r="M183" s="3">
        <v>0.05</v>
      </c>
      <c r="N183" s="2">
        <v>339</v>
      </c>
      <c r="O183" s="2">
        <v>16.95</v>
      </c>
      <c r="P183" s="2">
        <v>322.05</v>
      </c>
      <c r="Q183" s="2">
        <v>25.87</v>
      </c>
      <c r="R183" s="2">
        <v>103.48</v>
      </c>
      <c r="S183" s="2">
        <v>218.57</v>
      </c>
      <c r="T183" s="3">
        <v>0.67868343424933997</v>
      </c>
      <c r="U183" s="2" t="str">
        <f>IF(Table1[[#This Row],[Net_Revenue]]&lt;Table1[[#This Row],[Total_Cost]], "Loss", "Gain")</f>
        <v>Gain</v>
      </c>
      <c r="V183" s="16">
        <f>IF(Table1[[#This Row],[Gain/Loss]]="Gain",Table1[[#This Row],[Quantity]], 0)</f>
        <v>4</v>
      </c>
      <c r="W183" s="16">
        <f>IF(Table1[[#This Row],[Gain/Loss]]="Loss",Table1[[#This Row],[Quantity]],0)</f>
        <v>0</v>
      </c>
      <c r="X183" s="16">
        <f>IF(OR(Table1[[#This Row],[Gain/Loss]]="Gain",Table1[[#This Row],[Gain/Loss]]="Loss"),Table1[[#This Row],[Quantity]],"")</f>
        <v>4</v>
      </c>
    </row>
    <row r="184" spans="1:24" x14ac:dyDescent="0.25">
      <c r="A184">
        <v>10183</v>
      </c>
      <c r="B184" s="1">
        <v>45840</v>
      </c>
      <c r="C184" s="1" t="str">
        <f>TEXT(Table1[[#This Row],[Order_Date]],"DD")</f>
        <v>02</v>
      </c>
      <c r="D184" s="1" t="str">
        <f>TEXT(Table1[[#This Row],[Order_Date]],"MMM")</f>
        <v>Jul</v>
      </c>
      <c r="E184" s="1" t="str">
        <f>TEXT(Table1[[#This Row],[Order_Date]],"YYYY")</f>
        <v>2025</v>
      </c>
      <c r="F184">
        <v>3438</v>
      </c>
      <c r="G184" t="s">
        <v>23</v>
      </c>
      <c r="H184" t="s">
        <v>24</v>
      </c>
      <c r="I184" t="s">
        <v>26</v>
      </c>
      <c r="J184" t="s">
        <v>28</v>
      </c>
      <c r="K184">
        <v>3</v>
      </c>
      <c r="L184" s="2">
        <v>193.29</v>
      </c>
      <c r="M184" s="3">
        <v>0.05</v>
      </c>
      <c r="N184" s="2">
        <v>579.87</v>
      </c>
      <c r="O184" s="2">
        <v>28.993500000000001</v>
      </c>
      <c r="P184" s="2">
        <v>550.87649999999996</v>
      </c>
      <c r="Q184" s="2">
        <v>74.03</v>
      </c>
      <c r="R184" s="2">
        <v>222.09</v>
      </c>
      <c r="S184" s="2">
        <v>328.78649999999902</v>
      </c>
      <c r="T184" s="3">
        <v>0.59684248647382798</v>
      </c>
      <c r="U184" s="2" t="str">
        <f>IF(Table1[[#This Row],[Net_Revenue]]&lt;Table1[[#This Row],[Total_Cost]], "Loss", "Gain")</f>
        <v>Gain</v>
      </c>
      <c r="V184" s="16">
        <f>IF(Table1[[#This Row],[Gain/Loss]]="Gain",Table1[[#This Row],[Quantity]], 0)</f>
        <v>3</v>
      </c>
      <c r="W184" s="16">
        <f>IF(Table1[[#This Row],[Gain/Loss]]="Loss",Table1[[#This Row],[Quantity]],0)</f>
        <v>0</v>
      </c>
      <c r="X184" s="16">
        <f>IF(OR(Table1[[#This Row],[Gain/Loss]]="Gain",Table1[[#This Row],[Gain/Loss]]="Loss"),Table1[[#This Row],[Quantity]],"")</f>
        <v>3</v>
      </c>
    </row>
    <row r="185" spans="1:24" x14ac:dyDescent="0.25">
      <c r="A185">
        <v>10184</v>
      </c>
      <c r="B185" s="1">
        <v>45841</v>
      </c>
      <c r="C185" s="1" t="str">
        <f>TEXT(Table1[[#This Row],[Order_Date]],"DD")</f>
        <v>03</v>
      </c>
      <c r="D185" s="1" t="str">
        <f>TEXT(Table1[[#This Row],[Order_Date]],"MMM")</f>
        <v>Jul</v>
      </c>
      <c r="E185" s="1" t="str">
        <f>TEXT(Table1[[#This Row],[Order_Date]],"YYYY")</f>
        <v>2025</v>
      </c>
      <c r="F185">
        <v>3332</v>
      </c>
      <c r="G185" t="s">
        <v>29</v>
      </c>
      <c r="H185" t="s">
        <v>24</v>
      </c>
      <c r="I185" t="s">
        <v>26</v>
      </c>
      <c r="J185" t="s">
        <v>28</v>
      </c>
      <c r="K185">
        <v>3</v>
      </c>
      <c r="L185" s="2">
        <v>246.74</v>
      </c>
      <c r="M185" s="3">
        <v>0.1</v>
      </c>
      <c r="N185" s="2">
        <v>740.22</v>
      </c>
      <c r="O185" s="2">
        <v>74.022000000000006</v>
      </c>
      <c r="P185" s="2">
        <v>666.19799999999998</v>
      </c>
      <c r="Q185" s="2">
        <v>53.01</v>
      </c>
      <c r="R185" s="2">
        <v>159.03</v>
      </c>
      <c r="S185" s="2">
        <v>507.16800000000001</v>
      </c>
      <c r="T185" s="3">
        <v>0.76128718489097802</v>
      </c>
      <c r="U185" s="2" t="str">
        <f>IF(Table1[[#This Row],[Net_Revenue]]&lt;Table1[[#This Row],[Total_Cost]], "Loss", "Gain")</f>
        <v>Gain</v>
      </c>
      <c r="V185" s="16">
        <f>IF(Table1[[#This Row],[Gain/Loss]]="Gain",Table1[[#This Row],[Quantity]], 0)</f>
        <v>3</v>
      </c>
      <c r="W185" s="16">
        <f>IF(Table1[[#This Row],[Gain/Loss]]="Loss",Table1[[#This Row],[Quantity]],0)</f>
        <v>0</v>
      </c>
      <c r="X185" s="16">
        <f>IF(OR(Table1[[#This Row],[Gain/Loss]]="Gain",Table1[[#This Row],[Gain/Loss]]="Loss"),Table1[[#This Row],[Quantity]],"")</f>
        <v>3</v>
      </c>
    </row>
    <row r="186" spans="1:24" x14ac:dyDescent="0.25">
      <c r="A186">
        <v>10185</v>
      </c>
      <c r="B186" s="1">
        <v>45842</v>
      </c>
      <c r="C186" s="1" t="str">
        <f>TEXT(Table1[[#This Row],[Order_Date]],"DD")</f>
        <v>04</v>
      </c>
      <c r="D186" s="1" t="str">
        <f>TEXT(Table1[[#This Row],[Order_Date]],"MMM")</f>
        <v>Jul</v>
      </c>
      <c r="E186" s="1" t="str">
        <f>TEXT(Table1[[#This Row],[Order_Date]],"YYYY")</f>
        <v>2025</v>
      </c>
      <c r="F186">
        <v>3617</v>
      </c>
      <c r="G186" t="s">
        <v>17</v>
      </c>
      <c r="H186" t="s">
        <v>18</v>
      </c>
      <c r="I186" t="s">
        <v>19</v>
      </c>
      <c r="J186" t="s">
        <v>27</v>
      </c>
      <c r="K186">
        <v>8</v>
      </c>
      <c r="L186" s="2">
        <v>209.82</v>
      </c>
      <c r="M186" s="3">
        <v>0.05</v>
      </c>
      <c r="N186" s="2">
        <v>1678.56</v>
      </c>
      <c r="O186" s="2">
        <v>83.927999999999997</v>
      </c>
      <c r="P186" s="2">
        <v>1594.6320000000001</v>
      </c>
      <c r="Q186" s="2">
        <v>75.11</v>
      </c>
      <c r="R186" s="2">
        <v>600.88</v>
      </c>
      <c r="S186" s="2">
        <v>993.75199999999995</v>
      </c>
      <c r="T186" s="3">
        <v>0.62318578831981297</v>
      </c>
      <c r="U186" s="2" t="str">
        <f>IF(Table1[[#This Row],[Net_Revenue]]&lt;Table1[[#This Row],[Total_Cost]], "Loss", "Gain")</f>
        <v>Gain</v>
      </c>
      <c r="V186" s="16">
        <f>IF(Table1[[#This Row],[Gain/Loss]]="Gain",Table1[[#This Row],[Quantity]], 0)</f>
        <v>8</v>
      </c>
      <c r="W186" s="16">
        <f>IF(Table1[[#This Row],[Gain/Loss]]="Loss",Table1[[#This Row],[Quantity]],0)</f>
        <v>0</v>
      </c>
      <c r="X186" s="16">
        <f>IF(OR(Table1[[#This Row],[Gain/Loss]]="Gain",Table1[[#This Row],[Gain/Loss]]="Loss"),Table1[[#This Row],[Quantity]],"")</f>
        <v>8</v>
      </c>
    </row>
    <row r="187" spans="1:24" x14ac:dyDescent="0.25">
      <c r="A187">
        <v>10186</v>
      </c>
      <c r="B187" s="1">
        <v>45843</v>
      </c>
      <c r="C187" s="1" t="str">
        <f>TEXT(Table1[[#This Row],[Order_Date]],"DD")</f>
        <v>05</v>
      </c>
      <c r="D187" s="1" t="str">
        <f>TEXT(Table1[[#This Row],[Order_Date]],"MMM")</f>
        <v>Jul</v>
      </c>
      <c r="E187" s="1" t="str">
        <f>TEXT(Table1[[#This Row],[Order_Date]],"YYYY")</f>
        <v>2025</v>
      </c>
      <c r="F187">
        <v>3988</v>
      </c>
      <c r="G187" t="s">
        <v>29</v>
      </c>
      <c r="H187" t="s">
        <v>24</v>
      </c>
      <c r="I187" t="s">
        <v>19</v>
      </c>
      <c r="J187" t="s">
        <v>27</v>
      </c>
      <c r="K187">
        <v>3</v>
      </c>
      <c r="L187" s="2">
        <v>200.65</v>
      </c>
      <c r="M187" s="3">
        <v>0.05</v>
      </c>
      <c r="N187" s="2">
        <v>601.95000000000005</v>
      </c>
      <c r="O187" s="2">
        <v>30.0975</v>
      </c>
      <c r="P187" s="2">
        <v>571.85249999999996</v>
      </c>
      <c r="Q187" s="2">
        <v>62.04</v>
      </c>
      <c r="R187" s="2">
        <v>186.12</v>
      </c>
      <c r="S187" s="2">
        <v>385.73250000000002</v>
      </c>
      <c r="T187" s="3">
        <v>0.67453145697535599</v>
      </c>
      <c r="U187" s="2" t="str">
        <f>IF(Table1[[#This Row],[Net_Revenue]]&lt;Table1[[#This Row],[Total_Cost]], "Loss", "Gain")</f>
        <v>Gain</v>
      </c>
      <c r="V187" s="16">
        <f>IF(Table1[[#This Row],[Gain/Loss]]="Gain",Table1[[#This Row],[Quantity]], 0)</f>
        <v>3</v>
      </c>
      <c r="W187" s="16">
        <f>IF(Table1[[#This Row],[Gain/Loss]]="Loss",Table1[[#This Row],[Quantity]],0)</f>
        <v>0</v>
      </c>
      <c r="X187" s="16">
        <f>IF(OR(Table1[[#This Row],[Gain/Loss]]="Gain",Table1[[#This Row],[Gain/Loss]]="Loss"),Table1[[#This Row],[Quantity]],"")</f>
        <v>3</v>
      </c>
    </row>
    <row r="188" spans="1:24" x14ac:dyDescent="0.25">
      <c r="A188">
        <v>10187</v>
      </c>
      <c r="B188" s="1">
        <v>45844</v>
      </c>
      <c r="C188" s="1" t="str">
        <f>TEXT(Table1[[#This Row],[Order_Date]],"DD")</f>
        <v>06</v>
      </c>
      <c r="D188" s="1" t="str">
        <f>TEXT(Table1[[#This Row],[Order_Date]],"MMM")</f>
        <v>Jul</v>
      </c>
      <c r="E188" s="1" t="str">
        <f>TEXT(Table1[[#This Row],[Order_Date]],"YYYY")</f>
        <v>2025</v>
      </c>
      <c r="F188">
        <v>3182</v>
      </c>
      <c r="G188" t="s">
        <v>23</v>
      </c>
      <c r="H188" t="s">
        <v>18</v>
      </c>
      <c r="I188" t="s">
        <v>25</v>
      </c>
      <c r="J188" t="s">
        <v>22</v>
      </c>
      <c r="K188">
        <v>7</v>
      </c>
      <c r="L188" s="2">
        <v>137.76</v>
      </c>
      <c r="M188" s="3">
        <v>0.05</v>
      </c>
      <c r="N188" s="2">
        <v>964.31999999999903</v>
      </c>
      <c r="O188" s="2">
        <v>48.216000000000001</v>
      </c>
      <c r="P188" s="2">
        <v>916.10399999999902</v>
      </c>
      <c r="Q188" s="2">
        <v>15.57</v>
      </c>
      <c r="R188" s="2">
        <v>108.99</v>
      </c>
      <c r="S188" s="2">
        <v>807.11399999999901</v>
      </c>
      <c r="T188" s="3">
        <v>0.88102879149092206</v>
      </c>
      <c r="U188" s="2" t="str">
        <f>IF(Table1[[#This Row],[Net_Revenue]]&lt;Table1[[#This Row],[Total_Cost]], "Loss", "Gain")</f>
        <v>Gain</v>
      </c>
      <c r="V188" s="16">
        <f>IF(Table1[[#This Row],[Gain/Loss]]="Gain",Table1[[#This Row],[Quantity]], 0)</f>
        <v>7</v>
      </c>
      <c r="W188" s="16">
        <f>IF(Table1[[#This Row],[Gain/Loss]]="Loss",Table1[[#This Row],[Quantity]],0)</f>
        <v>0</v>
      </c>
      <c r="X188" s="16">
        <f>IF(OR(Table1[[#This Row],[Gain/Loss]]="Gain",Table1[[#This Row],[Gain/Loss]]="Loss"),Table1[[#This Row],[Quantity]],"")</f>
        <v>7</v>
      </c>
    </row>
    <row r="189" spans="1:24" x14ac:dyDescent="0.25">
      <c r="A189">
        <v>10188</v>
      </c>
      <c r="B189" s="1">
        <v>45845</v>
      </c>
      <c r="C189" s="1" t="str">
        <f>TEXT(Table1[[#This Row],[Order_Date]],"DD")</f>
        <v>07</v>
      </c>
      <c r="D189" s="1" t="str">
        <f>TEXT(Table1[[#This Row],[Order_Date]],"MMM")</f>
        <v>Jul</v>
      </c>
      <c r="E189" s="1" t="str">
        <f>TEXT(Table1[[#This Row],[Order_Date]],"YYYY")</f>
        <v>2025</v>
      </c>
      <c r="F189">
        <v>3687</v>
      </c>
      <c r="G189" t="s">
        <v>17</v>
      </c>
      <c r="H189" t="s">
        <v>24</v>
      </c>
      <c r="I189" t="s">
        <v>26</v>
      </c>
      <c r="J189" t="s">
        <v>31</v>
      </c>
      <c r="K189">
        <v>5</v>
      </c>
      <c r="L189" s="2">
        <v>194.53</v>
      </c>
      <c r="M189" s="3">
        <v>0</v>
      </c>
      <c r="N189" s="2">
        <v>972.65</v>
      </c>
      <c r="O189" s="2">
        <v>0</v>
      </c>
      <c r="P189" s="2">
        <v>972.65</v>
      </c>
      <c r="Q189" s="2">
        <v>119.54</v>
      </c>
      <c r="R189" s="2">
        <v>597.70000000000005</v>
      </c>
      <c r="S189" s="2">
        <v>374.94999999999902</v>
      </c>
      <c r="T189" s="3">
        <v>0.38549324011720498</v>
      </c>
      <c r="U189" s="2" t="str">
        <f>IF(Table1[[#This Row],[Net_Revenue]]&lt;Table1[[#This Row],[Total_Cost]], "Loss", "Gain")</f>
        <v>Gain</v>
      </c>
      <c r="V189" s="16">
        <f>IF(Table1[[#This Row],[Gain/Loss]]="Gain",Table1[[#This Row],[Quantity]], 0)</f>
        <v>5</v>
      </c>
      <c r="W189" s="16">
        <f>IF(Table1[[#This Row],[Gain/Loss]]="Loss",Table1[[#This Row],[Quantity]],0)</f>
        <v>0</v>
      </c>
      <c r="X189" s="16">
        <f>IF(OR(Table1[[#This Row],[Gain/Loss]]="Gain",Table1[[#This Row],[Gain/Loss]]="Loss"),Table1[[#This Row],[Quantity]],"")</f>
        <v>5</v>
      </c>
    </row>
    <row r="190" spans="1:24" x14ac:dyDescent="0.25">
      <c r="A190">
        <v>10189</v>
      </c>
      <c r="B190" s="1">
        <v>45846</v>
      </c>
      <c r="C190" s="1" t="str">
        <f>TEXT(Table1[[#This Row],[Order_Date]],"DD")</f>
        <v>08</v>
      </c>
      <c r="D190" s="1" t="str">
        <f>TEXT(Table1[[#This Row],[Order_Date]],"MMM")</f>
        <v>Jul</v>
      </c>
      <c r="E190" s="1" t="str">
        <f>TEXT(Table1[[#This Row],[Order_Date]],"YYYY")</f>
        <v>2025</v>
      </c>
      <c r="F190">
        <v>3421</v>
      </c>
      <c r="G190" t="s">
        <v>21</v>
      </c>
      <c r="H190" t="s">
        <v>18</v>
      </c>
      <c r="I190" t="s">
        <v>33</v>
      </c>
      <c r="J190" t="s">
        <v>20</v>
      </c>
      <c r="K190">
        <v>2</v>
      </c>
      <c r="L190" s="2">
        <v>248.8</v>
      </c>
      <c r="M190" s="3">
        <v>0.2</v>
      </c>
      <c r="N190" s="2">
        <v>497.6</v>
      </c>
      <c r="O190" s="2">
        <v>99.52</v>
      </c>
      <c r="P190" s="2">
        <v>398.08</v>
      </c>
      <c r="Q190" s="2">
        <v>80.69</v>
      </c>
      <c r="R190" s="2">
        <v>161.38</v>
      </c>
      <c r="S190" s="2">
        <v>236.7</v>
      </c>
      <c r="T190" s="3">
        <v>0.59460409967845596</v>
      </c>
      <c r="U190" s="2" t="str">
        <f>IF(Table1[[#This Row],[Net_Revenue]]&lt;Table1[[#This Row],[Total_Cost]], "Loss", "Gain")</f>
        <v>Gain</v>
      </c>
      <c r="V190" s="16">
        <f>IF(Table1[[#This Row],[Gain/Loss]]="Gain",Table1[[#This Row],[Quantity]], 0)</f>
        <v>2</v>
      </c>
      <c r="W190" s="16">
        <f>IF(Table1[[#This Row],[Gain/Loss]]="Loss",Table1[[#This Row],[Quantity]],0)</f>
        <v>0</v>
      </c>
      <c r="X190" s="16">
        <f>IF(OR(Table1[[#This Row],[Gain/Loss]]="Gain",Table1[[#This Row],[Gain/Loss]]="Loss"),Table1[[#This Row],[Quantity]],"")</f>
        <v>2</v>
      </c>
    </row>
    <row r="191" spans="1:24" x14ac:dyDescent="0.25">
      <c r="A191">
        <v>10190</v>
      </c>
      <c r="B191" s="1">
        <v>45847</v>
      </c>
      <c r="C191" s="1" t="str">
        <f>TEXT(Table1[[#This Row],[Order_Date]],"DD")</f>
        <v>09</v>
      </c>
      <c r="D191" s="1" t="str">
        <f>TEXT(Table1[[#This Row],[Order_Date]],"MMM")</f>
        <v>Jul</v>
      </c>
      <c r="E191" s="1" t="str">
        <f>TEXT(Table1[[#This Row],[Order_Date]],"YYYY")</f>
        <v>2025</v>
      </c>
      <c r="F191">
        <v>3969</v>
      </c>
      <c r="G191" t="s">
        <v>21</v>
      </c>
      <c r="H191" t="s">
        <v>18</v>
      </c>
      <c r="I191" t="s">
        <v>19</v>
      </c>
      <c r="J191" t="s">
        <v>27</v>
      </c>
      <c r="K191">
        <v>1</v>
      </c>
      <c r="L191" s="2">
        <v>77.180000000000007</v>
      </c>
      <c r="M191" s="3">
        <v>0</v>
      </c>
      <c r="N191" s="2">
        <v>77.180000000000007</v>
      </c>
      <c r="O191" s="2">
        <v>0</v>
      </c>
      <c r="P191" s="2">
        <v>77.180000000000007</v>
      </c>
      <c r="Q191" s="2">
        <v>131.83000000000001</v>
      </c>
      <c r="R191" s="2">
        <v>131.83000000000001</v>
      </c>
      <c r="S191" s="2">
        <v>-54.65</v>
      </c>
      <c r="T191" s="3">
        <v>-0.70808499611298203</v>
      </c>
      <c r="U191" s="2" t="str">
        <f>IF(Table1[[#This Row],[Net_Revenue]]&lt;Table1[[#This Row],[Total_Cost]], "Loss", "Gain")</f>
        <v>Loss</v>
      </c>
      <c r="V191" s="16">
        <f>IF(Table1[[#This Row],[Gain/Loss]]="Gain",Table1[[#This Row],[Quantity]], 0)</f>
        <v>0</v>
      </c>
      <c r="W191" s="16">
        <f>IF(Table1[[#This Row],[Gain/Loss]]="Loss",Table1[[#This Row],[Quantity]],0)</f>
        <v>1</v>
      </c>
      <c r="X191" s="16">
        <f>IF(OR(Table1[[#This Row],[Gain/Loss]]="Gain",Table1[[#This Row],[Gain/Loss]]="Loss"),Table1[[#This Row],[Quantity]],"")</f>
        <v>1</v>
      </c>
    </row>
    <row r="192" spans="1:24" x14ac:dyDescent="0.25">
      <c r="A192">
        <v>10191</v>
      </c>
      <c r="B192" s="1">
        <v>45848</v>
      </c>
      <c r="C192" s="1" t="str">
        <f>TEXT(Table1[[#This Row],[Order_Date]],"DD")</f>
        <v>10</v>
      </c>
      <c r="D192" s="1" t="str">
        <f>TEXT(Table1[[#This Row],[Order_Date]],"MMM")</f>
        <v>Jul</v>
      </c>
      <c r="E192" s="1" t="str">
        <f>TEXT(Table1[[#This Row],[Order_Date]],"YYYY")</f>
        <v>2025</v>
      </c>
      <c r="F192">
        <v>3599</v>
      </c>
      <c r="G192" t="s">
        <v>21</v>
      </c>
      <c r="H192" t="s">
        <v>24</v>
      </c>
      <c r="I192" t="s">
        <v>25</v>
      </c>
      <c r="J192" t="s">
        <v>32</v>
      </c>
      <c r="K192">
        <v>4</v>
      </c>
      <c r="L192" s="2">
        <v>217.78</v>
      </c>
      <c r="M192" s="3">
        <v>0.1</v>
      </c>
      <c r="N192" s="2">
        <v>871.12</v>
      </c>
      <c r="O192" s="2">
        <v>87.111999999999995</v>
      </c>
      <c r="P192" s="2">
        <v>784.00800000000004</v>
      </c>
      <c r="Q192" s="2">
        <v>11.26</v>
      </c>
      <c r="R192" s="2">
        <v>45.04</v>
      </c>
      <c r="S192" s="2">
        <v>738.96799999999996</v>
      </c>
      <c r="T192" s="3">
        <v>0.94255160661625892</v>
      </c>
      <c r="U192" s="2" t="str">
        <f>IF(Table1[[#This Row],[Net_Revenue]]&lt;Table1[[#This Row],[Total_Cost]], "Loss", "Gain")</f>
        <v>Gain</v>
      </c>
      <c r="V192" s="16">
        <f>IF(Table1[[#This Row],[Gain/Loss]]="Gain",Table1[[#This Row],[Quantity]], 0)</f>
        <v>4</v>
      </c>
      <c r="W192" s="16">
        <f>IF(Table1[[#This Row],[Gain/Loss]]="Loss",Table1[[#This Row],[Quantity]],0)</f>
        <v>0</v>
      </c>
      <c r="X192" s="16">
        <f>IF(OR(Table1[[#This Row],[Gain/Loss]]="Gain",Table1[[#This Row],[Gain/Loss]]="Loss"),Table1[[#This Row],[Quantity]],"")</f>
        <v>4</v>
      </c>
    </row>
    <row r="193" spans="1:24" x14ac:dyDescent="0.25">
      <c r="A193">
        <v>10192</v>
      </c>
      <c r="B193" s="1">
        <v>45849</v>
      </c>
      <c r="C193" s="1" t="str">
        <f>TEXT(Table1[[#This Row],[Order_Date]],"DD")</f>
        <v>11</v>
      </c>
      <c r="D193" s="1" t="str">
        <f>TEXT(Table1[[#This Row],[Order_Date]],"MMM")</f>
        <v>Jul</v>
      </c>
      <c r="E193" s="1" t="str">
        <f>TEXT(Table1[[#This Row],[Order_Date]],"YYYY")</f>
        <v>2025</v>
      </c>
      <c r="F193">
        <v>3661</v>
      </c>
      <c r="G193" t="s">
        <v>17</v>
      </c>
      <c r="H193" t="s">
        <v>24</v>
      </c>
      <c r="I193" t="s">
        <v>26</v>
      </c>
      <c r="J193" t="s">
        <v>31</v>
      </c>
      <c r="K193">
        <v>5</v>
      </c>
      <c r="L193" s="2">
        <v>62.44</v>
      </c>
      <c r="M193" s="3">
        <v>0.15</v>
      </c>
      <c r="N193" s="2">
        <v>312.2</v>
      </c>
      <c r="O193" s="2">
        <v>46.83</v>
      </c>
      <c r="P193" s="2">
        <v>265.37</v>
      </c>
      <c r="Q193" s="2">
        <v>18.98</v>
      </c>
      <c r="R193" s="2">
        <v>94.9</v>
      </c>
      <c r="S193" s="2">
        <v>170.47</v>
      </c>
      <c r="T193" s="3">
        <v>0.64238610242303196</v>
      </c>
      <c r="U193" s="2" t="str">
        <f>IF(Table1[[#This Row],[Net_Revenue]]&lt;Table1[[#This Row],[Total_Cost]], "Loss", "Gain")</f>
        <v>Gain</v>
      </c>
      <c r="V193" s="16">
        <f>IF(Table1[[#This Row],[Gain/Loss]]="Gain",Table1[[#This Row],[Quantity]], 0)</f>
        <v>5</v>
      </c>
      <c r="W193" s="16">
        <f>IF(Table1[[#This Row],[Gain/Loss]]="Loss",Table1[[#This Row],[Quantity]],0)</f>
        <v>0</v>
      </c>
      <c r="X193" s="16">
        <f>IF(OR(Table1[[#This Row],[Gain/Loss]]="Gain",Table1[[#This Row],[Gain/Loss]]="Loss"),Table1[[#This Row],[Quantity]],"")</f>
        <v>5</v>
      </c>
    </row>
    <row r="194" spans="1:24" x14ac:dyDescent="0.25">
      <c r="A194">
        <v>10193</v>
      </c>
      <c r="B194" s="1">
        <v>45850</v>
      </c>
      <c r="C194" s="1" t="str">
        <f>TEXT(Table1[[#This Row],[Order_Date]],"DD")</f>
        <v>12</v>
      </c>
      <c r="D194" s="1" t="str">
        <f>TEXT(Table1[[#This Row],[Order_Date]],"MMM")</f>
        <v>Jul</v>
      </c>
      <c r="E194" s="1" t="str">
        <f>TEXT(Table1[[#This Row],[Order_Date]],"YYYY")</f>
        <v>2025</v>
      </c>
      <c r="F194">
        <v>3260</v>
      </c>
      <c r="G194" t="s">
        <v>21</v>
      </c>
      <c r="H194" t="s">
        <v>18</v>
      </c>
      <c r="I194" t="s">
        <v>25</v>
      </c>
      <c r="J194" t="s">
        <v>22</v>
      </c>
      <c r="K194">
        <v>8</v>
      </c>
      <c r="L194" s="2">
        <v>82.37</v>
      </c>
      <c r="M194" s="3">
        <v>0.05</v>
      </c>
      <c r="N194" s="2">
        <v>658.96</v>
      </c>
      <c r="O194" s="2">
        <v>32.948</v>
      </c>
      <c r="P194" s="2">
        <v>626.01199999999994</v>
      </c>
      <c r="Q194" s="2">
        <v>23.28</v>
      </c>
      <c r="R194" s="2">
        <v>186.24</v>
      </c>
      <c r="S194" s="2">
        <v>439.77199999999999</v>
      </c>
      <c r="T194" s="3">
        <v>0.70249771569873998</v>
      </c>
      <c r="U194" s="2" t="str">
        <f>IF(Table1[[#This Row],[Net_Revenue]]&lt;Table1[[#This Row],[Total_Cost]], "Loss", "Gain")</f>
        <v>Gain</v>
      </c>
      <c r="V194" s="16">
        <f>IF(Table1[[#This Row],[Gain/Loss]]="Gain",Table1[[#This Row],[Quantity]], 0)</f>
        <v>8</v>
      </c>
      <c r="W194" s="16">
        <f>IF(Table1[[#This Row],[Gain/Loss]]="Loss",Table1[[#This Row],[Quantity]],0)</f>
        <v>0</v>
      </c>
      <c r="X194" s="16">
        <f>IF(OR(Table1[[#This Row],[Gain/Loss]]="Gain",Table1[[#This Row],[Gain/Loss]]="Loss"),Table1[[#This Row],[Quantity]],"")</f>
        <v>8</v>
      </c>
    </row>
    <row r="195" spans="1:24" x14ac:dyDescent="0.25">
      <c r="A195">
        <v>10194</v>
      </c>
      <c r="B195" s="1">
        <v>45851</v>
      </c>
      <c r="C195" s="1" t="str">
        <f>TEXT(Table1[[#This Row],[Order_Date]],"DD")</f>
        <v>13</v>
      </c>
      <c r="D195" s="1" t="str">
        <f>TEXT(Table1[[#This Row],[Order_Date]],"MMM")</f>
        <v>Jul</v>
      </c>
      <c r="E195" s="1" t="str">
        <f>TEXT(Table1[[#This Row],[Order_Date]],"YYYY")</f>
        <v>2025</v>
      </c>
      <c r="F195">
        <v>3475</v>
      </c>
      <c r="G195" t="s">
        <v>23</v>
      </c>
      <c r="H195" t="s">
        <v>18</v>
      </c>
      <c r="I195" t="s">
        <v>25</v>
      </c>
      <c r="J195" t="s">
        <v>22</v>
      </c>
      <c r="K195">
        <v>5</v>
      </c>
      <c r="L195" s="2">
        <v>142.05000000000001</v>
      </c>
      <c r="M195" s="3">
        <v>0.05</v>
      </c>
      <c r="N195" s="2">
        <v>710.25</v>
      </c>
      <c r="O195" s="2">
        <v>35.512500000000003</v>
      </c>
      <c r="P195" s="2">
        <v>674.73749999999995</v>
      </c>
      <c r="Q195" s="2">
        <v>131.16999999999999</v>
      </c>
      <c r="R195" s="2">
        <v>655.849999999999</v>
      </c>
      <c r="S195" s="2">
        <v>18.887499999999999</v>
      </c>
      <c r="T195" s="3">
        <v>2.79923674021379E-2</v>
      </c>
      <c r="U195" s="2" t="str">
        <f>IF(Table1[[#This Row],[Net_Revenue]]&lt;Table1[[#This Row],[Total_Cost]], "Loss", "Gain")</f>
        <v>Gain</v>
      </c>
      <c r="V195" s="16">
        <f>IF(Table1[[#This Row],[Gain/Loss]]="Gain",Table1[[#This Row],[Quantity]], 0)</f>
        <v>5</v>
      </c>
      <c r="W195" s="16">
        <f>IF(Table1[[#This Row],[Gain/Loss]]="Loss",Table1[[#This Row],[Quantity]],0)</f>
        <v>0</v>
      </c>
      <c r="X195" s="16">
        <f>IF(OR(Table1[[#This Row],[Gain/Loss]]="Gain",Table1[[#This Row],[Gain/Loss]]="Loss"),Table1[[#This Row],[Quantity]],"")</f>
        <v>5</v>
      </c>
    </row>
    <row r="196" spans="1:24" x14ac:dyDescent="0.25">
      <c r="A196">
        <v>10195</v>
      </c>
      <c r="B196" s="1">
        <v>45852</v>
      </c>
      <c r="C196" s="1" t="str">
        <f>TEXT(Table1[[#This Row],[Order_Date]],"DD")</f>
        <v>14</v>
      </c>
      <c r="D196" s="1" t="str">
        <f>TEXT(Table1[[#This Row],[Order_Date]],"MMM")</f>
        <v>Jul</v>
      </c>
      <c r="E196" s="1" t="str">
        <f>TEXT(Table1[[#This Row],[Order_Date]],"YYYY")</f>
        <v>2025</v>
      </c>
      <c r="F196">
        <v>3588</v>
      </c>
      <c r="G196" t="s">
        <v>29</v>
      </c>
      <c r="H196" t="s">
        <v>24</v>
      </c>
      <c r="I196" t="s">
        <v>25</v>
      </c>
      <c r="J196" t="s">
        <v>22</v>
      </c>
      <c r="K196">
        <v>4</v>
      </c>
      <c r="L196" s="2">
        <v>107.22</v>
      </c>
      <c r="M196" s="3">
        <v>0.05</v>
      </c>
      <c r="N196" s="2">
        <v>428.88</v>
      </c>
      <c r="O196" s="2">
        <v>21.443999999999999</v>
      </c>
      <c r="P196" s="2">
        <v>407.43599999999998</v>
      </c>
      <c r="Q196" s="2">
        <v>78.489999999999995</v>
      </c>
      <c r="R196" s="2">
        <v>313.95999999999998</v>
      </c>
      <c r="S196" s="2">
        <v>93.475999999999999</v>
      </c>
      <c r="T196" s="3">
        <v>0.22942498944619502</v>
      </c>
      <c r="U196" s="2" t="str">
        <f>IF(Table1[[#This Row],[Net_Revenue]]&lt;Table1[[#This Row],[Total_Cost]], "Loss", "Gain")</f>
        <v>Gain</v>
      </c>
      <c r="V196" s="16">
        <f>IF(Table1[[#This Row],[Gain/Loss]]="Gain",Table1[[#This Row],[Quantity]], 0)</f>
        <v>4</v>
      </c>
      <c r="W196" s="16">
        <f>IF(Table1[[#This Row],[Gain/Loss]]="Loss",Table1[[#This Row],[Quantity]],0)</f>
        <v>0</v>
      </c>
      <c r="X196" s="16">
        <f>IF(OR(Table1[[#This Row],[Gain/Loss]]="Gain",Table1[[#This Row],[Gain/Loss]]="Loss"),Table1[[#This Row],[Quantity]],"")</f>
        <v>4</v>
      </c>
    </row>
    <row r="197" spans="1:24" x14ac:dyDescent="0.25">
      <c r="A197">
        <v>10196</v>
      </c>
      <c r="B197" s="1">
        <v>45853</v>
      </c>
      <c r="C197" s="1" t="str">
        <f>TEXT(Table1[[#This Row],[Order_Date]],"DD")</f>
        <v>15</v>
      </c>
      <c r="D197" s="1" t="str">
        <f>TEXT(Table1[[#This Row],[Order_Date]],"MMM")</f>
        <v>Jul</v>
      </c>
      <c r="E197" s="1" t="str">
        <f>TEXT(Table1[[#This Row],[Order_Date]],"YYYY")</f>
        <v>2025</v>
      </c>
      <c r="F197">
        <v>3233</v>
      </c>
      <c r="G197" t="s">
        <v>23</v>
      </c>
      <c r="H197" t="s">
        <v>24</v>
      </c>
      <c r="I197" t="s">
        <v>33</v>
      </c>
      <c r="J197" t="s">
        <v>20</v>
      </c>
      <c r="K197">
        <v>4</v>
      </c>
      <c r="L197" s="2">
        <v>144.21</v>
      </c>
      <c r="M197" s="3">
        <v>0.15</v>
      </c>
      <c r="N197" s="2">
        <v>576.84</v>
      </c>
      <c r="O197" s="2">
        <v>86.525999999999996</v>
      </c>
      <c r="P197" s="2">
        <v>490.31400000000002</v>
      </c>
      <c r="Q197" s="2">
        <v>113.83</v>
      </c>
      <c r="R197" s="2">
        <v>455.32</v>
      </c>
      <c r="S197" s="2">
        <v>34.994</v>
      </c>
      <c r="T197" s="3">
        <v>7.1370591090607297E-2</v>
      </c>
      <c r="U197" s="2" t="str">
        <f>IF(Table1[[#This Row],[Net_Revenue]]&lt;Table1[[#This Row],[Total_Cost]], "Loss", "Gain")</f>
        <v>Gain</v>
      </c>
      <c r="V197" s="16">
        <f>IF(Table1[[#This Row],[Gain/Loss]]="Gain",Table1[[#This Row],[Quantity]], 0)</f>
        <v>4</v>
      </c>
      <c r="W197" s="16">
        <f>IF(Table1[[#This Row],[Gain/Loss]]="Loss",Table1[[#This Row],[Quantity]],0)</f>
        <v>0</v>
      </c>
      <c r="X197" s="16">
        <f>IF(OR(Table1[[#This Row],[Gain/Loss]]="Gain",Table1[[#This Row],[Gain/Loss]]="Loss"),Table1[[#This Row],[Quantity]],"")</f>
        <v>4</v>
      </c>
    </row>
    <row r="198" spans="1:24" x14ac:dyDescent="0.25">
      <c r="A198">
        <v>10197</v>
      </c>
      <c r="B198" s="1">
        <v>45854</v>
      </c>
      <c r="C198" s="1" t="str">
        <f>TEXT(Table1[[#This Row],[Order_Date]],"DD")</f>
        <v>16</v>
      </c>
      <c r="D198" s="1" t="str">
        <f>TEXT(Table1[[#This Row],[Order_Date]],"MMM")</f>
        <v>Jul</v>
      </c>
      <c r="E198" s="1" t="str">
        <f>TEXT(Table1[[#This Row],[Order_Date]],"YYYY")</f>
        <v>2025</v>
      </c>
      <c r="F198">
        <v>3331</v>
      </c>
      <c r="G198" t="s">
        <v>29</v>
      </c>
      <c r="H198" t="s">
        <v>18</v>
      </c>
      <c r="I198" t="s">
        <v>25</v>
      </c>
      <c r="J198" t="s">
        <v>22</v>
      </c>
      <c r="K198">
        <v>8</v>
      </c>
      <c r="L198" s="2">
        <v>248.83</v>
      </c>
      <c r="M198" s="3">
        <v>0</v>
      </c>
      <c r="N198" s="2">
        <v>1990.64</v>
      </c>
      <c r="O198" s="2">
        <v>0</v>
      </c>
      <c r="P198" s="2">
        <v>1990.64</v>
      </c>
      <c r="Q198" s="2">
        <v>16.190000000000001</v>
      </c>
      <c r="R198" s="2">
        <v>129.52000000000001</v>
      </c>
      <c r="S198" s="2">
        <v>1861.12</v>
      </c>
      <c r="T198" s="3">
        <v>0.93493549813125398</v>
      </c>
      <c r="U198" s="2" t="str">
        <f>IF(Table1[[#This Row],[Net_Revenue]]&lt;Table1[[#This Row],[Total_Cost]], "Loss", "Gain")</f>
        <v>Gain</v>
      </c>
      <c r="V198" s="16">
        <f>IF(Table1[[#This Row],[Gain/Loss]]="Gain",Table1[[#This Row],[Quantity]], 0)</f>
        <v>8</v>
      </c>
      <c r="W198" s="16">
        <f>IF(Table1[[#This Row],[Gain/Loss]]="Loss",Table1[[#This Row],[Quantity]],0)</f>
        <v>0</v>
      </c>
      <c r="X198" s="16">
        <f>IF(OR(Table1[[#This Row],[Gain/Loss]]="Gain",Table1[[#This Row],[Gain/Loss]]="Loss"),Table1[[#This Row],[Quantity]],"")</f>
        <v>8</v>
      </c>
    </row>
    <row r="199" spans="1:24" x14ac:dyDescent="0.25">
      <c r="A199">
        <v>10198</v>
      </c>
      <c r="B199" s="1">
        <v>45855</v>
      </c>
      <c r="C199" s="1" t="str">
        <f>TEXT(Table1[[#This Row],[Order_Date]],"DD")</f>
        <v>17</v>
      </c>
      <c r="D199" s="1" t="str">
        <f>TEXT(Table1[[#This Row],[Order_Date]],"MMM")</f>
        <v>Jul</v>
      </c>
      <c r="E199" s="1" t="str">
        <f>TEXT(Table1[[#This Row],[Order_Date]],"YYYY")</f>
        <v>2025</v>
      </c>
      <c r="F199">
        <v>3774</v>
      </c>
      <c r="G199" t="s">
        <v>23</v>
      </c>
      <c r="H199" t="s">
        <v>18</v>
      </c>
      <c r="I199" t="s">
        <v>26</v>
      </c>
      <c r="J199" t="s">
        <v>30</v>
      </c>
      <c r="K199">
        <v>1</v>
      </c>
      <c r="L199" s="2">
        <v>121.39</v>
      </c>
      <c r="M199" s="3">
        <v>0.2</v>
      </c>
      <c r="N199" s="2">
        <v>121.39</v>
      </c>
      <c r="O199" s="2">
        <v>24.277999999999999</v>
      </c>
      <c r="P199" s="2">
        <v>97.111999999999995</v>
      </c>
      <c r="Q199" s="2">
        <v>113.19</v>
      </c>
      <c r="R199" s="2">
        <v>113.19</v>
      </c>
      <c r="S199" s="2">
        <v>-16.077999999999999</v>
      </c>
      <c r="T199" s="3">
        <v>-0.165561413625504</v>
      </c>
      <c r="U199" s="2" t="str">
        <f>IF(Table1[[#This Row],[Net_Revenue]]&lt;Table1[[#This Row],[Total_Cost]], "Loss", "Gain")</f>
        <v>Loss</v>
      </c>
      <c r="V199" s="16">
        <f>IF(Table1[[#This Row],[Gain/Loss]]="Gain",Table1[[#This Row],[Quantity]], 0)</f>
        <v>0</v>
      </c>
      <c r="W199" s="16">
        <f>IF(Table1[[#This Row],[Gain/Loss]]="Loss",Table1[[#This Row],[Quantity]],0)</f>
        <v>1</v>
      </c>
      <c r="X199" s="16">
        <f>IF(OR(Table1[[#This Row],[Gain/Loss]]="Gain",Table1[[#This Row],[Gain/Loss]]="Loss"),Table1[[#This Row],[Quantity]],"")</f>
        <v>1</v>
      </c>
    </row>
    <row r="200" spans="1:24" x14ac:dyDescent="0.25">
      <c r="A200">
        <v>10199</v>
      </c>
      <c r="B200" s="1">
        <v>45856</v>
      </c>
      <c r="C200" s="1" t="str">
        <f>TEXT(Table1[[#This Row],[Order_Date]],"DD")</f>
        <v>18</v>
      </c>
      <c r="D200" s="1" t="str">
        <f>TEXT(Table1[[#This Row],[Order_Date]],"MMM")</f>
        <v>Jul</v>
      </c>
      <c r="E200" s="1" t="str">
        <f>TEXT(Table1[[#This Row],[Order_Date]],"YYYY")</f>
        <v>2025</v>
      </c>
      <c r="F200">
        <v>3888</v>
      </c>
      <c r="G200" t="s">
        <v>23</v>
      </c>
      <c r="H200" t="s">
        <v>18</v>
      </c>
      <c r="I200" t="s">
        <v>19</v>
      </c>
      <c r="J200" t="s">
        <v>27</v>
      </c>
      <c r="K200">
        <v>1</v>
      </c>
      <c r="L200" s="2">
        <v>121.62</v>
      </c>
      <c r="M200" s="3">
        <v>0.1</v>
      </c>
      <c r="N200" s="2">
        <v>121.62</v>
      </c>
      <c r="O200" s="2">
        <v>12.162000000000001</v>
      </c>
      <c r="P200" s="2">
        <v>109.458</v>
      </c>
      <c r="Q200" s="2">
        <v>16.239999999999998</v>
      </c>
      <c r="R200" s="2">
        <v>16.239999999999998</v>
      </c>
      <c r="S200" s="2">
        <v>93.218000000000004</v>
      </c>
      <c r="T200" s="3">
        <v>0.85163258966909594</v>
      </c>
      <c r="U200" s="2" t="str">
        <f>IF(Table1[[#This Row],[Net_Revenue]]&lt;Table1[[#This Row],[Total_Cost]], "Loss", "Gain")</f>
        <v>Gain</v>
      </c>
      <c r="V200" s="16">
        <f>IF(Table1[[#This Row],[Gain/Loss]]="Gain",Table1[[#This Row],[Quantity]], 0)</f>
        <v>1</v>
      </c>
      <c r="W200" s="16">
        <f>IF(Table1[[#This Row],[Gain/Loss]]="Loss",Table1[[#This Row],[Quantity]],0)</f>
        <v>0</v>
      </c>
      <c r="X200" s="16">
        <f>IF(OR(Table1[[#This Row],[Gain/Loss]]="Gain",Table1[[#This Row],[Gain/Loss]]="Loss"),Table1[[#This Row],[Quantity]],"")</f>
        <v>1</v>
      </c>
    </row>
    <row r="201" spans="1:24" x14ac:dyDescent="0.25">
      <c r="A201">
        <v>10200</v>
      </c>
      <c r="B201" s="1">
        <v>45857</v>
      </c>
      <c r="C201" s="1" t="str">
        <f>TEXT(Table1[[#This Row],[Order_Date]],"DD")</f>
        <v>19</v>
      </c>
      <c r="D201" s="1" t="str">
        <f>TEXT(Table1[[#This Row],[Order_Date]],"MMM")</f>
        <v>Jul</v>
      </c>
      <c r="E201" s="1" t="str">
        <f>TEXT(Table1[[#This Row],[Order_Date]],"YYYY")</f>
        <v>2025</v>
      </c>
      <c r="F201">
        <v>3225</v>
      </c>
      <c r="G201" t="s">
        <v>23</v>
      </c>
      <c r="H201" t="s">
        <v>18</v>
      </c>
      <c r="I201" t="s">
        <v>25</v>
      </c>
      <c r="J201" t="s">
        <v>22</v>
      </c>
      <c r="K201">
        <v>7</v>
      </c>
      <c r="L201" s="2">
        <v>228.09</v>
      </c>
      <c r="M201" s="3">
        <v>0.15</v>
      </c>
      <c r="N201" s="2">
        <v>1596.63</v>
      </c>
      <c r="O201" s="2">
        <v>239.49449999999999</v>
      </c>
      <c r="P201" s="2">
        <v>1357.1355000000001</v>
      </c>
      <c r="Q201" s="2">
        <v>137</v>
      </c>
      <c r="R201" s="2">
        <v>959</v>
      </c>
      <c r="S201" s="2">
        <v>398.13549999999998</v>
      </c>
      <c r="T201" s="3">
        <v>0.29336459034488399</v>
      </c>
      <c r="U201" s="2" t="str">
        <f>IF(Table1[[#This Row],[Net_Revenue]]&lt;Table1[[#This Row],[Total_Cost]], "Loss", "Gain")</f>
        <v>Gain</v>
      </c>
      <c r="V201" s="16">
        <f>IF(Table1[[#This Row],[Gain/Loss]]="Gain",Table1[[#This Row],[Quantity]], 0)</f>
        <v>7</v>
      </c>
      <c r="W201" s="16">
        <f>IF(Table1[[#This Row],[Gain/Loss]]="Loss",Table1[[#This Row],[Quantity]],0)</f>
        <v>0</v>
      </c>
      <c r="X201" s="16">
        <f>IF(OR(Table1[[#This Row],[Gain/Loss]]="Gain",Table1[[#This Row],[Gain/Loss]]="Loss"),Table1[[#This Row],[Quantity]],"")</f>
        <v>7</v>
      </c>
    </row>
    <row r="202" spans="1:24" x14ac:dyDescent="0.25">
      <c r="A202">
        <v>10201</v>
      </c>
      <c r="B202" s="1">
        <v>45858</v>
      </c>
      <c r="C202" s="1" t="str">
        <f>TEXT(Table1[[#This Row],[Order_Date]],"DD")</f>
        <v>20</v>
      </c>
      <c r="D202" s="1" t="str">
        <f>TEXT(Table1[[#This Row],[Order_Date]],"MMM")</f>
        <v>Jul</v>
      </c>
      <c r="E202" s="1" t="str">
        <f>TEXT(Table1[[#This Row],[Order_Date]],"YYYY")</f>
        <v>2025</v>
      </c>
      <c r="F202">
        <v>3469</v>
      </c>
      <c r="G202" t="s">
        <v>23</v>
      </c>
      <c r="H202" t="s">
        <v>24</v>
      </c>
      <c r="I202" t="s">
        <v>26</v>
      </c>
      <c r="J202" t="s">
        <v>30</v>
      </c>
      <c r="K202">
        <v>5</v>
      </c>
      <c r="L202" s="2">
        <v>158.68</v>
      </c>
      <c r="M202" s="3">
        <v>0.15</v>
      </c>
      <c r="N202" s="2">
        <v>793.4</v>
      </c>
      <c r="O202" s="2">
        <v>119.01</v>
      </c>
      <c r="P202" s="2">
        <v>674.39</v>
      </c>
      <c r="Q202" s="2">
        <v>79.260000000000005</v>
      </c>
      <c r="R202" s="2">
        <v>396.3</v>
      </c>
      <c r="S202" s="2">
        <v>278.08999999999997</v>
      </c>
      <c r="T202" s="3">
        <v>0.41235783448746199</v>
      </c>
      <c r="U202" s="2" t="str">
        <f>IF(Table1[[#This Row],[Net_Revenue]]&lt;Table1[[#This Row],[Total_Cost]], "Loss", "Gain")</f>
        <v>Gain</v>
      </c>
      <c r="V202" s="16">
        <f>IF(Table1[[#This Row],[Gain/Loss]]="Gain",Table1[[#This Row],[Quantity]], 0)</f>
        <v>5</v>
      </c>
      <c r="W202" s="16">
        <f>IF(Table1[[#This Row],[Gain/Loss]]="Loss",Table1[[#This Row],[Quantity]],0)</f>
        <v>0</v>
      </c>
      <c r="X202" s="16">
        <f>IF(OR(Table1[[#This Row],[Gain/Loss]]="Gain",Table1[[#This Row],[Gain/Loss]]="Loss"),Table1[[#This Row],[Quantity]],"")</f>
        <v>5</v>
      </c>
    </row>
    <row r="203" spans="1:24" x14ac:dyDescent="0.25">
      <c r="A203">
        <v>10202</v>
      </c>
      <c r="B203" s="1">
        <v>45859</v>
      </c>
      <c r="C203" s="1" t="str">
        <f>TEXT(Table1[[#This Row],[Order_Date]],"DD")</f>
        <v>21</v>
      </c>
      <c r="D203" s="1" t="str">
        <f>TEXT(Table1[[#This Row],[Order_Date]],"MMM")</f>
        <v>Jul</v>
      </c>
      <c r="E203" s="1" t="str">
        <f>TEXT(Table1[[#This Row],[Order_Date]],"YYYY")</f>
        <v>2025</v>
      </c>
      <c r="F203">
        <v>3085</v>
      </c>
      <c r="G203" t="s">
        <v>17</v>
      </c>
      <c r="H203" t="s">
        <v>18</v>
      </c>
      <c r="I203" t="s">
        <v>25</v>
      </c>
      <c r="J203" t="s">
        <v>32</v>
      </c>
      <c r="K203">
        <v>4</v>
      </c>
      <c r="L203" s="2">
        <v>91.19</v>
      </c>
      <c r="M203" s="3">
        <v>0.2</v>
      </c>
      <c r="N203" s="2">
        <v>364.76</v>
      </c>
      <c r="O203" s="2">
        <v>72.951999999999998</v>
      </c>
      <c r="P203" s="2">
        <v>291.80799999999999</v>
      </c>
      <c r="Q203" s="2">
        <v>144.11000000000001</v>
      </c>
      <c r="R203" s="2">
        <v>576.44000000000005</v>
      </c>
      <c r="S203" s="2">
        <v>-284.63200000000001</v>
      </c>
      <c r="T203" s="3">
        <v>-0.975408487772782</v>
      </c>
      <c r="U203" s="2" t="str">
        <f>IF(Table1[[#This Row],[Net_Revenue]]&lt;Table1[[#This Row],[Total_Cost]], "Loss", "Gain")</f>
        <v>Loss</v>
      </c>
      <c r="V203" s="16">
        <f>IF(Table1[[#This Row],[Gain/Loss]]="Gain",Table1[[#This Row],[Quantity]], 0)</f>
        <v>0</v>
      </c>
      <c r="W203" s="16">
        <f>IF(Table1[[#This Row],[Gain/Loss]]="Loss",Table1[[#This Row],[Quantity]],0)</f>
        <v>4</v>
      </c>
      <c r="X203" s="16">
        <f>IF(OR(Table1[[#This Row],[Gain/Loss]]="Gain",Table1[[#This Row],[Gain/Loss]]="Loss"),Table1[[#This Row],[Quantity]],"")</f>
        <v>4</v>
      </c>
    </row>
    <row r="204" spans="1:24" x14ac:dyDescent="0.25">
      <c r="A204">
        <v>10203</v>
      </c>
      <c r="B204" s="1">
        <v>45860</v>
      </c>
      <c r="C204" s="1" t="str">
        <f>TEXT(Table1[[#This Row],[Order_Date]],"DD")</f>
        <v>22</v>
      </c>
      <c r="D204" s="1" t="str">
        <f>TEXT(Table1[[#This Row],[Order_Date]],"MMM")</f>
        <v>Jul</v>
      </c>
      <c r="E204" s="1" t="str">
        <f>TEXT(Table1[[#This Row],[Order_Date]],"YYYY")</f>
        <v>2025</v>
      </c>
      <c r="F204">
        <v>3670</v>
      </c>
      <c r="G204" t="s">
        <v>21</v>
      </c>
      <c r="H204" t="s">
        <v>24</v>
      </c>
      <c r="I204" t="s">
        <v>33</v>
      </c>
      <c r="J204" t="s">
        <v>20</v>
      </c>
      <c r="K204">
        <v>5</v>
      </c>
      <c r="L204" s="2">
        <v>209.99</v>
      </c>
      <c r="M204" s="3">
        <v>0.15</v>
      </c>
      <c r="N204" s="2">
        <v>1049.95</v>
      </c>
      <c r="O204" s="2">
        <v>157.49250000000001</v>
      </c>
      <c r="P204" s="2">
        <v>892.45749999999998</v>
      </c>
      <c r="Q204" s="2">
        <v>97.09</v>
      </c>
      <c r="R204" s="2">
        <v>485.45</v>
      </c>
      <c r="S204" s="2">
        <v>407.00749999999903</v>
      </c>
      <c r="T204" s="3">
        <v>0.45605252911203004</v>
      </c>
      <c r="U204" s="2" t="str">
        <f>IF(Table1[[#This Row],[Net_Revenue]]&lt;Table1[[#This Row],[Total_Cost]], "Loss", "Gain")</f>
        <v>Gain</v>
      </c>
      <c r="V204" s="16">
        <f>IF(Table1[[#This Row],[Gain/Loss]]="Gain",Table1[[#This Row],[Quantity]], 0)</f>
        <v>5</v>
      </c>
      <c r="W204" s="16">
        <f>IF(Table1[[#This Row],[Gain/Loss]]="Loss",Table1[[#This Row],[Quantity]],0)</f>
        <v>0</v>
      </c>
      <c r="X204" s="16">
        <f>IF(OR(Table1[[#This Row],[Gain/Loss]]="Gain",Table1[[#This Row],[Gain/Loss]]="Loss"),Table1[[#This Row],[Quantity]],"")</f>
        <v>5</v>
      </c>
    </row>
    <row r="205" spans="1:24" x14ac:dyDescent="0.25">
      <c r="A205">
        <v>10204</v>
      </c>
      <c r="B205" s="1">
        <v>45861</v>
      </c>
      <c r="C205" s="1" t="str">
        <f>TEXT(Table1[[#This Row],[Order_Date]],"DD")</f>
        <v>23</v>
      </c>
      <c r="D205" s="1" t="str">
        <f>TEXT(Table1[[#This Row],[Order_Date]],"MMM")</f>
        <v>Jul</v>
      </c>
      <c r="E205" s="1" t="str">
        <f>TEXT(Table1[[#This Row],[Order_Date]],"YYYY")</f>
        <v>2025</v>
      </c>
      <c r="F205">
        <v>3875</v>
      </c>
      <c r="G205" t="s">
        <v>29</v>
      </c>
      <c r="H205" t="s">
        <v>24</v>
      </c>
      <c r="I205" t="s">
        <v>33</v>
      </c>
      <c r="J205" t="s">
        <v>20</v>
      </c>
      <c r="K205">
        <v>9</v>
      </c>
      <c r="L205" s="2">
        <v>202.26</v>
      </c>
      <c r="M205" s="3">
        <v>0</v>
      </c>
      <c r="N205" s="2">
        <v>1820.34</v>
      </c>
      <c r="O205" s="2">
        <v>0</v>
      </c>
      <c r="P205" s="2">
        <v>1820.34</v>
      </c>
      <c r="Q205" s="2">
        <v>92.24</v>
      </c>
      <c r="R205" s="2">
        <v>830.16</v>
      </c>
      <c r="S205" s="2">
        <v>990.18</v>
      </c>
      <c r="T205" s="3">
        <v>0.54395332740037505</v>
      </c>
      <c r="U205" s="2" t="str">
        <f>IF(Table1[[#This Row],[Net_Revenue]]&lt;Table1[[#This Row],[Total_Cost]], "Loss", "Gain")</f>
        <v>Gain</v>
      </c>
      <c r="V205" s="16">
        <f>IF(Table1[[#This Row],[Gain/Loss]]="Gain",Table1[[#This Row],[Quantity]], 0)</f>
        <v>9</v>
      </c>
      <c r="W205" s="16">
        <f>IF(Table1[[#This Row],[Gain/Loss]]="Loss",Table1[[#This Row],[Quantity]],0)</f>
        <v>0</v>
      </c>
      <c r="X205" s="16">
        <f>IF(OR(Table1[[#This Row],[Gain/Loss]]="Gain",Table1[[#This Row],[Gain/Loss]]="Loss"),Table1[[#This Row],[Quantity]],"")</f>
        <v>9</v>
      </c>
    </row>
    <row r="206" spans="1:24" x14ac:dyDescent="0.25">
      <c r="A206">
        <v>10205</v>
      </c>
      <c r="B206" s="1">
        <v>45862</v>
      </c>
      <c r="C206" s="1" t="str">
        <f>TEXT(Table1[[#This Row],[Order_Date]],"DD")</f>
        <v>24</v>
      </c>
      <c r="D206" s="1" t="str">
        <f>TEXT(Table1[[#This Row],[Order_Date]],"MMM")</f>
        <v>Jul</v>
      </c>
      <c r="E206" s="1" t="str">
        <f>TEXT(Table1[[#This Row],[Order_Date]],"YYYY")</f>
        <v>2025</v>
      </c>
      <c r="F206">
        <v>3476</v>
      </c>
      <c r="G206" t="s">
        <v>21</v>
      </c>
      <c r="H206" t="s">
        <v>18</v>
      </c>
      <c r="I206" t="s">
        <v>26</v>
      </c>
      <c r="J206" t="s">
        <v>30</v>
      </c>
      <c r="K206">
        <v>4</v>
      </c>
      <c r="L206" s="2">
        <v>189.58</v>
      </c>
      <c r="M206" s="3">
        <v>0.2</v>
      </c>
      <c r="N206" s="2">
        <v>758.32</v>
      </c>
      <c r="O206" s="2">
        <v>151.66399999999999</v>
      </c>
      <c r="P206" s="2">
        <v>606.65599999999995</v>
      </c>
      <c r="Q206" s="2">
        <v>29.18</v>
      </c>
      <c r="R206" s="2">
        <v>116.72</v>
      </c>
      <c r="S206" s="2">
        <v>489.93599999999998</v>
      </c>
      <c r="T206" s="3">
        <v>0.80760101276505902</v>
      </c>
      <c r="U206" s="2" t="str">
        <f>IF(Table1[[#This Row],[Net_Revenue]]&lt;Table1[[#This Row],[Total_Cost]], "Loss", "Gain")</f>
        <v>Gain</v>
      </c>
      <c r="V206" s="16">
        <f>IF(Table1[[#This Row],[Gain/Loss]]="Gain",Table1[[#This Row],[Quantity]], 0)</f>
        <v>4</v>
      </c>
      <c r="W206" s="16">
        <f>IF(Table1[[#This Row],[Gain/Loss]]="Loss",Table1[[#This Row],[Quantity]],0)</f>
        <v>0</v>
      </c>
      <c r="X206" s="16">
        <f>IF(OR(Table1[[#This Row],[Gain/Loss]]="Gain",Table1[[#This Row],[Gain/Loss]]="Loss"),Table1[[#This Row],[Quantity]],"")</f>
        <v>4</v>
      </c>
    </row>
    <row r="207" spans="1:24" x14ac:dyDescent="0.25">
      <c r="A207">
        <v>10206</v>
      </c>
      <c r="B207" s="1">
        <v>45863</v>
      </c>
      <c r="C207" s="1" t="str">
        <f>TEXT(Table1[[#This Row],[Order_Date]],"DD")</f>
        <v>25</v>
      </c>
      <c r="D207" s="1" t="str">
        <f>TEXT(Table1[[#This Row],[Order_Date]],"MMM")</f>
        <v>Jul</v>
      </c>
      <c r="E207" s="1" t="str">
        <f>TEXT(Table1[[#This Row],[Order_Date]],"YYYY")</f>
        <v>2025</v>
      </c>
      <c r="F207">
        <v>3824</v>
      </c>
      <c r="G207" t="s">
        <v>29</v>
      </c>
      <c r="H207" t="s">
        <v>18</v>
      </c>
      <c r="I207" t="s">
        <v>33</v>
      </c>
      <c r="J207" t="s">
        <v>20</v>
      </c>
      <c r="K207">
        <v>9</v>
      </c>
      <c r="L207" s="2">
        <v>79.34</v>
      </c>
      <c r="M207" s="3">
        <v>0.1</v>
      </c>
      <c r="N207" s="2">
        <v>714.06</v>
      </c>
      <c r="O207" s="2">
        <v>71.406000000000006</v>
      </c>
      <c r="P207" s="2">
        <v>642.654</v>
      </c>
      <c r="Q207" s="2">
        <v>96.65</v>
      </c>
      <c r="R207" s="2">
        <v>869.85</v>
      </c>
      <c r="S207" s="2">
        <v>-227.196</v>
      </c>
      <c r="T207" s="3">
        <v>-0.35352771475786299</v>
      </c>
      <c r="U207" s="2" t="str">
        <f>IF(Table1[[#This Row],[Net_Revenue]]&lt;Table1[[#This Row],[Total_Cost]], "Loss", "Gain")</f>
        <v>Loss</v>
      </c>
      <c r="V207" s="16">
        <f>IF(Table1[[#This Row],[Gain/Loss]]="Gain",Table1[[#This Row],[Quantity]], 0)</f>
        <v>0</v>
      </c>
      <c r="W207" s="16">
        <f>IF(Table1[[#This Row],[Gain/Loss]]="Loss",Table1[[#This Row],[Quantity]],0)</f>
        <v>9</v>
      </c>
      <c r="X207" s="16">
        <f>IF(OR(Table1[[#This Row],[Gain/Loss]]="Gain",Table1[[#This Row],[Gain/Loss]]="Loss"),Table1[[#This Row],[Quantity]],"")</f>
        <v>9</v>
      </c>
    </row>
    <row r="208" spans="1:24" x14ac:dyDescent="0.25">
      <c r="A208">
        <v>10207</v>
      </c>
      <c r="B208" s="1">
        <v>45864</v>
      </c>
      <c r="C208" s="1" t="str">
        <f>TEXT(Table1[[#This Row],[Order_Date]],"DD")</f>
        <v>26</v>
      </c>
      <c r="D208" s="1" t="str">
        <f>TEXT(Table1[[#This Row],[Order_Date]],"MMM")</f>
        <v>Jul</v>
      </c>
      <c r="E208" s="1" t="str">
        <f>TEXT(Table1[[#This Row],[Order_Date]],"YYYY")</f>
        <v>2025</v>
      </c>
      <c r="F208">
        <v>3819</v>
      </c>
      <c r="G208" t="s">
        <v>23</v>
      </c>
      <c r="H208" t="s">
        <v>24</v>
      </c>
      <c r="I208" t="s">
        <v>33</v>
      </c>
      <c r="J208" t="s">
        <v>20</v>
      </c>
      <c r="K208">
        <v>4</v>
      </c>
      <c r="L208" s="2">
        <v>52.03</v>
      </c>
      <c r="M208" s="3">
        <v>0.2</v>
      </c>
      <c r="N208" s="2">
        <v>208.12</v>
      </c>
      <c r="O208" s="2">
        <v>41.624000000000002</v>
      </c>
      <c r="P208" s="2">
        <v>166.49600000000001</v>
      </c>
      <c r="Q208" s="2">
        <v>114.32</v>
      </c>
      <c r="R208" s="2">
        <v>457.28</v>
      </c>
      <c r="S208" s="2">
        <v>-290.78399999999999</v>
      </c>
      <c r="T208" s="3">
        <v>-1.74649240822602</v>
      </c>
      <c r="U208" s="2" t="str">
        <f>IF(Table1[[#This Row],[Net_Revenue]]&lt;Table1[[#This Row],[Total_Cost]], "Loss", "Gain")</f>
        <v>Loss</v>
      </c>
      <c r="V208" s="16">
        <f>IF(Table1[[#This Row],[Gain/Loss]]="Gain",Table1[[#This Row],[Quantity]], 0)</f>
        <v>0</v>
      </c>
      <c r="W208" s="16">
        <f>IF(Table1[[#This Row],[Gain/Loss]]="Loss",Table1[[#This Row],[Quantity]],0)</f>
        <v>4</v>
      </c>
      <c r="X208" s="16">
        <f>IF(OR(Table1[[#This Row],[Gain/Loss]]="Gain",Table1[[#This Row],[Gain/Loss]]="Loss"),Table1[[#This Row],[Quantity]],"")</f>
        <v>4</v>
      </c>
    </row>
    <row r="209" spans="1:24" x14ac:dyDescent="0.25">
      <c r="A209">
        <v>10208</v>
      </c>
      <c r="B209" s="1">
        <v>45865</v>
      </c>
      <c r="C209" s="1" t="str">
        <f>TEXT(Table1[[#This Row],[Order_Date]],"DD")</f>
        <v>27</v>
      </c>
      <c r="D209" s="1" t="str">
        <f>TEXT(Table1[[#This Row],[Order_Date]],"MMM")</f>
        <v>Jul</v>
      </c>
      <c r="E209" s="1" t="str">
        <f>TEXT(Table1[[#This Row],[Order_Date]],"YYYY")</f>
        <v>2025</v>
      </c>
      <c r="F209">
        <v>3247</v>
      </c>
      <c r="G209" t="s">
        <v>17</v>
      </c>
      <c r="H209" t="s">
        <v>18</v>
      </c>
      <c r="I209" t="s">
        <v>26</v>
      </c>
      <c r="J209" t="s">
        <v>30</v>
      </c>
      <c r="K209">
        <v>3</v>
      </c>
      <c r="L209" s="2">
        <v>142.15</v>
      </c>
      <c r="M209" s="3">
        <v>0.2</v>
      </c>
      <c r="N209" s="2">
        <v>426.45</v>
      </c>
      <c r="O209" s="2">
        <v>85.29</v>
      </c>
      <c r="P209" s="2">
        <v>341.16</v>
      </c>
      <c r="Q209" s="2">
        <v>93.5</v>
      </c>
      <c r="R209" s="2">
        <v>280.5</v>
      </c>
      <c r="S209" s="2">
        <v>60.66</v>
      </c>
      <c r="T209" s="3">
        <v>0.17780513542033</v>
      </c>
      <c r="U209" s="2" t="str">
        <f>IF(Table1[[#This Row],[Net_Revenue]]&lt;Table1[[#This Row],[Total_Cost]], "Loss", "Gain")</f>
        <v>Gain</v>
      </c>
      <c r="V209" s="16">
        <f>IF(Table1[[#This Row],[Gain/Loss]]="Gain",Table1[[#This Row],[Quantity]], 0)</f>
        <v>3</v>
      </c>
      <c r="W209" s="16">
        <f>IF(Table1[[#This Row],[Gain/Loss]]="Loss",Table1[[#This Row],[Quantity]],0)</f>
        <v>0</v>
      </c>
      <c r="X209" s="16">
        <f>IF(OR(Table1[[#This Row],[Gain/Loss]]="Gain",Table1[[#This Row],[Gain/Loss]]="Loss"),Table1[[#This Row],[Quantity]],"")</f>
        <v>3</v>
      </c>
    </row>
    <row r="210" spans="1:24" x14ac:dyDescent="0.25">
      <c r="A210">
        <v>10209</v>
      </c>
      <c r="B210" s="1">
        <v>45866</v>
      </c>
      <c r="C210" s="1" t="str">
        <f>TEXT(Table1[[#This Row],[Order_Date]],"DD")</f>
        <v>28</v>
      </c>
      <c r="D210" s="1" t="str">
        <f>TEXT(Table1[[#This Row],[Order_Date]],"MMM")</f>
        <v>Jul</v>
      </c>
      <c r="E210" s="1" t="str">
        <f>TEXT(Table1[[#This Row],[Order_Date]],"YYYY")</f>
        <v>2025</v>
      </c>
      <c r="F210">
        <v>3183</v>
      </c>
      <c r="G210" t="s">
        <v>23</v>
      </c>
      <c r="H210" t="s">
        <v>18</v>
      </c>
      <c r="I210" t="s">
        <v>19</v>
      </c>
      <c r="J210" t="s">
        <v>27</v>
      </c>
      <c r="K210">
        <v>2</v>
      </c>
      <c r="L210" s="2">
        <v>23.36</v>
      </c>
      <c r="M210" s="3">
        <v>0.15</v>
      </c>
      <c r="N210" s="2">
        <v>46.72</v>
      </c>
      <c r="O210" s="2">
        <v>7.008</v>
      </c>
      <c r="P210" s="2">
        <v>39.711999999999897</v>
      </c>
      <c r="Q210" s="2">
        <v>104.95</v>
      </c>
      <c r="R210" s="2">
        <v>209.9</v>
      </c>
      <c r="S210" s="2">
        <v>-170.18799999999999</v>
      </c>
      <c r="T210" s="3">
        <v>-4.2855560032232001</v>
      </c>
      <c r="U210" s="2" t="str">
        <f>IF(Table1[[#This Row],[Net_Revenue]]&lt;Table1[[#This Row],[Total_Cost]], "Loss", "Gain")</f>
        <v>Loss</v>
      </c>
      <c r="V210" s="16">
        <f>IF(Table1[[#This Row],[Gain/Loss]]="Gain",Table1[[#This Row],[Quantity]], 0)</f>
        <v>0</v>
      </c>
      <c r="W210" s="16">
        <f>IF(Table1[[#This Row],[Gain/Loss]]="Loss",Table1[[#This Row],[Quantity]],0)</f>
        <v>2</v>
      </c>
      <c r="X210" s="16">
        <f>IF(OR(Table1[[#This Row],[Gain/Loss]]="Gain",Table1[[#This Row],[Gain/Loss]]="Loss"),Table1[[#This Row],[Quantity]],"")</f>
        <v>2</v>
      </c>
    </row>
    <row r="211" spans="1:24" x14ac:dyDescent="0.25">
      <c r="A211">
        <v>10210</v>
      </c>
      <c r="B211" s="1">
        <v>45867</v>
      </c>
      <c r="C211" s="1" t="str">
        <f>TEXT(Table1[[#This Row],[Order_Date]],"DD")</f>
        <v>29</v>
      </c>
      <c r="D211" s="1" t="str">
        <f>TEXT(Table1[[#This Row],[Order_Date]],"MMM")</f>
        <v>Jul</v>
      </c>
      <c r="E211" s="1" t="str">
        <f>TEXT(Table1[[#This Row],[Order_Date]],"YYYY")</f>
        <v>2025</v>
      </c>
      <c r="F211">
        <v>3633</v>
      </c>
      <c r="G211" t="s">
        <v>21</v>
      </c>
      <c r="H211" t="s">
        <v>18</v>
      </c>
      <c r="I211" t="s">
        <v>26</v>
      </c>
      <c r="J211" t="s">
        <v>28</v>
      </c>
      <c r="K211">
        <v>7</v>
      </c>
      <c r="L211" s="2">
        <v>164.31</v>
      </c>
      <c r="M211" s="3">
        <v>0.15</v>
      </c>
      <c r="N211" s="2">
        <v>1150.17</v>
      </c>
      <c r="O211" s="2">
        <v>172.52549999999999</v>
      </c>
      <c r="P211" s="2">
        <v>977.64449999999999</v>
      </c>
      <c r="Q211" s="2">
        <v>133.19999999999999</v>
      </c>
      <c r="R211" s="2">
        <v>932.39999999999895</v>
      </c>
      <c r="S211" s="2">
        <v>45.244500000000201</v>
      </c>
      <c r="T211" s="3">
        <v>4.6279092246721804E-2</v>
      </c>
      <c r="U211" s="2" t="str">
        <f>IF(Table1[[#This Row],[Net_Revenue]]&lt;Table1[[#This Row],[Total_Cost]], "Loss", "Gain")</f>
        <v>Gain</v>
      </c>
      <c r="V211" s="16">
        <f>IF(Table1[[#This Row],[Gain/Loss]]="Gain",Table1[[#This Row],[Quantity]], 0)</f>
        <v>7</v>
      </c>
      <c r="W211" s="16">
        <f>IF(Table1[[#This Row],[Gain/Loss]]="Loss",Table1[[#This Row],[Quantity]],0)</f>
        <v>0</v>
      </c>
      <c r="X211" s="16">
        <f>IF(OR(Table1[[#This Row],[Gain/Loss]]="Gain",Table1[[#This Row],[Gain/Loss]]="Loss"),Table1[[#This Row],[Quantity]],"")</f>
        <v>7</v>
      </c>
    </row>
    <row r="212" spans="1:24" x14ac:dyDescent="0.25">
      <c r="A212">
        <v>10211</v>
      </c>
      <c r="B212" s="1">
        <v>45868</v>
      </c>
      <c r="C212" s="1" t="str">
        <f>TEXT(Table1[[#This Row],[Order_Date]],"DD")</f>
        <v>30</v>
      </c>
      <c r="D212" s="1" t="str">
        <f>TEXT(Table1[[#This Row],[Order_Date]],"MMM")</f>
        <v>Jul</v>
      </c>
      <c r="E212" s="1" t="str">
        <f>TEXT(Table1[[#This Row],[Order_Date]],"YYYY")</f>
        <v>2025</v>
      </c>
      <c r="F212">
        <v>3908</v>
      </c>
      <c r="G212" t="s">
        <v>17</v>
      </c>
      <c r="H212" t="s">
        <v>24</v>
      </c>
      <c r="I212" t="s">
        <v>33</v>
      </c>
      <c r="J212" t="s">
        <v>20</v>
      </c>
      <c r="K212">
        <v>8</v>
      </c>
      <c r="L212" s="2">
        <v>114.72</v>
      </c>
      <c r="M212" s="3">
        <v>0.15</v>
      </c>
      <c r="N212" s="2">
        <v>917.76</v>
      </c>
      <c r="O212" s="2">
        <v>137.66399999999999</v>
      </c>
      <c r="P212" s="2">
        <v>780.096</v>
      </c>
      <c r="Q212" s="2">
        <v>106.02</v>
      </c>
      <c r="R212" s="2">
        <v>848.16</v>
      </c>
      <c r="S212" s="2">
        <v>-68.063999999999893</v>
      </c>
      <c r="T212" s="3">
        <v>-8.7250799901550505E-2</v>
      </c>
      <c r="U212" s="2" t="str">
        <f>IF(Table1[[#This Row],[Net_Revenue]]&lt;Table1[[#This Row],[Total_Cost]], "Loss", "Gain")</f>
        <v>Loss</v>
      </c>
      <c r="V212" s="16">
        <f>IF(Table1[[#This Row],[Gain/Loss]]="Gain",Table1[[#This Row],[Quantity]], 0)</f>
        <v>0</v>
      </c>
      <c r="W212" s="16">
        <f>IF(Table1[[#This Row],[Gain/Loss]]="Loss",Table1[[#This Row],[Quantity]],0)</f>
        <v>8</v>
      </c>
      <c r="X212" s="16">
        <f>IF(OR(Table1[[#This Row],[Gain/Loss]]="Gain",Table1[[#This Row],[Gain/Loss]]="Loss"),Table1[[#This Row],[Quantity]],"")</f>
        <v>8</v>
      </c>
    </row>
    <row r="213" spans="1:24" x14ac:dyDescent="0.25">
      <c r="A213">
        <v>10212</v>
      </c>
      <c r="B213" s="1">
        <v>45869</v>
      </c>
      <c r="C213" s="1" t="str">
        <f>TEXT(Table1[[#This Row],[Order_Date]],"DD")</f>
        <v>31</v>
      </c>
      <c r="D213" s="1" t="str">
        <f>TEXT(Table1[[#This Row],[Order_Date]],"MMM")</f>
        <v>Jul</v>
      </c>
      <c r="E213" s="1" t="str">
        <f>TEXT(Table1[[#This Row],[Order_Date]],"YYYY")</f>
        <v>2025</v>
      </c>
      <c r="F213">
        <v>3076</v>
      </c>
      <c r="G213" t="s">
        <v>17</v>
      </c>
      <c r="H213" t="s">
        <v>24</v>
      </c>
      <c r="I213" t="s">
        <v>26</v>
      </c>
      <c r="J213" t="s">
        <v>31</v>
      </c>
      <c r="K213">
        <v>7</v>
      </c>
      <c r="L213" s="2">
        <v>180.49</v>
      </c>
      <c r="M213" s="3">
        <v>0</v>
      </c>
      <c r="N213" s="2">
        <v>1263.43</v>
      </c>
      <c r="O213" s="2">
        <v>0</v>
      </c>
      <c r="P213" s="2">
        <v>1263.43</v>
      </c>
      <c r="Q213" s="2">
        <v>98.18</v>
      </c>
      <c r="R213" s="2">
        <v>687.26</v>
      </c>
      <c r="S213" s="2">
        <v>576.16999999999996</v>
      </c>
      <c r="T213" s="3">
        <v>0.45603634550390604</v>
      </c>
      <c r="U213" s="2" t="str">
        <f>IF(Table1[[#This Row],[Net_Revenue]]&lt;Table1[[#This Row],[Total_Cost]], "Loss", "Gain")</f>
        <v>Gain</v>
      </c>
      <c r="V213" s="16">
        <f>IF(Table1[[#This Row],[Gain/Loss]]="Gain",Table1[[#This Row],[Quantity]], 0)</f>
        <v>7</v>
      </c>
      <c r="W213" s="16">
        <f>IF(Table1[[#This Row],[Gain/Loss]]="Loss",Table1[[#This Row],[Quantity]],0)</f>
        <v>0</v>
      </c>
      <c r="X213" s="16">
        <f>IF(OR(Table1[[#This Row],[Gain/Loss]]="Gain",Table1[[#This Row],[Gain/Loss]]="Loss"),Table1[[#This Row],[Quantity]],"")</f>
        <v>7</v>
      </c>
    </row>
    <row r="214" spans="1:24" x14ac:dyDescent="0.25">
      <c r="A214">
        <v>10213</v>
      </c>
      <c r="B214" s="1">
        <v>45870</v>
      </c>
      <c r="C214" s="1" t="str">
        <f>TEXT(Table1[[#This Row],[Order_Date]],"DD")</f>
        <v>01</v>
      </c>
      <c r="D214" s="1" t="str">
        <f>TEXT(Table1[[#This Row],[Order_Date]],"MMM")</f>
        <v>Aug</v>
      </c>
      <c r="E214" s="1" t="str">
        <f>TEXT(Table1[[#This Row],[Order_Date]],"YYYY")</f>
        <v>2025</v>
      </c>
      <c r="F214">
        <v>3877</v>
      </c>
      <c r="G214" t="s">
        <v>21</v>
      </c>
      <c r="H214" t="s">
        <v>18</v>
      </c>
      <c r="I214" t="s">
        <v>25</v>
      </c>
      <c r="J214" t="s">
        <v>22</v>
      </c>
      <c r="K214">
        <v>3</v>
      </c>
      <c r="L214" s="2">
        <v>172.73</v>
      </c>
      <c r="M214" s="3">
        <v>0.2</v>
      </c>
      <c r="N214" s="2">
        <v>518.18999999999903</v>
      </c>
      <c r="O214" s="2">
        <v>103.637999999999</v>
      </c>
      <c r="P214" s="2">
        <v>414.551999999999</v>
      </c>
      <c r="Q214" s="2">
        <v>81.489999999999995</v>
      </c>
      <c r="R214" s="2">
        <v>244.469999999999</v>
      </c>
      <c r="S214" s="2">
        <v>170.08199999999999</v>
      </c>
      <c r="T214" s="3">
        <v>0.410279048225554</v>
      </c>
      <c r="U214" s="2" t="str">
        <f>IF(Table1[[#This Row],[Net_Revenue]]&lt;Table1[[#This Row],[Total_Cost]], "Loss", "Gain")</f>
        <v>Gain</v>
      </c>
      <c r="V214" s="16">
        <f>IF(Table1[[#This Row],[Gain/Loss]]="Gain",Table1[[#This Row],[Quantity]], 0)</f>
        <v>3</v>
      </c>
      <c r="W214" s="16">
        <f>IF(Table1[[#This Row],[Gain/Loss]]="Loss",Table1[[#This Row],[Quantity]],0)</f>
        <v>0</v>
      </c>
      <c r="X214" s="16">
        <f>IF(OR(Table1[[#This Row],[Gain/Loss]]="Gain",Table1[[#This Row],[Gain/Loss]]="Loss"),Table1[[#This Row],[Quantity]],"")</f>
        <v>3</v>
      </c>
    </row>
    <row r="215" spans="1:24" x14ac:dyDescent="0.25">
      <c r="A215">
        <v>10214</v>
      </c>
      <c r="B215" s="1">
        <v>45871</v>
      </c>
      <c r="C215" s="1" t="str">
        <f>TEXT(Table1[[#This Row],[Order_Date]],"DD")</f>
        <v>02</v>
      </c>
      <c r="D215" s="1" t="str">
        <f>TEXT(Table1[[#This Row],[Order_Date]],"MMM")</f>
        <v>Aug</v>
      </c>
      <c r="E215" s="1" t="str">
        <f>TEXT(Table1[[#This Row],[Order_Date]],"YYYY")</f>
        <v>2025</v>
      </c>
      <c r="F215">
        <v>3932</v>
      </c>
      <c r="G215" t="s">
        <v>21</v>
      </c>
      <c r="H215" t="s">
        <v>18</v>
      </c>
      <c r="I215" t="s">
        <v>33</v>
      </c>
      <c r="J215" t="s">
        <v>20</v>
      </c>
      <c r="K215">
        <v>5</v>
      </c>
      <c r="L215" s="2">
        <v>82.92</v>
      </c>
      <c r="M215" s="3">
        <v>0.15</v>
      </c>
      <c r="N215" s="2">
        <v>414.6</v>
      </c>
      <c r="O215" s="2">
        <v>62.19</v>
      </c>
      <c r="P215" s="2">
        <v>352.41</v>
      </c>
      <c r="Q215" s="2">
        <v>71.03</v>
      </c>
      <c r="R215" s="2">
        <v>355.15</v>
      </c>
      <c r="S215" s="2">
        <v>-2.73999999999995</v>
      </c>
      <c r="T215" s="3">
        <v>-7.7750347606479701E-3</v>
      </c>
      <c r="U215" s="2" t="str">
        <f>IF(Table1[[#This Row],[Net_Revenue]]&lt;Table1[[#This Row],[Total_Cost]], "Loss", "Gain")</f>
        <v>Loss</v>
      </c>
      <c r="V215" s="16">
        <f>IF(Table1[[#This Row],[Gain/Loss]]="Gain",Table1[[#This Row],[Quantity]], 0)</f>
        <v>0</v>
      </c>
      <c r="W215" s="16">
        <f>IF(Table1[[#This Row],[Gain/Loss]]="Loss",Table1[[#This Row],[Quantity]],0)</f>
        <v>5</v>
      </c>
      <c r="X215" s="16">
        <f>IF(OR(Table1[[#This Row],[Gain/Loss]]="Gain",Table1[[#This Row],[Gain/Loss]]="Loss"),Table1[[#This Row],[Quantity]],"")</f>
        <v>5</v>
      </c>
    </row>
    <row r="216" spans="1:24" x14ac:dyDescent="0.25">
      <c r="A216">
        <v>10215</v>
      </c>
      <c r="B216" s="1">
        <v>45872</v>
      </c>
      <c r="C216" s="1" t="str">
        <f>TEXT(Table1[[#This Row],[Order_Date]],"DD")</f>
        <v>03</v>
      </c>
      <c r="D216" s="1" t="str">
        <f>TEXT(Table1[[#This Row],[Order_Date]],"MMM")</f>
        <v>Aug</v>
      </c>
      <c r="E216" s="1" t="str">
        <f>TEXT(Table1[[#This Row],[Order_Date]],"YYYY")</f>
        <v>2025</v>
      </c>
      <c r="F216">
        <v>3711</v>
      </c>
      <c r="G216" t="s">
        <v>17</v>
      </c>
      <c r="H216" t="s">
        <v>24</v>
      </c>
      <c r="I216" t="s">
        <v>26</v>
      </c>
      <c r="J216" t="s">
        <v>31</v>
      </c>
      <c r="K216">
        <v>2</v>
      </c>
      <c r="L216" s="2">
        <v>39.01</v>
      </c>
      <c r="M216" s="3">
        <v>0.2</v>
      </c>
      <c r="N216" s="2">
        <v>78.02</v>
      </c>
      <c r="O216" s="2">
        <v>15.603999999999999</v>
      </c>
      <c r="P216" s="2">
        <v>62.415999999999997</v>
      </c>
      <c r="Q216" s="2">
        <v>108.35</v>
      </c>
      <c r="R216" s="2">
        <v>216.7</v>
      </c>
      <c r="S216" s="2">
        <v>-154.28399999999999</v>
      </c>
      <c r="T216" s="3">
        <v>-2.4718661881568802</v>
      </c>
      <c r="U216" s="2" t="str">
        <f>IF(Table1[[#This Row],[Net_Revenue]]&lt;Table1[[#This Row],[Total_Cost]], "Loss", "Gain")</f>
        <v>Loss</v>
      </c>
      <c r="V216" s="16">
        <f>IF(Table1[[#This Row],[Gain/Loss]]="Gain",Table1[[#This Row],[Quantity]], 0)</f>
        <v>0</v>
      </c>
      <c r="W216" s="16">
        <f>IF(Table1[[#This Row],[Gain/Loss]]="Loss",Table1[[#This Row],[Quantity]],0)</f>
        <v>2</v>
      </c>
      <c r="X216" s="16">
        <f>IF(OR(Table1[[#This Row],[Gain/Loss]]="Gain",Table1[[#This Row],[Gain/Loss]]="Loss"),Table1[[#This Row],[Quantity]],"")</f>
        <v>2</v>
      </c>
    </row>
    <row r="217" spans="1:24" x14ac:dyDescent="0.25">
      <c r="A217">
        <v>10216</v>
      </c>
      <c r="B217" s="1">
        <v>45873</v>
      </c>
      <c r="C217" s="1" t="str">
        <f>TEXT(Table1[[#This Row],[Order_Date]],"DD")</f>
        <v>04</v>
      </c>
      <c r="D217" s="1" t="str">
        <f>TEXT(Table1[[#This Row],[Order_Date]],"MMM")</f>
        <v>Aug</v>
      </c>
      <c r="E217" s="1" t="str">
        <f>TEXT(Table1[[#This Row],[Order_Date]],"YYYY")</f>
        <v>2025</v>
      </c>
      <c r="F217">
        <v>3085</v>
      </c>
      <c r="G217" t="s">
        <v>29</v>
      </c>
      <c r="H217" t="s">
        <v>24</v>
      </c>
      <c r="I217" t="s">
        <v>26</v>
      </c>
      <c r="J217" t="s">
        <v>31</v>
      </c>
      <c r="K217">
        <v>6</v>
      </c>
      <c r="L217" s="2">
        <v>242.98</v>
      </c>
      <c r="M217" s="3">
        <v>0</v>
      </c>
      <c r="N217" s="2">
        <v>1457.8799999999901</v>
      </c>
      <c r="O217" s="2">
        <v>0</v>
      </c>
      <c r="P217" s="2">
        <v>1457.8799999999901</v>
      </c>
      <c r="Q217" s="2">
        <v>125.07</v>
      </c>
      <c r="R217" s="2">
        <v>750.42</v>
      </c>
      <c r="S217" s="2">
        <v>707.45999999999901</v>
      </c>
      <c r="T217" s="3">
        <v>0.48526627705983999</v>
      </c>
      <c r="U217" s="2" t="str">
        <f>IF(Table1[[#This Row],[Net_Revenue]]&lt;Table1[[#This Row],[Total_Cost]], "Loss", "Gain")</f>
        <v>Gain</v>
      </c>
      <c r="V217" s="16">
        <f>IF(Table1[[#This Row],[Gain/Loss]]="Gain",Table1[[#This Row],[Quantity]], 0)</f>
        <v>6</v>
      </c>
      <c r="W217" s="16">
        <f>IF(Table1[[#This Row],[Gain/Loss]]="Loss",Table1[[#This Row],[Quantity]],0)</f>
        <v>0</v>
      </c>
      <c r="X217" s="16">
        <f>IF(OR(Table1[[#This Row],[Gain/Loss]]="Gain",Table1[[#This Row],[Gain/Loss]]="Loss"),Table1[[#This Row],[Quantity]],"")</f>
        <v>6</v>
      </c>
    </row>
    <row r="218" spans="1:24" x14ac:dyDescent="0.25">
      <c r="A218">
        <v>10217</v>
      </c>
      <c r="B218" s="1">
        <v>45874</v>
      </c>
      <c r="C218" s="1" t="str">
        <f>TEXT(Table1[[#This Row],[Order_Date]],"DD")</f>
        <v>05</v>
      </c>
      <c r="D218" s="1" t="str">
        <f>TEXT(Table1[[#This Row],[Order_Date]],"MMM")</f>
        <v>Aug</v>
      </c>
      <c r="E218" s="1" t="str">
        <f>TEXT(Table1[[#This Row],[Order_Date]],"YYYY")</f>
        <v>2025</v>
      </c>
      <c r="F218">
        <v>3698</v>
      </c>
      <c r="G218" t="s">
        <v>17</v>
      </c>
      <c r="H218" t="s">
        <v>18</v>
      </c>
      <c r="I218" t="s">
        <v>25</v>
      </c>
      <c r="J218" t="s">
        <v>22</v>
      </c>
      <c r="K218">
        <v>9</v>
      </c>
      <c r="L218" s="2">
        <v>13.57</v>
      </c>
      <c r="M218" s="3">
        <v>0.05</v>
      </c>
      <c r="N218" s="2">
        <v>122.13</v>
      </c>
      <c r="O218" s="2">
        <v>6.1064999999999996</v>
      </c>
      <c r="P218" s="2">
        <v>116.0235</v>
      </c>
      <c r="Q218" s="2">
        <v>110.63</v>
      </c>
      <c r="R218" s="2">
        <v>995.67</v>
      </c>
      <c r="S218" s="2">
        <v>-879.64649999999995</v>
      </c>
      <c r="T218" s="3">
        <v>-7.58162355040142</v>
      </c>
      <c r="U218" s="2" t="str">
        <f>IF(Table1[[#This Row],[Net_Revenue]]&lt;Table1[[#This Row],[Total_Cost]], "Loss", "Gain")</f>
        <v>Loss</v>
      </c>
      <c r="V218" s="16">
        <f>IF(Table1[[#This Row],[Gain/Loss]]="Gain",Table1[[#This Row],[Quantity]], 0)</f>
        <v>0</v>
      </c>
      <c r="W218" s="16">
        <f>IF(Table1[[#This Row],[Gain/Loss]]="Loss",Table1[[#This Row],[Quantity]],0)</f>
        <v>9</v>
      </c>
      <c r="X218" s="16">
        <f>IF(OR(Table1[[#This Row],[Gain/Loss]]="Gain",Table1[[#This Row],[Gain/Loss]]="Loss"),Table1[[#This Row],[Quantity]],"")</f>
        <v>9</v>
      </c>
    </row>
    <row r="219" spans="1:24" x14ac:dyDescent="0.25">
      <c r="A219">
        <v>10218</v>
      </c>
      <c r="B219" s="1">
        <v>45875</v>
      </c>
      <c r="C219" s="1" t="str">
        <f>TEXT(Table1[[#This Row],[Order_Date]],"DD")</f>
        <v>06</v>
      </c>
      <c r="D219" s="1" t="str">
        <f>TEXT(Table1[[#This Row],[Order_Date]],"MMM")</f>
        <v>Aug</v>
      </c>
      <c r="E219" s="1" t="str">
        <f>TEXT(Table1[[#This Row],[Order_Date]],"YYYY")</f>
        <v>2025</v>
      </c>
      <c r="F219">
        <v>3809</v>
      </c>
      <c r="G219" t="s">
        <v>29</v>
      </c>
      <c r="H219" t="s">
        <v>24</v>
      </c>
      <c r="I219" t="s">
        <v>26</v>
      </c>
      <c r="J219" t="s">
        <v>28</v>
      </c>
      <c r="K219">
        <v>9</v>
      </c>
      <c r="L219" s="2">
        <v>103.4</v>
      </c>
      <c r="M219" s="3">
        <v>0.1</v>
      </c>
      <c r="N219" s="2">
        <v>930.6</v>
      </c>
      <c r="O219" s="2">
        <v>93.06</v>
      </c>
      <c r="P219" s="2">
        <v>837.54</v>
      </c>
      <c r="Q219" s="2">
        <v>19.52</v>
      </c>
      <c r="R219" s="2">
        <v>175.68</v>
      </c>
      <c r="S219" s="2">
        <v>661.85999999999899</v>
      </c>
      <c r="T219" s="3">
        <v>0.79024285407264105</v>
      </c>
      <c r="U219" s="2" t="str">
        <f>IF(Table1[[#This Row],[Net_Revenue]]&lt;Table1[[#This Row],[Total_Cost]], "Loss", "Gain")</f>
        <v>Gain</v>
      </c>
      <c r="V219" s="16">
        <f>IF(Table1[[#This Row],[Gain/Loss]]="Gain",Table1[[#This Row],[Quantity]], 0)</f>
        <v>9</v>
      </c>
      <c r="W219" s="16">
        <f>IF(Table1[[#This Row],[Gain/Loss]]="Loss",Table1[[#This Row],[Quantity]],0)</f>
        <v>0</v>
      </c>
      <c r="X219" s="16">
        <f>IF(OR(Table1[[#This Row],[Gain/Loss]]="Gain",Table1[[#This Row],[Gain/Loss]]="Loss"),Table1[[#This Row],[Quantity]],"")</f>
        <v>9</v>
      </c>
    </row>
    <row r="220" spans="1:24" x14ac:dyDescent="0.25">
      <c r="A220">
        <v>10219</v>
      </c>
      <c r="B220" s="1">
        <v>45876</v>
      </c>
      <c r="C220" s="1" t="str">
        <f>TEXT(Table1[[#This Row],[Order_Date]],"DD")</f>
        <v>07</v>
      </c>
      <c r="D220" s="1" t="str">
        <f>TEXT(Table1[[#This Row],[Order_Date]],"MMM")</f>
        <v>Aug</v>
      </c>
      <c r="E220" s="1" t="str">
        <f>TEXT(Table1[[#This Row],[Order_Date]],"YYYY")</f>
        <v>2025</v>
      </c>
      <c r="F220">
        <v>3230</v>
      </c>
      <c r="G220" t="s">
        <v>29</v>
      </c>
      <c r="H220" t="s">
        <v>24</v>
      </c>
      <c r="I220" t="s">
        <v>26</v>
      </c>
      <c r="J220" t="s">
        <v>31</v>
      </c>
      <c r="K220">
        <v>6</v>
      </c>
      <c r="L220" s="2">
        <v>137.47</v>
      </c>
      <c r="M220" s="3">
        <v>0.2</v>
      </c>
      <c r="N220" s="2">
        <v>824.81999999999903</v>
      </c>
      <c r="O220" s="2">
        <v>164.964</v>
      </c>
      <c r="P220" s="2">
        <v>659.85599999999999</v>
      </c>
      <c r="Q220" s="2">
        <v>42.16</v>
      </c>
      <c r="R220" s="2">
        <v>252.95999999999901</v>
      </c>
      <c r="S220" s="2">
        <v>406.89600000000002</v>
      </c>
      <c r="T220" s="3">
        <v>0.61664363133774602</v>
      </c>
      <c r="U220" s="2" t="str">
        <f>IF(Table1[[#This Row],[Net_Revenue]]&lt;Table1[[#This Row],[Total_Cost]], "Loss", "Gain")</f>
        <v>Gain</v>
      </c>
      <c r="V220" s="16">
        <f>IF(Table1[[#This Row],[Gain/Loss]]="Gain",Table1[[#This Row],[Quantity]], 0)</f>
        <v>6</v>
      </c>
      <c r="W220" s="16">
        <f>IF(Table1[[#This Row],[Gain/Loss]]="Loss",Table1[[#This Row],[Quantity]],0)</f>
        <v>0</v>
      </c>
      <c r="X220" s="16">
        <f>IF(OR(Table1[[#This Row],[Gain/Loss]]="Gain",Table1[[#This Row],[Gain/Loss]]="Loss"),Table1[[#This Row],[Quantity]],"")</f>
        <v>6</v>
      </c>
    </row>
    <row r="221" spans="1:24" x14ac:dyDescent="0.25">
      <c r="A221">
        <v>10220</v>
      </c>
      <c r="B221" s="1">
        <v>45877</v>
      </c>
      <c r="C221" s="1" t="str">
        <f>TEXT(Table1[[#This Row],[Order_Date]],"DD")</f>
        <v>08</v>
      </c>
      <c r="D221" s="1" t="str">
        <f>TEXT(Table1[[#This Row],[Order_Date]],"MMM")</f>
        <v>Aug</v>
      </c>
      <c r="E221" s="1" t="str">
        <f>TEXT(Table1[[#This Row],[Order_Date]],"YYYY")</f>
        <v>2025</v>
      </c>
      <c r="F221">
        <v>3911</v>
      </c>
      <c r="G221" t="s">
        <v>21</v>
      </c>
      <c r="H221" t="s">
        <v>24</v>
      </c>
      <c r="I221" t="s">
        <v>26</v>
      </c>
      <c r="J221" t="s">
        <v>31</v>
      </c>
      <c r="K221">
        <v>9</v>
      </c>
      <c r="L221" s="2">
        <v>126.72</v>
      </c>
      <c r="M221" s="3">
        <v>0.15</v>
      </c>
      <c r="N221" s="2">
        <v>1140.48</v>
      </c>
      <c r="O221" s="2">
        <v>171.072</v>
      </c>
      <c r="P221" s="2">
        <v>969.40800000000002</v>
      </c>
      <c r="Q221" s="2">
        <v>94</v>
      </c>
      <c r="R221" s="2">
        <v>846</v>
      </c>
      <c r="S221" s="2">
        <v>123.408</v>
      </c>
      <c r="T221" s="3">
        <v>0.12730243612596501</v>
      </c>
      <c r="U221" s="2" t="str">
        <f>IF(Table1[[#This Row],[Net_Revenue]]&lt;Table1[[#This Row],[Total_Cost]], "Loss", "Gain")</f>
        <v>Gain</v>
      </c>
      <c r="V221" s="16">
        <f>IF(Table1[[#This Row],[Gain/Loss]]="Gain",Table1[[#This Row],[Quantity]], 0)</f>
        <v>9</v>
      </c>
      <c r="W221" s="16">
        <f>IF(Table1[[#This Row],[Gain/Loss]]="Loss",Table1[[#This Row],[Quantity]],0)</f>
        <v>0</v>
      </c>
      <c r="X221" s="16">
        <f>IF(OR(Table1[[#This Row],[Gain/Loss]]="Gain",Table1[[#This Row],[Gain/Loss]]="Loss"),Table1[[#This Row],[Quantity]],"")</f>
        <v>9</v>
      </c>
    </row>
    <row r="222" spans="1:24" x14ac:dyDescent="0.25">
      <c r="A222">
        <v>10221</v>
      </c>
      <c r="B222" s="1">
        <v>45878</v>
      </c>
      <c r="C222" s="1" t="str">
        <f>TEXT(Table1[[#This Row],[Order_Date]],"DD")</f>
        <v>09</v>
      </c>
      <c r="D222" s="1" t="str">
        <f>TEXT(Table1[[#This Row],[Order_Date]],"MMM")</f>
        <v>Aug</v>
      </c>
      <c r="E222" s="1" t="str">
        <f>TEXT(Table1[[#This Row],[Order_Date]],"YYYY")</f>
        <v>2025</v>
      </c>
      <c r="F222">
        <v>3811</v>
      </c>
      <c r="G222" t="s">
        <v>29</v>
      </c>
      <c r="H222" t="s">
        <v>18</v>
      </c>
      <c r="I222" t="s">
        <v>26</v>
      </c>
      <c r="J222" t="s">
        <v>28</v>
      </c>
      <c r="K222">
        <v>3</v>
      </c>
      <c r="L222" s="2">
        <v>193.23</v>
      </c>
      <c r="M222" s="3">
        <v>0.05</v>
      </c>
      <c r="N222" s="2">
        <v>579.68999999999903</v>
      </c>
      <c r="O222" s="2">
        <v>28.984499999999901</v>
      </c>
      <c r="P222" s="2">
        <v>550.70549999999901</v>
      </c>
      <c r="Q222" s="2">
        <v>87.26</v>
      </c>
      <c r="R222" s="2">
        <v>261.77999999999997</v>
      </c>
      <c r="S222" s="2">
        <v>288.92549999999898</v>
      </c>
      <c r="T222" s="3">
        <v>0.52464611303137498</v>
      </c>
      <c r="U222" s="2" t="str">
        <f>IF(Table1[[#This Row],[Net_Revenue]]&lt;Table1[[#This Row],[Total_Cost]], "Loss", "Gain")</f>
        <v>Gain</v>
      </c>
      <c r="V222" s="16">
        <f>IF(Table1[[#This Row],[Gain/Loss]]="Gain",Table1[[#This Row],[Quantity]], 0)</f>
        <v>3</v>
      </c>
      <c r="W222" s="16">
        <f>IF(Table1[[#This Row],[Gain/Loss]]="Loss",Table1[[#This Row],[Quantity]],0)</f>
        <v>0</v>
      </c>
      <c r="X222" s="16">
        <f>IF(OR(Table1[[#This Row],[Gain/Loss]]="Gain",Table1[[#This Row],[Gain/Loss]]="Loss"),Table1[[#This Row],[Quantity]],"")</f>
        <v>3</v>
      </c>
    </row>
    <row r="223" spans="1:24" x14ac:dyDescent="0.25">
      <c r="A223">
        <v>10222</v>
      </c>
      <c r="B223" s="1">
        <v>45879</v>
      </c>
      <c r="C223" s="1" t="str">
        <f>TEXT(Table1[[#This Row],[Order_Date]],"DD")</f>
        <v>10</v>
      </c>
      <c r="D223" s="1" t="str">
        <f>TEXT(Table1[[#This Row],[Order_Date]],"MMM")</f>
        <v>Aug</v>
      </c>
      <c r="E223" s="1" t="str">
        <f>TEXT(Table1[[#This Row],[Order_Date]],"YYYY")</f>
        <v>2025</v>
      </c>
      <c r="F223">
        <v>3315</v>
      </c>
      <c r="G223" t="s">
        <v>21</v>
      </c>
      <c r="H223" t="s">
        <v>18</v>
      </c>
      <c r="I223" t="s">
        <v>26</v>
      </c>
      <c r="J223" t="s">
        <v>28</v>
      </c>
      <c r="K223">
        <v>4</v>
      </c>
      <c r="L223" s="2">
        <v>233.69</v>
      </c>
      <c r="M223" s="3">
        <v>0.2</v>
      </c>
      <c r="N223" s="2">
        <v>934.76</v>
      </c>
      <c r="O223" s="2">
        <v>186.952</v>
      </c>
      <c r="P223" s="2">
        <v>747.80799999999999</v>
      </c>
      <c r="Q223" s="2">
        <v>138.05000000000001</v>
      </c>
      <c r="R223" s="2">
        <v>552.20000000000005</v>
      </c>
      <c r="S223" s="2">
        <v>195.60799999999901</v>
      </c>
      <c r="T223" s="3">
        <v>0.26157516367837702</v>
      </c>
      <c r="U223" s="2" t="str">
        <f>IF(Table1[[#This Row],[Net_Revenue]]&lt;Table1[[#This Row],[Total_Cost]], "Loss", "Gain")</f>
        <v>Gain</v>
      </c>
      <c r="V223" s="16">
        <f>IF(Table1[[#This Row],[Gain/Loss]]="Gain",Table1[[#This Row],[Quantity]], 0)</f>
        <v>4</v>
      </c>
      <c r="W223" s="16">
        <f>IF(Table1[[#This Row],[Gain/Loss]]="Loss",Table1[[#This Row],[Quantity]],0)</f>
        <v>0</v>
      </c>
      <c r="X223" s="16">
        <f>IF(OR(Table1[[#This Row],[Gain/Loss]]="Gain",Table1[[#This Row],[Gain/Loss]]="Loss"),Table1[[#This Row],[Quantity]],"")</f>
        <v>4</v>
      </c>
    </row>
    <row r="224" spans="1:24" x14ac:dyDescent="0.25">
      <c r="A224">
        <v>10223</v>
      </c>
      <c r="B224" s="1">
        <v>45880</v>
      </c>
      <c r="C224" s="1" t="str">
        <f>TEXT(Table1[[#This Row],[Order_Date]],"DD")</f>
        <v>11</v>
      </c>
      <c r="D224" s="1" t="str">
        <f>TEXT(Table1[[#This Row],[Order_Date]],"MMM")</f>
        <v>Aug</v>
      </c>
      <c r="E224" s="1" t="str">
        <f>TEXT(Table1[[#This Row],[Order_Date]],"YYYY")</f>
        <v>2025</v>
      </c>
      <c r="F224">
        <v>3850</v>
      </c>
      <c r="G224" t="s">
        <v>17</v>
      </c>
      <c r="H224" t="s">
        <v>24</v>
      </c>
      <c r="I224" t="s">
        <v>19</v>
      </c>
      <c r="J224" t="s">
        <v>27</v>
      </c>
      <c r="K224">
        <v>5</v>
      </c>
      <c r="L224" s="2">
        <v>199.67</v>
      </c>
      <c r="M224" s="3">
        <v>0.1</v>
      </c>
      <c r="N224" s="2">
        <v>998.349999999999</v>
      </c>
      <c r="O224" s="2">
        <v>99.834999999999994</v>
      </c>
      <c r="P224" s="2">
        <v>898.51499999999896</v>
      </c>
      <c r="Q224" s="2">
        <v>147.58000000000001</v>
      </c>
      <c r="R224" s="2">
        <v>737.9</v>
      </c>
      <c r="S224" s="2">
        <v>160.61499999999899</v>
      </c>
      <c r="T224" s="3">
        <v>0.17875605860781299</v>
      </c>
      <c r="U224" s="2" t="str">
        <f>IF(Table1[[#This Row],[Net_Revenue]]&lt;Table1[[#This Row],[Total_Cost]], "Loss", "Gain")</f>
        <v>Gain</v>
      </c>
      <c r="V224" s="16">
        <f>IF(Table1[[#This Row],[Gain/Loss]]="Gain",Table1[[#This Row],[Quantity]], 0)</f>
        <v>5</v>
      </c>
      <c r="W224" s="16">
        <f>IF(Table1[[#This Row],[Gain/Loss]]="Loss",Table1[[#This Row],[Quantity]],0)</f>
        <v>0</v>
      </c>
      <c r="X224" s="16">
        <f>IF(OR(Table1[[#This Row],[Gain/Loss]]="Gain",Table1[[#This Row],[Gain/Loss]]="Loss"),Table1[[#This Row],[Quantity]],"")</f>
        <v>5</v>
      </c>
    </row>
    <row r="225" spans="1:24" x14ac:dyDescent="0.25">
      <c r="A225">
        <v>10224</v>
      </c>
      <c r="B225" s="1">
        <v>45881</v>
      </c>
      <c r="C225" s="1" t="str">
        <f>TEXT(Table1[[#This Row],[Order_Date]],"DD")</f>
        <v>12</v>
      </c>
      <c r="D225" s="1" t="str">
        <f>TEXT(Table1[[#This Row],[Order_Date]],"MMM")</f>
        <v>Aug</v>
      </c>
      <c r="E225" s="1" t="str">
        <f>TEXT(Table1[[#This Row],[Order_Date]],"YYYY")</f>
        <v>2025</v>
      </c>
      <c r="F225">
        <v>3575</v>
      </c>
      <c r="G225" t="s">
        <v>23</v>
      </c>
      <c r="H225" t="s">
        <v>18</v>
      </c>
      <c r="I225" t="s">
        <v>19</v>
      </c>
      <c r="J225" t="s">
        <v>27</v>
      </c>
      <c r="K225">
        <v>8</v>
      </c>
      <c r="L225" s="2">
        <v>196.38</v>
      </c>
      <c r="M225" s="3">
        <v>0</v>
      </c>
      <c r="N225" s="2">
        <v>1571.04</v>
      </c>
      <c r="O225" s="2">
        <v>0</v>
      </c>
      <c r="P225" s="2">
        <v>1571.04</v>
      </c>
      <c r="Q225" s="2">
        <v>134.88999999999999</v>
      </c>
      <c r="R225" s="2">
        <v>1079.1199999999999</v>
      </c>
      <c r="S225" s="2">
        <v>491.92</v>
      </c>
      <c r="T225" s="3">
        <v>0.31311742539973503</v>
      </c>
      <c r="U225" s="2" t="str">
        <f>IF(Table1[[#This Row],[Net_Revenue]]&lt;Table1[[#This Row],[Total_Cost]], "Loss", "Gain")</f>
        <v>Gain</v>
      </c>
      <c r="V225" s="16">
        <f>IF(Table1[[#This Row],[Gain/Loss]]="Gain",Table1[[#This Row],[Quantity]], 0)</f>
        <v>8</v>
      </c>
      <c r="W225" s="16">
        <f>IF(Table1[[#This Row],[Gain/Loss]]="Loss",Table1[[#This Row],[Quantity]],0)</f>
        <v>0</v>
      </c>
      <c r="X225" s="16">
        <f>IF(OR(Table1[[#This Row],[Gain/Loss]]="Gain",Table1[[#This Row],[Gain/Loss]]="Loss"),Table1[[#This Row],[Quantity]],"")</f>
        <v>8</v>
      </c>
    </row>
    <row r="226" spans="1:24" x14ac:dyDescent="0.25">
      <c r="A226">
        <v>10225</v>
      </c>
      <c r="B226" s="1">
        <v>45882</v>
      </c>
      <c r="C226" s="1" t="str">
        <f>TEXT(Table1[[#This Row],[Order_Date]],"DD")</f>
        <v>13</v>
      </c>
      <c r="D226" s="1" t="str">
        <f>TEXT(Table1[[#This Row],[Order_Date]],"MMM")</f>
        <v>Aug</v>
      </c>
      <c r="E226" s="1" t="str">
        <f>TEXT(Table1[[#This Row],[Order_Date]],"YYYY")</f>
        <v>2025</v>
      </c>
      <c r="F226">
        <v>3924</v>
      </c>
      <c r="G226" t="s">
        <v>21</v>
      </c>
      <c r="H226" t="s">
        <v>18</v>
      </c>
      <c r="I226" t="s">
        <v>26</v>
      </c>
      <c r="J226" t="s">
        <v>30</v>
      </c>
      <c r="K226">
        <v>5</v>
      </c>
      <c r="L226" s="2">
        <v>101.4</v>
      </c>
      <c r="M226" s="3">
        <v>0.1</v>
      </c>
      <c r="N226" s="2">
        <v>507</v>
      </c>
      <c r="O226" s="2">
        <v>50.7</v>
      </c>
      <c r="P226" s="2">
        <v>456.3</v>
      </c>
      <c r="Q226" s="2">
        <v>92.84</v>
      </c>
      <c r="R226" s="2">
        <v>464.2</v>
      </c>
      <c r="S226" s="2">
        <v>-7.9000000000000297</v>
      </c>
      <c r="T226" s="3">
        <v>-1.7313171159325E-2</v>
      </c>
      <c r="U226" s="2" t="str">
        <f>IF(Table1[[#This Row],[Net_Revenue]]&lt;Table1[[#This Row],[Total_Cost]], "Loss", "Gain")</f>
        <v>Loss</v>
      </c>
      <c r="V226" s="16">
        <f>IF(Table1[[#This Row],[Gain/Loss]]="Gain",Table1[[#This Row],[Quantity]], 0)</f>
        <v>0</v>
      </c>
      <c r="W226" s="16">
        <f>IF(Table1[[#This Row],[Gain/Loss]]="Loss",Table1[[#This Row],[Quantity]],0)</f>
        <v>5</v>
      </c>
      <c r="X226" s="16">
        <f>IF(OR(Table1[[#This Row],[Gain/Loss]]="Gain",Table1[[#This Row],[Gain/Loss]]="Loss"),Table1[[#This Row],[Quantity]],"")</f>
        <v>5</v>
      </c>
    </row>
    <row r="227" spans="1:24" x14ac:dyDescent="0.25">
      <c r="A227">
        <v>10226</v>
      </c>
      <c r="B227" s="1">
        <v>45883</v>
      </c>
      <c r="C227" s="1" t="str">
        <f>TEXT(Table1[[#This Row],[Order_Date]],"DD")</f>
        <v>14</v>
      </c>
      <c r="D227" s="1" t="str">
        <f>TEXT(Table1[[#This Row],[Order_Date]],"MMM")</f>
        <v>Aug</v>
      </c>
      <c r="E227" s="1" t="str">
        <f>TEXT(Table1[[#This Row],[Order_Date]],"YYYY")</f>
        <v>2025</v>
      </c>
      <c r="F227">
        <v>3400</v>
      </c>
      <c r="G227" t="s">
        <v>23</v>
      </c>
      <c r="H227" t="s">
        <v>18</v>
      </c>
      <c r="I227" t="s">
        <v>33</v>
      </c>
      <c r="J227" t="s">
        <v>20</v>
      </c>
      <c r="K227">
        <v>7</v>
      </c>
      <c r="L227" s="2">
        <v>217</v>
      </c>
      <c r="M227" s="3">
        <v>0.15</v>
      </c>
      <c r="N227" s="2">
        <v>1519</v>
      </c>
      <c r="O227" s="2">
        <v>227.85</v>
      </c>
      <c r="P227" s="2">
        <v>1291.1500000000001</v>
      </c>
      <c r="Q227" s="2">
        <v>109.32</v>
      </c>
      <c r="R227" s="2">
        <v>765.24</v>
      </c>
      <c r="S227" s="2">
        <v>525.91</v>
      </c>
      <c r="T227" s="3">
        <v>0.40731905665492002</v>
      </c>
      <c r="U227" s="2" t="str">
        <f>IF(Table1[[#This Row],[Net_Revenue]]&lt;Table1[[#This Row],[Total_Cost]], "Loss", "Gain")</f>
        <v>Gain</v>
      </c>
      <c r="V227" s="16">
        <f>IF(Table1[[#This Row],[Gain/Loss]]="Gain",Table1[[#This Row],[Quantity]], 0)</f>
        <v>7</v>
      </c>
      <c r="W227" s="16">
        <f>IF(Table1[[#This Row],[Gain/Loss]]="Loss",Table1[[#This Row],[Quantity]],0)</f>
        <v>0</v>
      </c>
      <c r="X227" s="16">
        <f>IF(OR(Table1[[#This Row],[Gain/Loss]]="Gain",Table1[[#This Row],[Gain/Loss]]="Loss"),Table1[[#This Row],[Quantity]],"")</f>
        <v>7</v>
      </c>
    </row>
    <row r="228" spans="1:24" x14ac:dyDescent="0.25">
      <c r="A228">
        <v>10227</v>
      </c>
      <c r="B228" s="1">
        <v>45884</v>
      </c>
      <c r="C228" s="1" t="str">
        <f>TEXT(Table1[[#This Row],[Order_Date]],"DD")</f>
        <v>15</v>
      </c>
      <c r="D228" s="1" t="str">
        <f>TEXT(Table1[[#This Row],[Order_Date]],"MMM")</f>
        <v>Aug</v>
      </c>
      <c r="E228" s="1" t="str">
        <f>TEXT(Table1[[#This Row],[Order_Date]],"YYYY")</f>
        <v>2025</v>
      </c>
      <c r="F228">
        <v>3901</v>
      </c>
      <c r="G228" t="s">
        <v>17</v>
      </c>
      <c r="H228" t="s">
        <v>24</v>
      </c>
      <c r="I228" t="s">
        <v>33</v>
      </c>
      <c r="J228" t="s">
        <v>20</v>
      </c>
      <c r="K228">
        <v>6</v>
      </c>
      <c r="L228" s="2">
        <v>187.55</v>
      </c>
      <c r="M228" s="3">
        <v>0.1</v>
      </c>
      <c r="N228" s="2">
        <v>1125.3</v>
      </c>
      <c r="O228" s="2">
        <v>112.53</v>
      </c>
      <c r="P228" s="2">
        <v>1012.77</v>
      </c>
      <c r="Q228" s="2">
        <v>128.06</v>
      </c>
      <c r="R228" s="2">
        <v>768.36</v>
      </c>
      <c r="S228" s="2">
        <v>244.41</v>
      </c>
      <c r="T228" s="3">
        <v>0.24132823839568701</v>
      </c>
      <c r="U228" s="2" t="str">
        <f>IF(Table1[[#This Row],[Net_Revenue]]&lt;Table1[[#This Row],[Total_Cost]], "Loss", "Gain")</f>
        <v>Gain</v>
      </c>
      <c r="V228" s="16">
        <f>IF(Table1[[#This Row],[Gain/Loss]]="Gain",Table1[[#This Row],[Quantity]], 0)</f>
        <v>6</v>
      </c>
      <c r="W228" s="16">
        <f>IF(Table1[[#This Row],[Gain/Loss]]="Loss",Table1[[#This Row],[Quantity]],0)</f>
        <v>0</v>
      </c>
      <c r="X228" s="16">
        <f>IF(OR(Table1[[#This Row],[Gain/Loss]]="Gain",Table1[[#This Row],[Gain/Loss]]="Loss"),Table1[[#This Row],[Quantity]],"")</f>
        <v>6</v>
      </c>
    </row>
    <row r="229" spans="1:24" x14ac:dyDescent="0.25">
      <c r="A229">
        <v>10228</v>
      </c>
      <c r="B229" s="1">
        <v>45885</v>
      </c>
      <c r="C229" s="1" t="str">
        <f>TEXT(Table1[[#This Row],[Order_Date]],"DD")</f>
        <v>16</v>
      </c>
      <c r="D229" s="1" t="str">
        <f>TEXT(Table1[[#This Row],[Order_Date]],"MMM")</f>
        <v>Aug</v>
      </c>
      <c r="E229" s="1" t="str">
        <f>TEXT(Table1[[#This Row],[Order_Date]],"YYYY")</f>
        <v>2025</v>
      </c>
      <c r="F229">
        <v>3035</v>
      </c>
      <c r="G229" t="s">
        <v>23</v>
      </c>
      <c r="H229" t="s">
        <v>24</v>
      </c>
      <c r="I229" t="s">
        <v>33</v>
      </c>
      <c r="J229" t="s">
        <v>20</v>
      </c>
      <c r="K229">
        <v>5</v>
      </c>
      <c r="L229" s="2">
        <v>86.37</v>
      </c>
      <c r="M229" s="3">
        <v>0</v>
      </c>
      <c r="N229" s="2">
        <v>431.85</v>
      </c>
      <c r="O229" s="2">
        <v>0</v>
      </c>
      <c r="P229" s="2">
        <v>431.85</v>
      </c>
      <c r="Q229" s="2">
        <v>26.21</v>
      </c>
      <c r="R229" s="2">
        <v>131.05000000000001</v>
      </c>
      <c r="S229" s="2">
        <v>300.8</v>
      </c>
      <c r="T229" s="3">
        <v>0.69653814982053897</v>
      </c>
      <c r="U229" s="2" t="str">
        <f>IF(Table1[[#This Row],[Net_Revenue]]&lt;Table1[[#This Row],[Total_Cost]], "Loss", "Gain")</f>
        <v>Gain</v>
      </c>
      <c r="V229" s="16">
        <f>IF(Table1[[#This Row],[Gain/Loss]]="Gain",Table1[[#This Row],[Quantity]], 0)</f>
        <v>5</v>
      </c>
      <c r="W229" s="16">
        <f>IF(Table1[[#This Row],[Gain/Loss]]="Loss",Table1[[#This Row],[Quantity]],0)</f>
        <v>0</v>
      </c>
      <c r="X229" s="16">
        <f>IF(OR(Table1[[#This Row],[Gain/Loss]]="Gain",Table1[[#This Row],[Gain/Loss]]="Loss"),Table1[[#This Row],[Quantity]],"")</f>
        <v>5</v>
      </c>
    </row>
    <row r="230" spans="1:24" x14ac:dyDescent="0.25">
      <c r="A230">
        <v>10229</v>
      </c>
      <c r="B230" s="1">
        <v>45886</v>
      </c>
      <c r="C230" s="1" t="str">
        <f>TEXT(Table1[[#This Row],[Order_Date]],"DD")</f>
        <v>17</v>
      </c>
      <c r="D230" s="1" t="str">
        <f>TEXT(Table1[[#This Row],[Order_Date]],"MMM")</f>
        <v>Aug</v>
      </c>
      <c r="E230" s="1" t="str">
        <f>TEXT(Table1[[#This Row],[Order_Date]],"YYYY")</f>
        <v>2025</v>
      </c>
      <c r="F230">
        <v>3589</v>
      </c>
      <c r="G230" t="s">
        <v>17</v>
      </c>
      <c r="H230" t="s">
        <v>24</v>
      </c>
      <c r="I230" t="s">
        <v>26</v>
      </c>
      <c r="J230" t="s">
        <v>28</v>
      </c>
      <c r="K230">
        <v>5</v>
      </c>
      <c r="L230" s="2">
        <v>31.14</v>
      </c>
      <c r="M230" s="3">
        <v>0.2</v>
      </c>
      <c r="N230" s="2">
        <v>155.69999999999999</v>
      </c>
      <c r="O230" s="2">
        <v>31.14</v>
      </c>
      <c r="P230" s="2">
        <v>124.55999999999899</v>
      </c>
      <c r="Q230" s="2">
        <v>50.35</v>
      </c>
      <c r="R230" s="2">
        <v>251.75</v>
      </c>
      <c r="S230" s="2">
        <v>-127.19</v>
      </c>
      <c r="T230" s="3">
        <v>-1.0211143224149</v>
      </c>
      <c r="U230" s="2" t="str">
        <f>IF(Table1[[#This Row],[Net_Revenue]]&lt;Table1[[#This Row],[Total_Cost]], "Loss", "Gain")</f>
        <v>Loss</v>
      </c>
      <c r="V230" s="16">
        <f>IF(Table1[[#This Row],[Gain/Loss]]="Gain",Table1[[#This Row],[Quantity]], 0)</f>
        <v>0</v>
      </c>
      <c r="W230" s="16">
        <f>IF(Table1[[#This Row],[Gain/Loss]]="Loss",Table1[[#This Row],[Quantity]],0)</f>
        <v>5</v>
      </c>
      <c r="X230" s="16">
        <f>IF(OR(Table1[[#This Row],[Gain/Loss]]="Gain",Table1[[#This Row],[Gain/Loss]]="Loss"),Table1[[#This Row],[Quantity]],"")</f>
        <v>5</v>
      </c>
    </row>
    <row r="231" spans="1:24" x14ac:dyDescent="0.25">
      <c r="A231">
        <v>10230</v>
      </c>
      <c r="B231" s="1">
        <v>45887</v>
      </c>
      <c r="C231" s="1" t="str">
        <f>TEXT(Table1[[#This Row],[Order_Date]],"DD")</f>
        <v>18</v>
      </c>
      <c r="D231" s="1" t="str">
        <f>TEXT(Table1[[#This Row],[Order_Date]],"MMM")</f>
        <v>Aug</v>
      </c>
      <c r="E231" s="1" t="str">
        <f>TEXT(Table1[[#This Row],[Order_Date]],"YYYY")</f>
        <v>2025</v>
      </c>
      <c r="F231">
        <v>3288</v>
      </c>
      <c r="G231" t="s">
        <v>29</v>
      </c>
      <c r="H231" t="s">
        <v>24</v>
      </c>
      <c r="I231" t="s">
        <v>19</v>
      </c>
      <c r="J231" t="s">
        <v>27</v>
      </c>
      <c r="K231">
        <v>5</v>
      </c>
      <c r="L231" s="2">
        <v>101.81</v>
      </c>
      <c r="M231" s="3">
        <v>0.2</v>
      </c>
      <c r="N231" s="2">
        <v>509.05</v>
      </c>
      <c r="O231" s="2">
        <v>101.81</v>
      </c>
      <c r="P231" s="2">
        <v>407.24</v>
      </c>
      <c r="Q231" s="2">
        <v>8.6300000000000008</v>
      </c>
      <c r="R231" s="2">
        <v>43.15</v>
      </c>
      <c r="S231" s="2">
        <v>364.09</v>
      </c>
      <c r="T231" s="3">
        <v>0.89404282486985498</v>
      </c>
      <c r="U231" s="2" t="str">
        <f>IF(Table1[[#This Row],[Net_Revenue]]&lt;Table1[[#This Row],[Total_Cost]], "Loss", "Gain")</f>
        <v>Gain</v>
      </c>
      <c r="V231" s="16">
        <f>IF(Table1[[#This Row],[Gain/Loss]]="Gain",Table1[[#This Row],[Quantity]], 0)</f>
        <v>5</v>
      </c>
      <c r="W231" s="16">
        <f>IF(Table1[[#This Row],[Gain/Loss]]="Loss",Table1[[#This Row],[Quantity]],0)</f>
        <v>0</v>
      </c>
      <c r="X231" s="16">
        <f>IF(OR(Table1[[#This Row],[Gain/Loss]]="Gain",Table1[[#This Row],[Gain/Loss]]="Loss"),Table1[[#This Row],[Quantity]],"")</f>
        <v>5</v>
      </c>
    </row>
    <row r="232" spans="1:24" x14ac:dyDescent="0.25">
      <c r="A232">
        <v>10231</v>
      </c>
      <c r="B232" s="1">
        <v>45888</v>
      </c>
      <c r="C232" s="1" t="str">
        <f>TEXT(Table1[[#This Row],[Order_Date]],"DD")</f>
        <v>19</v>
      </c>
      <c r="D232" s="1" t="str">
        <f>TEXT(Table1[[#This Row],[Order_Date]],"MMM")</f>
        <v>Aug</v>
      </c>
      <c r="E232" s="1" t="str">
        <f>TEXT(Table1[[#This Row],[Order_Date]],"YYYY")</f>
        <v>2025</v>
      </c>
      <c r="F232">
        <v>3629</v>
      </c>
      <c r="G232" t="s">
        <v>21</v>
      </c>
      <c r="H232" t="s">
        <v>18</v>
      </c>
      <c r="I232" t="s">
        <v>25</v>
      </c>
      <c r="J232" t="s">
        <v>22</v>
      </c>
      <c r="K232">
        <v>5</v>
      </c>
      <c r="L232" s="2">
        <v>155.32</v>
      </c>
      <c r="M232" s="3">
        <v>0.05</v>
      </c>
      <c r="N232" s="2">
        <v>776.599999999999</v>
      </c>
      <c r="O232" s="2">
        <v>38.83</v>
      </c>
      <c r="P232" s="2">
        <v>737.76999999999896</v>
      </c>
      <c r="Q232" s="2">
        <v>95.48</v>
      </c>
      <c r="R232" s="2">
        <v>477.4</v>
      </c>
      <c r="S232" s="2">
        <v>260.36999999999898</v>
      </c>
      <c r="T232" s="3">
        <v>0.35291486506634795</v>
      </c>
      <c r="U232" s="2" t="str">
        <f>IF(Table1[[#This Row],[Net_Revenue]]&lt;Table1[[#This Row],[Total_Cost]], "Loss", "Gain")</f>
        <v>Gain</v>
      </c>
      <c r="V232" s="16">
        <f>IF(Table1[[#This Row],[Gain/Loss]]="Gain",Table1[[#This Row],[Quantity]], 0)</f>
        <v>5</v>
      </c>
      <c r="W232" s="16">
        <f>IF(Table1[[#This Row],[Gain/Loss]]="Loss",Table1[[#This Row],[Quantity]],0)</f>
        <v>0</v>
      </c>
      <c r="X232" s="16">
        <f>IF(OR(Table1[[#This Row],[Gain/Loss]]="Gain",Table1[[#This Row],[Gain/Loss]]="Loss"),Table1[[#This Row],[Quantity]],"")</f>
        <v>5</v>
      </c>
    </row>
    <row r="233" spans="1:24" x14ac:dyDescent="0.25">
      <c r="A233">
        <v>10232</v>
      </c>
      <c r="B233" s="1">
        <v>45889</v>
      </c>
      <c r="C233" s="1" t="str">
        <f>TEXT(Table1[[#This Row],[Order_Date]],"DD")</f>
        <v>20</v>
      </c>
      <c r="D233" s="1" t="str">
        <f>TEXT(Table1[[#This Row],[Order_Date]],"MMM")</f>
        <v>Aug</v>
      </c>
      <c r="E233" s="1" t="str">
        <f>TEXT(Table1[[#This Row],[Order_Date]],"YYYY")</f>
        <v>2025</v>
      </c>
      <c r="F233">
        <v>3727</v>
      </c>
      <c r="G233" t="s">
        <v>21</v>
      </c>
      <c r="H233" t="s">
        <v>18</v>
      </c>
      <c r="I233" t="s">
        <v>25</v>
      </c>
      <c r="J233" t="s">
        <v>32</v>
      </c>
      <c r="K233">
        <v>4</v>
      </c>
      <c r="L233" s="2">
        <v>52.23</v>
      </c>
      <c r="M233" s="3">
        <v>0</v>
      </c>
      <c r="N233" s="2">
        <v>208.92</v>
      </c>
      <c r="O233" s="2">
        <v>0</v>
      </c>
      <c r="P233" s="2">
        <v>208.92</v>
      </c>
      <c r="Q233" s="2">
        <v>138.30000000000001</v>
      </c>
      <c r="R233" s="2">
        <v>553.20000000000005</v>
      </c>
      <c r="S233" s="2">
        <v>-344.28</v>
      </c>
      <c r="T233" s="3">
        <v>-1.6479035037334799</v>
      </c>
      <c r="U233" s="2" t="str">
        <f>IF(Table1[[#This Row],[Net_Revenue]]&lt;Table1[[#This Row],[Total_Cost]], "Loss", "Gain")</f>
        <v>Loss</v>
      </c>
      <c r="V233" s="16">
        <f>IF(Table1[[#This Row],[Gain/Loss]]="Gain",Table1[[#This Row],[Quantity]], 0)</f>
        <v>0</v>
      </c>
      <c r="W233" s="16">
        <f>IF(Table1[[#This Row],[Gain/Loss]]="Loss",Table1[[#This Row],[Quantity]],0)</f>
        <v>4</v>
      </c>
      <c r="X233" s="16">
        <f>IF(OR(Table1[[#This Row],[Gain/Loss]]="Gain",Table1[[#This Row],[Gain/Loss]]="Loss"),Table1[[#This Row],[Quantity]],"")</f>
        <v>4</v>
      </c>
    </row>
    <row r="234" spans="1:24" x14ac:dyDescent="0.25">
      <c r="A234">
        <v>10233</v>
      </c>
      <c r="B234" s="1">
        <v>45890</v>
      </c>
      <c r="C234" s="1" t="str">
        <f>TEXT(Table1[[#This Row],[Order_Date]],"DD")</f>
        <v>21</v>
      </c>
      <c r="D234" s="1" t="str">
        <f>TEXT(Table1[[#This Row],[Order_Date]],"MMM")</f>
        <v>Aug</v>
      </c>
      <c r="E234" s="1" t="str">
        <f>TEXT(Table1[[#This Row],[Order_Date]],"YYYY")</f>
        <v>2025</v>
      </c>
      <c r="F234">
        <v>3991</v>
      </c>
      <c r="G234" t="s">
        <v>17</v>
      </c>
      <c r="H234" t="s">
        <v>24</v>
      </c>
      <c r="I234" t="s">
        <v>33</v>
      </c>
      <c r="J234" t="s">
        <v>20</v>
      </c>
      <c r="K234">
        <v>6</v>
      </c>
      <c r="L234" s="2">
        <v>197.45</v>
      </c>
      <c r="M234" s="3">
        <v>0.1</v>
      </c>
      <c r="N234" s="2">
        <v>1184.69999999999</v>
      </c>
      <c r="O234" s="2">
        <v>118.469999999999</v>
      </c>
      <c r="P234" s="2">
        <v>1066.22999999999</v>
      </c>
      <c r="Q234" s="2">
        <v>5.69</v>
      </c>
      <c r="R234" s="2">
        <v>34.14</v>
      </c>
      <c r="S234" s="2">
        <v>1032.0899999999899</v>
      </c>
      <c r="T234" s="3">
        <v>0.96798064207534906</v>
      </c>
      <c r="U234" s="2" t="str">
        <f>IF(Table1[[#This Row],[Net_Revenue]]&lt;Table1[[#This Row],[Total_Cost]], "Loss", "Gain")</f>
        <v>Gain</v>
      </c>
      <c r="V234" s="16">
        <f>IF(Table1[[#This Row],[Gain/Loss]]="Gain",Table1[[#This Row],[Quantity]], 0)</f>
        <v>6</v>
      </c>
      <c r="W234" s="16">
        <f>IF(Table1[[#This Row],[Gain/Loss]]="Loss",Table1[[#This Row],[Quantity]],0)</f>
        <v>0</v>
      </c>
      <c r="X234" s="16">
        <f>IF(OR(Table1[[#This Row],[Gain/Loss]]="Gain",Table1[[#This Row],[Gain/Loss]]="Loss"),Table1[[#This Row],[Quantity]],"")</f>
        <v>6</v>
      </c>
    </row>
    <row r="235" spans="1:24" x14ac:dyDescent="0.25">
      <c r="A235">
        <v>10234</v>
      </c>
      <c r="B235" s="1">
        <v>45891</v>
      </c>
      <c r="C235" s="1" t="str">
        <f>TEXT(Table1[[#This Row],[Order_Date]],"DD")</f>
        <v>22</v>
      </c>
      <c r="D235" s="1" t="str">
        <f>TEXT(Table1[[#This Row],[Order_Date]],"MMM")</f>
        <v>Aug</v>
      </c>
      <c r="E235" s="1" t="str">
        <f>TEXT(Table1[[#This Row],[Order_Date]],"YYYY")</f>
        <v>2025</v>
      </c>
      <c r="F235">
        <v>3161</v>
      </c>
      <c r="G235" t="s">
        <v>23</v>
      </c>
      <c r="H235" t="s">
        <v>18</v>
      </c>
      <c r="I235" t="s">
        <v>25</v>
      </c>
      <c r="J235" t="s">
        <v>22</v>
      </c>
      <c r="K235">
        <v>7</v>
      </c>
      <c r="L235" s="2">
        <v>192.7</v>
      </c>
      <c r="M235" s="3">
        <v>0.1</v>
      </c>
      <c r="N235" s="2">
        <v>1348.8999999999901</v>
      </c>
      <c r="O235" s="2">
        <v>134.88999999999999</v>
      </c>
      <c r="P235" s="2">
        <v>1214.00999999999</v>
      </c>
      <c r="Q235" s="2">
        <v>23.31</v>
      </c>
      <c r="R235" s="2">
        <v>163.16999999999999</v>
      </c>
      <c r="S235" s="2">
        <v>1050.8399999999899</v>
      </c>
      <c r="T235" s="3">
        <v>0.865594187856772</v>
      </c>
      <c r="U235" s="2" t="str">
        <f>IF(Table1[[#This Row],[Net_Revenue]]&lt;Table1[[#This Row],[Total_Cost]], "Loss", "Gain")</f>
        <v>Gain</v>
      </c>
      <c r="V235" s="16">
        <f>IF(Table1[[#This Row],[Gain/Loss]]="Gain",Table1[[#This Row],[Quantity]], 0)</f>
        <v>7</v>
      </c>
      <c r="W235" s="16">
        <f>IF(Table1[[#This Row],[Gain/Loss]]="Loss",Table1[[#This Row],[Quantity]],0)</f>
        <v>0</v>
      </c>
      <c r="X235" s="16">
        <f>IF(OR(Table1[[#This Row],[Gain/Loss]]="Gain",Table1[[#This Row],[Gain/Loss]]="Loss"),Table1[[#This Row],[Quantity]],"")</f>
        <v>7</v>
      </c>
    </row>
    <row r="236" spans="1:24" x14ac:dyDescent="0.25">
      <c r="A236">
        <v>10235</v>
      </c>
      <c r="B236" s="1">
        <v>45892</v>
      </c>
      <c r="C236" s="1" t="str">
        <f>TEXT(Table1[[#This Row],[Order_Date]],"DD")</f>
        <v>23</v>
      </c>
      <c r="D236" s="1" t="str">
        <f>TEXT(Table1[[#This Row],[Order_Date]],"MMM")</f>
        <v>Aug</v>
      </c>
      <c r="E236" s="1" t="str">
        <f>TEXT(Table1[[#This Row],[Order_Date]],"YYYY")</f>
        <v>2025</v>
      </c>
      <c r="F236">
        <v>3045</v>
      </c>
      <c r="G236" t="s">
        <v>17</v>
      </c>
      <c r="H236" t="s">
        <v>24</v>
      </c>
      <c r="I236" t="s">
        <v>26</v>
      </c>
      <c r="J236" t="s">
        <v>31</v>
      </c>
      <c r="K236">
        <v>7</v>
      </c>
      <c r="L236" s="2">
        <v>160.15</v>
      </c>
      <c r="M236" s="3">
        <v>0</v>
      </c>
      <c r="N236" s="2">
        <v>1121.05</v>
      </c>
      <c r="O236" s="2">
        <v>0</v>
      </c>
      <c r="P236" s="2">
        <v>1121.05</v>
      </c>
      <c r="Q236" s="2">
        <v>34.01</v>
      </c>
      <c r="R236" s="2">
        <v>238.07</v>
      </c>
      <c r="S236" s="2">
        <v>882.98</v>
      </c>
      <c r="T236" s="3">
        <v>0.78763659069622194</v>
      </c>
      <c r="U236" s="2" t="str">
        <f>IF(Table1[[#This Row],[Net_Revenue]]&lt;Table1[[#This Row],[Total_Cost]], "Loss", "Gain")</f>
        <v>Gain</v>
      </c>
      <c r="V236" s="16">
        <f>IF(Table1[[#This Row],[Gain/Loss]]="Gain",Table1[[#This Row],[Quantity]], 0)</f>
        <v>7</v>
      </c>
      <c r="W236" s="16">
        <f>IF(Table1[[#This Row],[Gain/Loss]]="Loss",Table1[[#This Row],[Quantity]],0)</f>
        <v>0</v>
      </c>
      <c r="X236" s="16">
        <f>IF(OR(Table1[[#This Row],[Gain/Loss]]="Gain",Table1[[#This Row],[Gain/Loss]]="Loss"),Table1[[#This Row],[Quantity]],"")</f>
        <v>7</v>
      </c>
    </row>
    <row r="237" spans="1:24" x14ac:dyDescent="0.25">
      <c r="A237">
        <v>10236</v>
      </c>
      <c r="B237" s="1">
        <v>45893</v>
      </c>
      <c r="C237" s="1" t="str">
        <f>TEXT(Table1[[#This Row],[Order_Date]],"DD")</f>
        <v>24</v>
      </c>
      <c r="D237" s="1" t="str">
        <f>TEXT(Table1[[#This Row],[Order_Date]],"MMM")</f>
        <v>Aug</v>
      </c>
      <c r="E237" s="1" t="str">
        <f>TEXT(Table1[[#This Row],[Order_Date]],"YYYY")</f>
        <v>2025</v>
      </c>
      <c r="F237">
        <v>3936</v>
      </c>
      <c r="G237" t="s">
        <v>29</v>
      </c>
      <c r="H237" t="s">
        <v>18</v>
      </c>
      <c r="I237" t="s">
        <v>26</v>
      </c>
      <c r="J237" t="s">
        <v>30</v>
      </c>
      <c r="K237">
        <v>9</v>
      </c>
      <c r="L237" s="2">
        <v>222.86</v>
      </c>
      <c r="M237" s="3">
        <v>0.05</v>
      </c>
      <c r="N237" s="2">
        <v>2005.74</v>
      </c>
      <c r="O237" s="2">
        <v>100.28700000000001</v>
      </c>
      <c r="P237" s="2">
        <v>1905.453</v>
      </c>
      <c r="Q237" s="2">
        <v>117.99</v>
      </c>
      <c r="R237" s="2">
        <v>1061.9099999999901</v>
      </c>
      <c r="S237" s="2">
        <v>843.54300000000001</v>
      </c>
      <c r="T237" s="3">
        <v>0.44269945257112098</v>
      </c>
      <c r="U237" s="2" t="str">
        <f>IF(Table1[[#This Row],[Net_Revenue]]&lt;Table1[[#This Row],[Total_Cost]], "Loss", "Gain")</f>
        <v>Gain</v>
      </c>
      <c r="V237" s="16">
        <f>IF(Table1[[#This Row],[Gain/Loss]]="Gain",Table1[[#This Row],[Quantity]], 0)</f>
        <v>9</v>
      </c>
      <c r="W237" s="16">
        <f>IF(Table1[[#This Row],[Gain/Loss]]="Loss",Table1[[#This Row],[Quantity]],0)</f>
        <v>0</v>
      </c>
      <c r="X237" s="16">
        <f>IF(OR(Table1[[#This Row],[Gain/Loss]]="Gain",Table1[[#This Row],[Gain/Loss]]="Loss"),Table1[[#This Row],[Quantity]],"")</f>
        <v>9</v>
      </c>
    </row>
    <row r="238" spans="1:24" x14ac:dyDescent="0.25">
      <c r="A238">
        <v>10237</v>
      </c>
      <c r="B238" s="1">
        <v>45894</v>
      </c>
      <c r="C238" s="1" t="str">
        <f>TEXT(Table1[[#This Row],[Order_Date]],"DD")</f>
        <v>25</v>
      </c>
      <c r="D238" s="1" t="str">
        <f>TEXT(Table1[[#This Row],[Order_Date]],"MMM")</f>
        <v>Aug</v>
      </c>
      <c r="E238" s="1" t="str">
        <f>TEXT(Table1[[#This Row],[Order_Date]],"YYYY")</f>
        <v>2025</v>
      </c>
      <c r="F238">
        <v>3628</v>
      </c>
      <c r="G238" t="s">
        <v>17</v>
      </c>
      <c r="H238" t="s">
        <v>18</v>
      </c>
      <c r="I238" t="s">
        <v>26</v>
      </c>
      <c r="J238" t="s">
        <v>28</v>
      </c>
      <c r="K238">
        <v>4</v>
      </c>
      <c r="L238" s="2">
        <v>61.05</v>
      </c>
      <c r="M238" s="3">
        <v>0.2</v>
      </c>
      <c r="N238" s="2">
        <v>244.2</v>
      </c>
      <c r="O238" s="2">
        <v>48.84</v>
      </c>
      <c r="P238" s="2">
        <v>195.35999999999899</v>
      </c>
      <c r="Q238" s="2">
        <v>58.64</v>
      </c>
      <c r="R238" s="2">
        <v>234.56</v>
      </c>
      <c r="S238" s="2">
        <v>-39.200000000000003</v>
      </c>
      <c r="T238" s="3">
        <v>-0.20065520065520001</v>
      </c>
      <c r="U238" s="2" t="str">
        <f>IF(Table1[[#This Row],[Net_Revenue]]&lt;Table1[[#This Row],[Total_Cost]], "Loss", "Gain")</f>
        <v>Loss</v>
      </c>
      <c r="V238" s="16">
        <f>IF(Table1[[#This Row],[Gain/Loss]]="Gain",Table1[[#This Row],[Quantity]], 0)</f>
        <v>0</v>
      </c>
      <c r="W238" s="16">
        <f>IF(Table1[[#This Row],[Gain/Loss]]="Loss",Table1[[#This Row],[Quantity]],0)</f>
        <v>4</v>
      </c>
      <c r="X238" s="16">
        <f>IF(OR(Table1[[#This Row],[Gain/Loss]]="Gain",Table1[[#This Row],[Gain/Loss]]="Loss"),Table1[[#This Row],[Quantity]],"")</f>
        <v>4</v>
      </c>
    </row>
    <row r="239" spans="1:24" x14ac:dyDescent="0.25">
      <c r="A239">
        <v>10238</v>
      </c>
      <c r="B239" s="1">
        <v>45895</v>
      </c>
      <c r="C239" s="1" t="str">
        <f>TEXT(Table1[[#This Row],[Order_Date]],"DD")</f>
        <v>26</v>
      </c>
      <c r="D239" s="1" t="str">
        <f>TEXT(Table1[[#This Row],[Order_Date]],"MMM")</f>
        <v>Aug</v>
      </c>
      <c r="E239" s="1" t="str">
        <f>TEXT(Table1[[#This Row],[Order_Date]],"YYYY")</f>
        <v>2025</v>
      </c>
      <c r="F239">
        <v>3475</v>
      </c>
      <c r="G239" t="s">
        <v>17</v>
      </c>
      <c r="H239" t="s">
        <v>18</v>
      </c>
      <c r="I239" t="s">
        <v>26</v>
      </c>
      <c r="J239" t="s">
        <v>30</v>
      </c>
      <c r="K239">
        <v>7</v>
      </c>
      <c r="L239" s="2">
        <v>72.91</v>
      </c>
      <c r="M239" s="3">
        <v>0</v>
      </c>
      <c r="N239" s="2">
        <v>510.37</v>
      </c>
      <c r="O239" s="2">
        <v>0</v>
      </c>
      <c r="P239" s="2">
        <v>510.37</v>
      </c>
      <c r="Q239" s="2">
        <v>33.72</v>
      </c>
      <c r="R239" s="2">
        <v>236.04</v>
      </c>
      <c r="S239" s="2">
        <v>274.33</v>
      </c>
      <c r="T239" s="3">
        <v>0.53751200109724306</v>
      </c>
      <c r="U239" s="2" t="str">
        <f>IF(Table1[[#This Row],[Net_Revenue]]&lt;Table1[[#This Row],[Total_Cost]], "Loss", "Gain")</f>
        <v>Gain</v>
      </c>
      <c r="V239" s="16">
        <f>IF(Table1[[#This Row],[Gain/Loss]]="Gain",Table1[[#This Row],[Quantity]], 0)</f>
        <v>7</v>
      </c>
      <c r="W239" s="16">
        <f>IF(Table1[[#This Row],[Gain/Loss]]="Loss",Table1[[#This Row],[Quantity]],0)</f>
        <v>0</v>
      </c>
      <c r="X239" s="16">
        <f>IF(OR(Table1[[#This Row],[Gain/Loss]]="Gain",Table1[[#This Row],[Gain/Loss]]="Loss"),Table1[[#This Row],[Quantity]],"")</f>
        <v>7</v>
      </c>
    </row>
    <row r="240" spans="1:24" x14ac:dyDescent="0.25">
      <c r="A240">
        <v>10239</v>
      </c>
      <c r="B240" s="1">
        <v>45896</v>
      </c>
      <c r="C240" s="1" t="str">
        <f>TEXT(Table1[[#This Row],[Order_Date]],"DD")</f>
        <v>27</v>
      </c>
      <c r="D240" s="1" t="str">
        <f>TEXT(Table1[[#This Row],[Order_Date]],"MMM")</f>
        <v>Aug</v>
      </c>
      <c r="E240" s="1" t="str">
        <f>TEXT(Table1[[#This Row],[Order_Date]],"YYYY")</f>
        <v>2025</v>
      </c>
      <c r="F240">
        <v>3398</v>
      </c>
      <c r="G240" t="s">
        <v>23</v>
      </c>
      <c r="H240" t="s">
        <v>18</v>
      </c>
      <c r="I240" t="s">
        <v>26</v>
      </c>
      <c r="J240" t="s">
        <v>31</v>
      </c>
      <c r="K240">
        <v>8</v>
      </c>
      <c r="L240" s="2">
        <v>40.47</v>
      </c>
      <c r="M240" s="3">
        <v>0</v>
      </c>
      <c r="N240" s="2">
        <v>323.76</v>
      </c>
      <c r="O240" s="2">
        <v>0</v>
      </c>
      <c r="P240" s="2">
        <v>323.76</v>
      </c>
      <c r="Q240" s="2">
        <v>58.99</v>
      </c>
      <c r="R240" s="2">
        <v>471.92</v>
      </c>
      <c r="S240" s="2">
        <v>-148.16</v>
      </c>
      <c r="T240" s="3">
        <v>-0.45762293056585102</v>
      </c>
      <c r="U240" s="2" t="str">
        <f>IF(Table1[[#This Row],[Net_Revenue]]&lt;Table1[[#This Row],[Total_Cost]], "Loss", "Gain")</f>
        <v>Loss</v>
      </c>
      <c r="V240" s="16">
        <f>IF(Table1[[#This Row],[Gain/Loss]]="Gain",Table1[[#This Row],[Quantity]], 0)</f>
        <v>0</v>
      </c>
      <c r="W240" s="16">
        <f>IF(Table1[[#This Row],[Gain/Loss]]="Loss",Table1[[#This Row],[Quantity]],0)</f>
        <v>8</v>
      </c>
      <c r="X240" s="16">
        <f>IF(OR(Table1[[#This Row],[Gain/Loss]]="Gain",Table1[[#This Row],[Gain/Loss]]="Loss"),Table1[[#This Row],[Quantity]],"")</f>
        <v>8</v>
      </c>
    </row>
    <row r="241" spans="1:24" x14ac:dyDescent="0.25">
      <c r="A241">
        <v>10240</v>
      </c>
      <c r="B241" s="1">
        <v>45897</v>
      </c>
      <c r="C241" s="1" t="str">
        <f>TEXT(Table1[[#This Row],[Order_Date]],"DD")</f>
        <v>28</v>
      </c>
      <c r="D241" s="1" t="str">
        <f>TEXT(Table1[[#This Row],[Order_Date]],"MMM")</f>
        <v>Aug</v>
      </c>
      <c r="E241" s="1" t="str">
        <f>TEXT(Table1[[#This Row],[Order_Date]],"YYYY")</f>
        <v>2025</v>
      </c>
      <c r="F241">
        <v>3045</v>
      </c>
      <c r="G241" t="s">
        <v>23</v>
      </c>
      <c r="H241" t="s">
        <v>24</v>
      </c>
      <c r="I241" t="s">
        <v>33</v>
      </c>
      <c r="J241" t="s">
        <v>20</v>
      </c>
      <c r="K241">
        <v>8</v>
      </c>
      <c r="L241" s="2">
        <v>136.13999999999999</v>
      </c>
      <c r="M241" s="3">
        <v>0.1</v>
      </c>
      <c r="N241" s="2">
        <v>1089.1199999999999</v>
      </c>
      <c r="O241" s="2">
        <v>108.911999999999</v>
      </c>
      <c r="P241" s="2">
        <v>980.20799999999895</v>
      </c>
      <c r="Q241" s="2">
        <v>42.16</v>
      </c>
      <c r="R241" s="2">
        <v>337.28</v>
      </c>
      <c r="S241" s="2">
        <v>642.92799999999897</v>
      </c>
      <c r="T241" s="3">
        <v>0.65590976609046192</v>
      </c>
      <c r="U241" s="2" t="str">
        <f>IF(Table1[[#This Row],[Net_Revenue]]&lt;Table1[[#This Row],[Total_Cost]], "Loss", "Gain")</f>
        <v>Gain</v>
      </c>
      <c r="V241" s="16">
        <f>IF(Table1[[#This Row],[Gain/Loss]]="Gain",Table1[[#This Row],[Quantity]], 0)</f>
        <v>8</v>
      </c>
      <c r="W241" s="16">
        <f>IF(Table1[[#This Row],[Gain/Loss]]="Loss",Table1[[#This Row],[Quantity]],0)</f>
        <v>0</v>
      </c>
      <c r="X241" s="16">
        <f>IF(OR(Table1[[#This Row],[Gain/Loss]]="Gain",Table1[[#This Row],[Gain/Loss]]="Loss"),Table1[[#This Row],[Quantity]],"")</f>
        <v>8</v>
      </c>
    </row>
    <row r="242" spans="1:24" x14ac:dyDescent="0.25">
      <c r="A242">
        <v>10241</v>
      </c>
      <c r="B242" s="1">
        <v>45898</v>
      </c>
      <c r="C242" s="1" t="str">
        <f>TEXT(Table1[[#This Row],[Order_Date]],"DD")</f>
        <v>29</v>
      </c>
      <c r="D242" s="1" t="str">
        <f>TEXT(Table1[[#This Row],[Order_Date]],"MMM")</f>
        <v>Aug</v>
      </c>
      <c r="E242" s="1" t="str">
        <f>TEXT(Table1[[#This Row],[Order_Date]],"YYYY")</f>
        <v>2025</v>
      </c>
      <c r="F242">
        <v>3873</v>
      </c>
      <c r="G242" t="s">
        <v>21</v>
      </c>
      <c r="H242" t="s">
        <v>24</v>
      </c>
      <c r="I242" t="s">
        <v>26</v>
      </c>
      <c r="J242" t="s">
        <v>31</v>
      </c>
      <c r="K242">
        <v>2</v>
      </c>
      <c r="L242" s="2">
        <v>85.72</v>
      </c>
      <c r="M242" s="3">
        <v>0.1</v>
      </c>
      <c r="N242" s="2">
        <v>171.44</v>
      </c>
      <c r="O242" s="2">
        <v>17.143999999999998</v>
      </c>
      <c r="P242" s="2">
        <v>154.29599999999999</v>
      </c>
      <c r="Q242" s="2">
        <v>41.32</v>
      </c>
      <c r="R242" s="2">
        <v>82.64</v>
      </c>
      <c r="S242" s="2">
        <v>71.655999999999906</v>
      </c>
      <c r="T242" s="3">
        <v>0.46440607663192801</v>
      </c>
      <c r="U242" s="2" t="str">
        <f>IF(Table1[[#This Row],[Net_Revenue]]&lt;Table1[[#This Row],[Total_Cost]], "Loss", "Gain")</f>
        <v>Gain</v>
      </c>
      <c r="V242" s="16">
        <f>IF(Table1[[#This Row],[Gain/Loss]]="Gain",Table1[[#This Row],[Quantity]], 0)</f>
        <v>2</v>
      </c>
      <c r="W242" s="16">
        <f>IF(Table1[[#This Row],[Gain/Loss]]="Loss",Table1[[#This Row],[Quantity]],0)</f>
        <v>0</v>
      </c>
      <c r="X242" s="16">
        <f>IF(OR(Table1[[#This Row],[Gain/Loss]]="Gain",Table1[[#This Row],[Gain/Loss]]="Loss"),Table1[[#This Row],[Quantity]],"")</f>
        <v>2</v>
      </c>
    </row>
    <row r="243" spans="1:24" x14ac:dyDescent="0.25">
      <c r="A243">
        <v>10242</v>
      </c>
      <c r="B243" s="1">
        <v>45899</v>
      </c>
      <c r="C243" s="1" t="str">
        <f>TEXT(Table1[[#This Row],[Order_Date]],"DD")</f>
        <v>30</v>
      </c>
      <c r="D243" s="1" t="str">
        <f>TEXT(Table1[[#This Row],[Order_Date]],"MMM")</f>
        <v>Aug</v>
      </c>
      <c r="E243" s="1" t="str">
        <f>TEXT(Table1[[#This Row],[Order_Date]],"YYYY")</f>
        <v>2025</v>
      </c>
      <c r="F243">
        <v>3042</v>
      </c>
      <c r="G243" t="s">
        <v>29</v>
      </c>
      <c r="H243" t="s">
        <v>18</v>
      </c>
      <c r="I243" t="s">
        <v>25</v>
      </c>
      <c r="J243" t="s">
        <v>22</v>
      </c>
      <c r="K243">
        <v>5</v>
      </c>
      <c r="L243" s="2">
        <v>67.180000000000007</v>
      </c>
      <c r="M243" s="3">
        <v>0.1</v>
      </c>
      <c r="N243" s="2">
        <v>335.9</v>
      </c>
      <c r="O243" s="2">
        <v>33.590000000000003</v>
      </c>
      <c r="P243" s="2">
        <v>302.31</v>
      </c>
      <c r="Q243" s="2">
        <v>87.05</v>
      </c>
      <c r="R243" s="2">
        <v>435.25</v>
      </c>
      <c r="S243" s="2">
        <v>-132.939999999999</v>
      </c>
      <c r="T243" s="3">
        <v>-0.43974727928285501</v>
      </c>
      <c r="U243" s="2" t="str">
        <f>IF(Table1[[#This Row],[Net_Revenue]]&lt;Table1[[#This Row],[Total_Cost]], "Loss", "Gain")</f>
        <v>Loss</v>
      </c>
      <c r="V243" s="16">
        <f>IF(Table1[[#This Row],[Gain/Loss]]="Gain",Table1[[#This Row],[Quantity]], 0)</f>
        <v>0</v>
      </c>
      <c r="W243" s="16">
        <f>IF(Table1[[#This Row],[Gain/Loss]]="Loss",Table1[[#This Row],[Quantity]],0)</f>
        <v>5</v>
      </c>
      <c r="X243" s="16">
        <f>IF(OR(Table1[[#This Row],[Gain/Loss]]="Gain",Table1[[#This Row],[Gain/Loss]]="Loss"),Table1[[#This Row],[Quantity]],"")</f>
        <v>5</v>
      </c>
    </row>
    <row r="244" spans="1:24" x14ac:dyDescent="0.25">
      <c r="A244">
        <v>10243</v>
      </c>
      <c r="B244" s="1">
        <v>45900</v>
      </c>
      <c r="C244" s="1" t="str">
        <f>TEXT(Table1[[#This Row],[Order_Date]],"DD")</f>
        <v>31</v>
      </c>
      <c r="D244" s="1" t="str">
        <f>TEXT(Table1[[#This Row],[Order_Date]],"MMM")</f>
        <v>Aug</v>
      </c>
      <c r="E244" s="1" t="str">
        <f>TEXT(Table1[[#This Row],[Order_Date]],"YYYY")</f>
        <v>2025</v>
      </c>
      <c r="F244">
        <v>3864</v>
      </c>
      <c r="G244" t="s">
        <v>29</v>
      </c>
      <c r="H244" t="s">
        <v>18</v>
      </c>
      <c r="I244" t="s">
        <v>25</v>
      </c>
      <c r="J244" t="s">
        <v>22</v>
      </c>
      <c r="K244">
        <v>3</v>
      </c>
      <c r="L244" s="2">
        <v>26.95</v>
      </c>
      <c r="M244" s="3">
        <v>0.15</v>
      </c>
      <c r="N244" s="2">
        <v>80.849999999999994</v>
      </c>
      <c r="O244" s="2">
        <v>12.1275</v>
      </c>
      <c r="P244" s="2">
        <v>68.722499999999997</v>
      </c>
      <c r="Q244" s="2">
        <v>102.21</v>
      </c>
      <c r="R244" s="2">
        <v>306.63</v>
      </c>
      <c r="S244" s="2">
        <v>-237.9075</v>
      </c>
      <c r="T244" s="3">
        <v>-3.46185747026083</v>
      </c>
      <c r="U244" s="2" t="str">
        <f>IF(Table1[[#This Row],[Net_Revenue]]&lt;Table1[[#This Row],[Total_Cost]], "Loss", "Gain")</f>
        <v>Loss</v>
      </c>
      <c r="V244" s="16">
        <f>IF(Table1[[#This Row],[Gain/Loss]]="Gain",Table1[[#This Row],[Quantity]], 0)</f>
        <v>0</v>
      </c>
      <c r="W244" s="16">
        <f>IF(Table1[[#This Row],[Gain/Loss]]="Loss",Table1[[#This Row],[Quantity]],0)</f>
        <v>3</v>
      </c>
      <c r="X244" s="16">
        <f>IF(OR(Table1[[#This Row],[Gain/Loss]]="Gain",Table1[[#This Row],[Gain/Loss]]="Loss"),Table1[[#This Row],[Quantity]],"")</f>
        <v>3</v>
      </c>
    </row>
    <row r="245" spans="1:24" x14ac:dyDescent="0.25">
      <c r="A245">
        <v>10244</v>
      </c>
      <c r="B245" s="1">
        <v>45901</v>
      </c>
      <c r="C245" s="1" t="str">
        <f>TEXT(Table1[[#This Row],[Order_Date]],"DD")</f>
        <v>01</v>
      </c>
      <c r="D245" s="1" t="str">
        <f>TEXT(Table1[[#This Row],[Order_Date]],"MMM")</f>
        <v>Sep</v>
      </c>
      <c r="E245" s="1" t="str">
        <f>TEXT(Table1[[#This Row],[Order_Date]],"YYYY")</f>
        <v>2025</v>
      </c>
      <c r="F245">
        <v>3290</v>
      </c>
      <c r="G245" t="s">
        <v>29</v>
      </c>
      <c r="H245" t="s">
        <v>24</v>
      </c>
      <c r="I245" t="s">
        <v>26</v>
      </c>
      <c r="J245" t="s">
        <v>31</v>
      </c>
      <c r="K245">
        <v>3</v>
      </c>
      <c r="L245" s="2">
        <v>248.27</v>
      </c>
      <c r="M245" s="3">
        <v>0.15</v>
      </c>
      <c r="N245" s="2">
        <v>744.81</v>
      </c>
      <c r="O245" s="2">
        <v>111.72150000000001</v>
      </c>
      <c r="P245" s="2">
        <v>633.08849999999995</v>
      </c>
      <c r="Q245" s="2">
        <v>41.16</v>
      </c>
      <c r="R245" s="2">
        <v>123.479999999999</v>
      </c>
      <c r="S245" s="2">
        <v>509.60849999999999</v>
      </c>
      <c r="T245" s="3">
        <v>0.80495617911239803</v>
      </c>
      <c r="U245" s="2" t="str">
        <f>IF(Table1[[#This Row],[Net_Revenue]]&lt;Table1[[#This Row],[Total_Cost]], "Loss", "Gain")</f>
        <v>Gain</v>
      </c>
      <c r="V245" s="16">
        <f>IF(Table1[[#This Row],[Gain/Loss]]="Gain",Table1[[#This Row],[Quantity]], 0)</f>
        <v>3</v>
      </c>
      <c r="W245" s="16">
        <f>IF(Table1[[#This Row],[Gain/Loss]]="Loss",Table1[[#This Row],[Quantity]],0)</f>
        <v>0</v>
      </c>
      <c r="X245" s="16">
        <f>IF(OR(Table1[[#This Row],[Gain/Loss]]="Gain",Table1[[#This Row],[Gain/Loss]]="Loss"),Table1[[#This Row],[Quantity]],"")</f>
        <v>3</v>
      </c>
    </row>
    <row r="246" spans="1:24" x14ac:dyDescent="0.25">
      <c r="A246">
        <v>10245</v>
      </c>
      <c r="B246" s="1">
        <v>45902</v>
      </c>
      <c r="C246" s="1" t="str">
        <f>TEXT(Table1[[#This Row],[Order_Date]],"DD")</f>
        <v>02</v>
      </c>
      <c r="D246" s="1" t="str">
        <f>TEXT(Table1[[#This Row],[Order_Date]],"MMM")</f>
        <v>Sep</v>
      </c>
      <c r="E246" s="1" t="str">
        <f>TEXT(Table1[[#This Row],[Order_Date]],"YYYY")</f>
        <v>2025</v>
      </c>
      <c r="F246">
        <v>3095</v>
      </c>
      <c r="G246" t="s">
        <v>17</v>
      </c>
      <c r="H246" t="s">
        <v>24</v>
      </c>
      <c r="I246" t="s">
        <v>33</v>
      </c>
      <c r="J246" t="s">
        <v>20</v>
      </c>
      <c r="K246">
        <v>1</v>
      </c>
      <c r="L246" s="2">
        <v>205.98</v>
      </c>
      <c r="M246" s="3">
        <v>0</v>
      </c>
      <c r="N246" s="2">
        <v>205.98</v>
      </c>
      <c r="O246" s="2">
        <v>0</v>
      </c>
      <c r="P246" s="2">
        <v>205.98</v>
      </c>
      <c r="Q246" s="2">
        <v>84.74</v>
      </c>
      <c r="R246" s="2">
        <v>84.74</v>
      </c>
      <c r="S246" s="2">
        <v>121.24</v>
      </c>
      <c r="T246" s="3">
        <v>0.58860083503252703</v>
      </c>
      <c r="U246" s="2" t="str">
        <f>IF(Table1[[#This Row],[Net_Revenue]]&lt;Table1[[#This Row],[Total_Cost]], "Loss", "Gain")</f>
        <v>Gain</v>
      </c>
      <c r="V246" s="16">
        <f>IF(Table1[[#This Row],[Gain/Loss]]="Gain",Table1[[#This Row],[Quantity]], 0)</f>
        <v>1</v>
      </c>
      <c r="W246" s="16">
        <f>IF(Table1[[#This Row],[Gain/Loss]]="Loss",Table1[[#This Row],[Quantity]],0)</f>
        <v>0</v>
      </c>
      <c r="X246" s="16">
        <f>IF(OR(Table1[[#This Row],[Gain/Loss]]="Gain",Table1[[#This Row],[Gain/Loss]]="Loss"),Table1[[#This Row],[Quantity]],"")</f>
        <v>1</v>
      </c>
    </row>
    <row r="247" spans="1:24" x14ac:dyDescent="0.25">
      <c r="A247">
        <v>10246</v>
      </c>
      <c r="B247" s="1">
        <v>45903</v>
      </c>
      <c r="C247" s="1" t="str">
        <f>TEXT(Table1[[#This Row],[Order_Date]],"DD")</f>
        <v>03</v>
      </c>
      <c r="D247" s="1" t="str">
        <f>TEXT(Table1[[#This Row],[Order_Date]],"MMM")</f>
        <v>Sep</v>
      </c>
      <c r="E247" s="1" t="str">
        <f>TEXT(Table1[[#This Row],[Order_Date]],"YYYY")</f>
        <v>2025</v>
      </c>
      <c r="F247">
        <v>3880</v>
      </c>
      <c r="G247" t="s">
        <v>29</v>
      </c>
      <c r="H247" t="s">
        <v>24</v>
      </c>
      <c r="I247" t="s">
        <v>26</v>
      </c>
      <c r="J247" t="s">
        <v>31</v>
      </c>
      <c r="K247">
        <v>2</v>
      </c>
      <c r="L247" s="2">
        <v>88.34</v>
      </c>
      <c r="M247" s="3">
        <v>0.1</v>
      </c>
      <c r="N247" s="2">
        <v>176.68</v>
      </c>
      <c r="O247" s="2">
        <v>17.667999999999999</v>
      </c>
      <c r="P247" s="2">
        <v>159.012</v>
      </c>
      <c r="Q247" s="2">
        <v>9.32</v>
      </c>
      <c r="R247" s="2">
        <v>18.64</v>
      </c>
      <c r="S247" s="2">
        <v>140.37200000000001</v>
      </c>
      <c r="T247" s="3">
        <v>0.88277614268105498</v>
      </c>
      <c r="U247" s="2" t="str">
        <f>IF(Table1[[#This Row],[Net_Revenue]]&lt;Table1[[#This Row],[Total_Cost]], "Loss", "Gain")</f>
        <v>Gain</v>
      </c>
      <c r="V247" s="16">
        <f>IF(Table1[[#This Row],[Gain/Loss]]="Gain",Table1[[#This Row],[Quantity]], 0)</f>
        <v>2</v>
      </c>
      <c r="W247" s="16">
        <f>IF(Table1[[#This Row],[Gain/Loss]]="Loss",Table1[[#This Row],[Quantity]],0)</f>
        <v>0</v>
      </c>
      <c r="X247" s="16">
        <f>IF(OR(Table1[[#This Row],[Gain/Loss]]="Gain",Table1[[#This Row],[Gain/Loss]]="Loss"),Table1[[#This Row],[Quantity]],"")</f>
        <v>2</v>
      </c>
    </row>
    <row r="248" spans="1:24" x14ac:dyDescent="0.25">
      <c r="A248">
        <v>10247</v>
      </c>
      <c r="B248" s="1">
        <v>45904</v>
      </c>
      <c r="C248" s="1" t="str">
        <f>TEXT(Table1[[#This Row],[Order_Date]],"DD")</f>
        <v>04</v>
      </c>
      <c r="D248" s="1" t="str">
        <f>TEXT(Table1[[#This Row],[Order_Date]],"MMM")</f>
        <v>Sep</v>
      </c>
      <c r="E248" s="1" t="str">
        <f>TEXT(Table1[[#This Row],[Order_Date]],"YYYY")</f>
        <v>2025</v>
      </c>
      <c r="F248">
        <v>3183</v>
      </c>
      <c r="G248" t="s">
        <v>23</v>
      </c>
      <c r="H248" t="s">
        <v>18</v>
      </c>
      <c r="I248" t="s">
        <v>33</v>
      </c>
      <c r="J248" t="s">
        <v>20</v>
      </c>
      <c r="K248">
        <v>5</v>
      </c>
      <c r="L248" s="2">
        <v>108.1</v>
      </c>
      <c r="M248" s="3">
        <v>0.15</v>
      </c>
      <c r="N248" s="2">
        <v>540.5</v>
      </c>
      <c r="O248" s="2">
        <v>81.075000000000003</v>
      </c>
      <c r="P248" s="2">
        <v>459.42500000000001</v>
      </c>
      <c r="Q248" s="2">
        <v>146</v>
      </c>
      <c r="R248" s="2">
        <v>730</v>
      </c>
      <c r="S248" s="2">
        <v>-270.57499999999999</v>
      </c>
      <c r="T248" s="3">
        <v>-0.58894270011427308</v>
      </c>
      <c r="U248" s="2" t="str">
        <f>IF(Table1[[#This Row],[Net_Revenue]]&lt;Table1[[#This Row],[Total_Cost]], "Loss", "Gain")</f>
        <v>Loss</v>
      </c>
      <c r="V248" s="16">
        <f>IF(Table1[[#This Row],[Gain/Loss]]="Gain",Table1[[#This Row],[Quantity]], 0)</f>
        <v>0</v>
      </c>
      <c r="W248" s="16">
        <f>IF(Table1[[#This Row],[Gain/Loss]]="Loss",Table1[[#This Row],[Quantity]],0)</f>
        <v>5</v>
      </c>
      <c r="X248" s="16">
        <f>IF(OR(Table1[[#This Row],[Gain/Loss]]="Gain",Table1[[#This Row],[Gain/Loss]]="Loss"),Table1[[#This Row],[Quantity]],"")</f>
        <v>5</v>
      </c>
    </row>
    <row r="249" spans="1:24" x14ac:dyDescent="0.25">
      <c r="A249">
        <v>10248</v>
      </c>
      <c r="B249" s="1">
        <v>45905</v>
      </c>
      <c r="C249" s="1" t="str">
        <f>TEXT(Table1[[#This Row],[Order_Date]],"DD")</f>
        <v>05</v>
      </c>
      <c r="D249" s="1" t="str">
        <f>TEXT(Table1[[#This Row],[Order_Date]],"MMM")</f>
        <v>Sep</v>
      </c>
      <c r="E249" s="1" t="str">
        <f>TEXT(Table1[[#This Row],[Order_Date]],"YYYY")</f>
        <v>2025</v>
      </c>
      <c r="F249">
        <v>3230</v>
      </c>
      <c r="G249" t="s">
        <v>23</v>
      </c>
      <c r="H249" t="s">
        <v>24</v>
      </c>
      <c r="I249" t="s">
        <v>33</v>
      </c>
      <c r="J249" t="s">
        <v>20</v>
      </c>
      <c r="K249">
        <v>6</v>
      </c>
      <c r="L249" s="2">
        <v>144.57</v>
      </c>
      <c r="M249" s="3">
        <v>0</v>
      </c>
      <c r="N249" s="2">
        <v>867.42</v>
      </c>
      <c r="O249" s="2">
        <v>0</v>
      </c>
      <c r="P249" s="2">
        <v>867.42</v>
      </c>
      <c r="Q249" s="2">
        <v>19.86</v>
      </c>
      <c r="R249" s="2">
        <v>119.16</v>
      </c>
      <c r="S249" s="2">
        <v>748.26</v>
      </c>
      <c r="T249" s="3">
        <v>0.86262710105831009</v>
      </c>
      <c r="U249" s="2" t="str">
        <f>IF(Table1[[#This Row],[Net_Revenue]]&lt;Table1[[#This Row],[Total_Cost]], "Loss", "Gain")</f>
        <v>Gain</v>
      </c>
      <c r="V249" s="16">
        <f>IF(Table1[[#This Row],[Gain/Loss]]="Gain",Table1[[#This Row],[Quantity]], 0)</f>
        <v>6</v>
      </c>
      <c r="W249" s="16">
        <f>IF(Table1[[#This Row],[Gain/Loss]]="Loss",Table1[[#This Row],[Quantity]],0)</f>
        <v>0</v>
      </c>
      <c r="X249" s="16">
        <f>IF(OR(Table1[[#This Row],[Gain/Loss]]="Gain",Table1[[#This Row],[Gain/Loss]]="Loss"),Table1[[#This Row],[Quantity]],"")</f>
        <v>6</v>
      </c>
    </row>
    <row r="250" spans="1:24" x14ac:dyDescent="0.25">
      <c r="A250">
        <v>10249</v>
      </c>
      <c r="B250" s="1">
        <v>45906</v>
      </c>
      <c r="C250" s="1" t="str">
        <f>TEXT(Table1[[#This Row],[Order_Date]],"DD")</f>
        <v>06</v>
      </c>
      <c r="D250" s="1" t="str">
        <f>TEXT(Table1[[#This Row],[Order_Date]],"MMM")</f>
        <v>Sep</v>
      </c>
      <c r="E250" s="1" t="str">
        <f>TEXT(Table1[[#This Row],[Order_Date]],"YYYY")</f>
        <v>2025</v>
      </c>
      <c r="F250">
        <v>3914</v>
      </c>
      <c r="G250" t="s">
        <v>23</v>
      </c>
      <c r="H250" t="s">
        <v>24</v>
      </c>
      <c r="I250" t="s">
        <v>33</v>
      </c>
      <c r="J250" t="s">
        <v>20</v>
      </c>
      <c r="K250">
        <v>1</v>
      </c>
      <c r="L250" s="2">
        <v>22.48</v>
      </c>
      <c r="M250" s="3">
        <v>0.15</v>
      </c>
      <c r="N250" s="2">
        <v>22.48</v>
      </c>
      <c r="O250" s="2">
        <v>3.3719999999999999</v>
      </c>
      <c r="P250" s="2">
        <v>19.108000000000001</v>
      </c>
      <c r="Q250" s="2">
        <v>86.04</v>
      </c>
      <c r="R250" s="2">
        <v>86.04</v>
      </c>
      <c r="S250" s="2">
        <v>-66.932000000000002</v>
      </c>
      <c r="T250" s="3">
        <v>-3.5028260414485999</v>
      </c>
      <c r="U250" s="2" t="str">
        <f>IF(Table1[[#This Row],[Net_Revenue]]&lt;Table1[[#This Row],[Total_Cost]], "Loss", "Gain")</f>
        <v>Loss</v>
      </c>
      <c r="V250" s="16">
        <f>IF(Table1[[#This Row],[Gain/Loss]]="Gain",Table1[[#This Row],[Quantity]], 0)</f>
        <v>0</v>
      </c>
      <c r="W250" s="16">
        <f>IF(Table1[[#This Row],[Gain/Loss]]="Loss",Table1[[#This Row],[Quantity]],0)</f>
        <v>1</v>
      </c>
      <c r="X250" s="16">
        <f>IF(OR(Table1[[#This Row],[Gain/Loss]]="Gain",Table1[[#This Row],[Gain/Loss]]="Loss"),Table1[[#This Row],[Quantity]],"")</f>
        <v>1</v>
      </c>
    </row>
    <row r="251" spans="1:24" x14ac:dyDescent="0.25">
      <c r="A251">
        <v>10250</v>
      </c>
      <c r="B251" s="1">
        <v>45907</v>
      </c>
      <c r="C251" s="1" t="str">
        <f>TEXT(Table1[[#This Row],[Order_Date]],"DD")</f>
        <v>07</v>
      </c>
      <c r="D251" s="1" t="str">
        <f>TEXT(Table1[[#This Row],[Order_Date]],"MMM")</f>
        <v>Sep</v>
      </c>
      <c r="E251" s="1" t="str">
        <f>TEXT(Table1[[#This Row],[Order_Date]],"YYYY")</f>
        <v>2025</v>
      </c>
      <c r="F251">
        <v>3265</v>
      </c>
      <c r="G251" t="s">
        <v>21</v>
      </c>
      <c r="H251" t="s">
        <v>24</v>
      </c>
      <c r="I251" t="s">
        <v>19</v>
      </c>
      <c r="J251" t="s">
        <v>27</v>
      </c>
      <c r="K251">
        <v>6</v>
      </c>
      <c r="L251" s="2">
        <v>100.16</v>
      </c>
      <c r="M251" s="3">
        <v>0.05</v>
      </c>
      <c r="N251" s="2">
        <v>600.96</v>
      </c>
      <c r="O251" s="2">
        <v>30.047999999999998</v>
      </c>
      <c r="P251" s="2">
        <v>570.91200000000003</v>
      </c>
      <c r="Q251" s="2">
        <v>149.57</v>
      </c>
      <c r="R251" s="2">
        <v>897.42</v>
      </c>
      <c r="S251" s="2">
        <v>-326.50799999999902</v>
      </c>
      <c r="T251" s="3">
        <v>-0.571906003026736</v>
      </c>
      <c r="U251" s="2" t="str">
        <f>IF(Table1[[#This Row],[Net_Revenue]]&lt;Table1[[#This Row],[Total_Cost]], "Loss", "Gain")</f>
        <v>Loss</v>
      </c>
      <c r="V251" s="16">
        <f>IF(Table1[[#This Row],[Gain/Loss]]="Gain",Table1[[#This Row],[Quantity]], 0)</f>
        <v>0</v>
      </c>
      <c r="W251" s="16">
        <f>IF(Table1[[#This Row],[Gain/Loss]]="Loss",Table1[[#This Row],[Quantity]],0)</f>
        <v>6</v>
      </c>
      <c r="X251" s="16">
        <f>IF(OR(Table1[[#This Row],[Gain/Loss]]="Gain",Table1[[#This Row],[Gain/Loss]]="Loss"),Table1[[#This Row],[Quantity]],"")</f>
        <v>6</v>
      </c>
    </row>
    <row r="252" spans="1:24" x14ac:dyDescent="0.25">
      <c r="A252">
        <v>10251</v>
      </c>
      <c r="B252" s="1">
        <v>45908</v>
      </c>
      <c r="C252" s="1" t="str">
        <f>TEXT(Table1[[#This Row],[Order_Date]],"DD")</f>
        <v>08</v>
      </c>
      <c r="D252" s="1" t="str">
        <f>TEXT(Table1[[#This Row],[Order_Date]],"MMM")</f>
        <v>Sep</v>
      </c>
      <c r="E252" s="1" t="str">
        <f>TEXT(Table1[[#This Row],[Order_Date]],"YYYY")</f>
        <v>2025</v>
      </c>
      <c r="F252">
        <v>3969</v>
      </c>
      <c r="G252" t="s">
        <v>29</v>
      </c>
      <c r="H252" t="s">
        <v>18</v>
      </c>
      <c r="I252" t="s">
        <v>26</v>
      </c>
      <c r="J252" t="s">
        <v>30</v>
      </c>
      <c r="K252">
        <v>5</v>
      </c>
      <c r="L252" s="2">
        <v>147.94</v>
      </c>
      <c r="M252" s="3">
        <v>0.2</v>
      </c>
      <c r="N252" s="2">
        <v>739.7</v>
      </c>
      <c r="O252" s="2">
        <v>147.94</v>
      </c>
      <c r="P252" s="2">
        <v>591.76</v>
      </c>
      <c r="Q252" s="2">
        <v>51.67</v>
      </c>
      <c r="R252" s="2">
        <v>258.35000000000002</v>
      </c>
      <c r="S252" s="2">
        <v>333.409999999999</v>
      </c>
      <c r="T252" s="3">
        <v>0.56342098147897701</v>
      </c>
      <c r="U252" s="2" t="str">
        <f>IF(Table1[[#This Row],[Net_Revenue]]&lt;Table1[[#This Row],[Total_Cost]], "Loss", "Gain")</f>
        <v>Gain</v>
      </c>
      <c r="V252" s="16">
        <f>IF(Table1[[#This Row],[Gain/Loss]]="Gain",Table1[[#This Row],[Quantity]], 0)</f>
        <v>5</v>
      </c>
      <c r="W252" s="16">
        <f>IF(Table1[[#This Row],[Gain/Loss]]="Loss",Table1[[#This Row],[Quantity]],0)</f>
        <v>0</v>
      </c>
      <c r="X252" s="16">
        <f>IF(OR(Table1[[#This Row],[Gain/Loss]]="Gain",Table1[[#This Row],[Gain/Loss]]="Loss"),Table1[[#This Row],[Quantity]],"")</f>
        <v>5</v>
      </c>
    </row>
    <row r="253" spans="1:24" x14ac:dyDescent="0.25">
      <c r="A253">
        <v>10252</v>
      </c>
      <c r="B253" s="1">
        <v>45909</v>
      </c>
      <c r="C253" s="1" t="str">
        <f>TEXT(Table1[[#This Row],[Order_Date]],"DD")</f>
        <v>09</v>
      </c>
      <c r="D253" s="1" t="str">
        <f>TEXT(Table1[[#This Row],[Order_Date]],"MMM")</f>
        <v>Sep</v>
      </c>
      <c r="E253" s="1" t="str">
        <f>TEXT(Table1[[#This Row],[Order_Date]],"YYYY")</f>
        <v>2025</v>
      </c>
      <c r="F253">
        <v>3269</v>
      </c>
      <c r="G253" t="s">
        <v>23</v>
      </c>
      <c r="H253" t="s">
        <v>24</v>
      </c>
      <c r="I253" t="s">
        <v>25</v>
      </c>
      <c r="J253" t="s">
        <v>32</v>
      </c>
      <c r="K253">
        <v>2</v>
      </c>
      <c r="L253" s="2">
        <v>240.7</v>
      </c>
      <c r="M253" s="3">
        <v>0</v>
      </c>
      <c r="N253" s="2">
        <v>481.4</v>
      </c>
      <c r="O253" s="2">
        <v>0</v>
      </c>
      <c r="P253" s="2">
        <v>481.4</v>
      </c>
      <c r="Q253" s="2">
        <v>46.63</v>
      </c>
      <c r="R253" s="2">
        <v>93.26</v>
      </c>
      <c r="S253" s="2">
        <v>388.14</v>
      </c>
      <c r="T253" s="3">
        <v>0.80627336933942606</v>
      </c>
      <c r="U253" s="2" t="str">
        <f>IF(Table1[[#This Row],[Net_Revenue]]&lt;Table1[[#This Row],[Total_Cost]], "Loss", "Gain")</f>
        <v>Gain</v>
      </c>
      <c r="V253" s="16">
        <f>IF(Table1[[#This Row],[Gain/Loss]]="Gain",Table1[[#This Row],[Quantity]], 0)</f>
        <v>2</v>
      </c>
      <c r="W253" s="16">
        <f>IF(Table1[[#This Row],[Gain/Loss]]="Loss",Table1[[#This Row],[Quantity]],0)</f>
        <v>0</v>
      </c>
      <c r="X253" s="16">
        <f>IF(OR(Table1[[#This Row],[Gain/Loss]]="Gain",Table1[[#This Row],[Gain/Loss]]="Loss"),Table1[[#This Row],[Quantity]],"")</f>
        <v>2</v>
      </c>
    </row>
    <row r="254" spans="1:24" x14ac:dyDescent="0.25">
      <c r="A254">
        <v>10253</v>
      </c>
      <c r="B254" s="1">
        <v>45910</v>
      </c>
      <c r="C254" s="1" t="str">
        <f>TEXT(Table1[[#This Row],[Order_Date]],"DD")</f>
        <v>10</v>
      </c>
      <c r="D254" s="1" t="str">
        <f>TEXT(Table1[[#This Row],[Order_Date]],"MMM")</f>
        <v>Sep</v>
      </c>
      <c r="E254" s="1" t="str">
        <f>TEXT(Table1[[#This Row],[Order_Date]],"YYYY")</f>
        <v>2025</v>
      </c>
      <c r="F254">
        <v>3341</v>
      </c>
      <c r="G254" t="s">
        <v>29</v>
      </c>
      <c r="H254" t="s">
        <v>18</v>
      </c>
      <c r="I254" t="s">
        <v>33</v>
      </c>
      <c r="J254" t="s">
        <v>20</v>
      </c>
      <c r="K254">
        <v>2</v>
      </c>
      <c r="L254" s="2">
        <v>241.37</v>
      </c>
      <c r="M254" s="3">
        <v>0.1</v>
      </c>
      <c r="N254" s="2">
        <v>482.74</v>
      </c>
      <c r="O254" s="2">
        <v>48.274000000000001</v>
      </c>
      <c r="P254" s="2">
        <v>434.46600000000001</v>
      </c>
      <c r="Q254" s="2">
        <v>112.06</v>
      </c>
      <c r="R254" s="2">
        <v>224.12</v>
      </c>
      <c r="S254" s="2">
        <v>210.346</v>
      </c>
      <c r="T254" s="3">
        <v>0.48414835683344598</v>
      </c>
      <c r="U254" s="2" t="str">
        <f>IF(Table1[[#This Row],[Net_Revenue]]&lt;Table1[[#This Row],[Total_Cost]], "Loss", "Gain")</f>
        <v>Gain</v>
      </c>
      <c r="V254" s="16">
        <f>IF(Table1[[#This Row],[Gain/Loss]]="Gain",Table1[[#This Row],[Quantity]], 0)</f>
        <v>2</v>
      </c>
      <c r="W254" s="16">
        <f>IF(Table1[[#This Row],[Gain/Loss]]="Loss",Table1[[#This Row],[Quantity]],0)</f>
        <v>0</v>
      </c>
      <c r="X254" s="16">
        <f>IF(OR(Table1[[#This Row],[Gain/Loss]]="Gain",Table1[[#This Row],[Gain/Loss]]="Loss"),Table1[[#This Row],[Quantity]],"")</f>
        <v>2</v>
      </c>
    </row>
    <row r="255" spans="1:24" x14ac:dyDescent="0.25">
      <c r="A255">
        <v>10254</v>
      </c>
      <c r="B255" s="1">
        <v>45911</v>
      </c>
      <c r="C255" s="1" t="str">
        <f>TEXT(Table1[[#This Row],[Order_Date]],"DD")</f>
        <v>11</v>
      </c>
      <c r="D255" s="1" t="str">
        <f>TEXT(Table1[[#This Row],[Order_Date]],"MMM")</f>
        <v>Sep</v>
      </c>
      <c r="E255" s="1" t="str">
        <f>TEXT(Table1[[#This Row],[Order_Date]],"YYYY")</f>
        <v>2025</v>
      </c>
      <c r="F255">
        <v>3939</v>
      </c>
      <c r="G255" t="s">
        <v>17</v>
      </c>
      <c r="H255" t="s">
        <v>24</v>
      </c>
      <c r="I255" t="s">
        <v>33</v>
      </c>
      <c r="J255" t="s">
        <v>20</v>
      </c>
      <c r="K255">
        <v>3</v>
      </c>
      <c r="L255" s="2">
        <v>191.89</v>
      </c>
      <c r="M255" s="3">
        <v>0.05</v>
      </c>
      <c r="N255" s="2">
        <v>575.66999999999996</v>
      </c>
      <c r="O255" s="2">
        <v>28.7835</v>
      </c>
      <c r="P255" s="2">
        <v>546.88649999999996</v>
      </c>
      <c r="Q255" s="2">
        <v>72.53</v>
      </c>
      <c r="R255" s="2">
        <v>217.59</v>
      </c>
      <c r="S255" s="2">
        <v>329.29649999999901</v>
      </c>
      <c r="T255" s="3">
        <v>0.60212950950517097</v>
      </c>
      <c r="U255" s="2" t="str">
        <f>IF(Table1[[#This Row],[Net_Revenue]]&lt;Table1[[#This Row],[Total_Cost]], "Loss", "Gain")</f>
        <v>Gain</v>
      </c>
      <c r="V255" s="16">
        <f>IF(Table1[[#This Row],[Gain/Loss]]="Gain",Table1[[#This Row],[Quantity]], 0)</f>
        <v>3</v>
      </c>
      <c r="W255" s="16">
        <f>IF(Table1[[#This Row],[Gain/Loss]]="Loss",Table1[[#This Row],[Quantity]],0)</f>
        <v>0</v>
      </c>
      <c r="X255" s="16">
        <f>IF(OR(Table1[[#This Row],[Gain/Loss]]="Gain",Table1[[#This Row],[Gain/Loss]]="Loss"),Table1[[#This Row],[Quantity]],"")</f>
        <v>3</v>
      </c>
    </row>
    <row r="256" spans="1:24" x14ac:dyDescent="0.25">
      <c r="A256">
        <v>10255</v>
      </c>
      <c r="B256" s="1">
        <v>45912</v>
      </c>
      <c r="C256" s="1" t="str">
        <f>TEXT(Table1[[#This Row],[Order_Date]],"DD")</f>
        <v>12</v>
      </c>
      <c r="D256" s="1" t="str">
        <f>TEXT(Table1[[#This Row],[Order_Date]],"MMM")</f>
        <v>Sep</v>
      </c>
      <c r="E256" s="1" t="str">
        <f>TEXT(Table1[[#This Row],[Order_Date]],"YYYY")</f>
        <v>2025</v>
      </c>
      <c r="F256">
        <v>3001</v>
      </c>
      <c r="G256" t="s">
        <v>23</v>
      </c>
      <c r="H256" t="s">
        <v>24</v>
      </c>
      <c r="I256" t="s">
        <v>25</v>
      </c>
      <c r="J256" t="s">
        <v>22</v>
      </c>
      <c r="K256">
        <v>4</v>
      </c>
      <c r="L256" s="2">
        <v>22.21</v>
      </c>
      <c r="M256" s="3">
        <v>0.1</v>
      </c>
      <c r="N256" s="2">
        <v>88.84</v>
      </c>
      <c r="O256" s="2">
        <v>8.8840000000000003</v>
      </c>
      <c r="P256" s="2">
        <v>79.956000000000003</v>
      </c>
      <c r="Q256" s="2">
        <v>43.65</v>
      </c>
      <c r="R256" s="2">
        <v>174.6</v>
      </c>
      <c r="S256" s="2">
        <v>-94.643999999999906</v>
      </c>
      <c r="T256" s="3">
        <v>-1.1837010355695599</v>
      </c>
      <c r="U256" s="2" t="str">
        <f>IF(Table1[[#This Row],[Net_Revenue]]&lt;Table1[[#This Row],[Total_Cost]], "Loss", "Gain")</f>
        <v>Loss</v>
      </c>
      <c r="V256" s="16">
        <f>IF(Table1[[#This Row],[Gain/Loss]]="Gain",Table1[[#This Row],[Quantity]], 0)</f>
        <v>0</v>
      </c>
      <c r="W256" s="16">
        <f>IF(Table1[[#This Row],[Gain/Loss]]="Loss",Table1[[#This Row],[Quantity]],0)</f>
        <v>4</v>
      </c>
      <c r="X256" s="16">
        <f>IF(OR(Table1[[#This Row],[Gain/Loss]]="Gain",Table1[[#This Row],[Gain/Loss]]="Loss"),Table1[[#This Row],[Quantity]],"")</f>
        <v>4</v>
      </c>
    </row>
    <row r="257" spans="1:24" x14ac:dyDescent="0.25">
      <c r="A257">
        <v>10256</v>
      </c>
      <c r="B257" s="1">
        <v>45913</v>
      </c>
      <c r="C257" s="1" t="str">
        <f>TEXT(Table1[[#This Row],[Order_Date]],"DD")</f>
        <v>13</v>
      </c>
      <c r="D257" s="1" t="str">
        <f>TEXT(Table1[[#This Row],[Order_Date]],"MMM")</f>
        <v>Sep</v>
      </c>
      <c r="E257" s="1" t="str">
        <f>TEXT(Table1[[#This Row],[Order_Date]],"YYYY")</f>
        <v>2025</v>
      </c>
      <c r="F257">
        <v>3287</v>
      </c>
      <c r="G257" t="s">
        <v>29</v>
      </c>
      <c r="H257" t="s">
        <v>18</v>
      </c>
      <c r="I257" t="s">
        <v>26</v>
      </c>
      <c r="J257" t="s">
        <v>30</v>
      </c>
      <c r="K257">
        <v>6</v>
      </c>
      <c r="L257" s="2">
        <v>154.86000000000001</v>
      </c>
      <c r="M257" s="3">
        <v>0.1</v>
      </c>
      <c r="N257" s="2">
        <v>929.16</v>
      </c>
      <c r="O257" s="2">
        <v>92.915999999999997</v>
      </c>
      <c r="P257" s="2">
        <v>836.24400000000003</v>
      </c>
      <c r="Q257" s="2">
        <v>88.07</v>
      </c>
      <c r="R257" s="2">
        <v>528.41999999999996</v>
      </c>
      <c r="S257" s="2">
        <v>307.82400000000001</v>
      </c>
      <c r="T257" s="3">
        <v>0.36810308952889303</v>
      </c>
      <c r="U257" s="2" t="str">
        <f>IF(Table1[[#This Row],[Net_Revenue]]&lt;Table1[[#This Row],[Total_Cost]], "Loss", "Gain")</f>
        <v>Gain</v>
      </c>
      <c r="V257" s="16">
        <f>IF(Table1[[#This Row],[Gain/Loss]]="Gain",Table1[[#This Row],[Quantity]], 0)</f>
        <v>6</v>
      </c>
      <c r="W257" s="16">
        <f>IF(Table1[[#This Row],[Gain/Loss]]="Loss",Table1[[#This Row],[Quantity]],0)</f>
        <v>0</v>
      </c>
      <c r="X257" s="16">
        <f>IF(OR(Table1[[#This Row],[Gain/Loss]]="Gain",Table1[[#This Row],[Gain/Loss]]="Loss"),Table1[[#This Row],[Quantity]],"")</f>
        <v>6</v>
      </c>
    </row>
    <row r="258" spans="1:24" x14ac:dyDescent="0.25">
      <c r="A258">
        <v>10257</v>
      </c>
      <c r="B258" s="1">
        <v>45914</v>
      </c>
      <c r="C258" s="1" t="str">
        <f>TEXT(Table1[[#This Row],[Order_Date]],"DD")</f>
        <v>14</v>
      </c>
      <c r="D258" s="1" t="str">
        <f>TEXT(Table1[[#This Row],[Order_Date]],"MMM")</f>
        <v>Sep</v>
      </c>
      <c r="E258" s="1" t="str">
        <f>TEXT(Table1[[#This Row],[Order_Date]],"YYYY")</f>
        <v>2025</v>
      </c>
      <c r="F258">
        <v>3910</v>
      </c>
      <c r="G258" t="s">
        <v>21</v>
      </c>
      <c r="H258" t="s">
        <v>18</v>
      </c>
      <c r="I258" t="s">
        <v>19</v>
      </c>
      <c r="J258" t="s">
        <v>27</v>
      </c>
      <c r="K258">
        <v>1</v>
      </c>
      <c r="L258" s="2">
        <v>120.62</v>
      </c>
      <c r="M258" s="3">
        <v>0.05</v>
      </c>
      <c r="N258" s="2">
        <v>120.62</v>
      </c>
      <c r="O258" s="2">
        <v>6.0309999999999997</v>
      </c>
      <c r="P258" s="2">
        <v>114.589</v>
      </c>
      <c r="Q258" s="2">
        <v>124.93</v>
      </c>
      <c r="R258" s="2">
        <v>124.93</v>
      </c>
      <c r="S258" s="2">
        <v>-10.340999999999999</v>
      </c>
      <c r="T258" s="3">
        <v>-9.0244264283657311E-2</v>
      </c>
      <c r="U258" s="2" t="str">
        <f>IF(Table1[[#This Row],[Net_Revenue]]&lt;Table1[[#This Row],[Total_Cost]], "Loss", "Gain")</f>
        <v>Loss</v>
      </c>
      <c r="V258" s="16">
        <f>IF(Table1[[#This Row],[Gain/Loss]]="Gain",Table1[[#This Row],[Quantity]], 0)</f>
        <v>0</v>
      </c>
      <c r="W258" s="16">
        <f>IF(Table1[[#This Row],[Gain/Loss]]="Loss",Table1[[#This Row],[Quantity]],0)</f>
        <v>1</v>
      </c>
      <c r="X258" s="16">
        <f>IF(OR(Table1[[#This Row],[Gain/Loss]]="Gain",Table1[[#This Row],[Gain/Loss]]="Loss"),Table1[[#This Row],[Quantity]],"")</f>
        <v>1</v>
      </c>
    </row>
    <row r="259" spans="1:24" x14ac:dyDescent="0.25">
      <c r="A259">
        <v>10258</v>
      </c>
      <c r="B259" s="1">
        <v>45915</v>
      </c>
      <c r="C259" s="1" t="str">
        <f>TEXT(Table1[[#This Row],[Order_Date]],"DD")</f>
        <v>15</v>
      </c>
      <c r="D259" s="1" t="str">
        <f>TEXT(Table1[[#This Row],[Order_Date]],"MMM")</f>
        <v>Sep</v>
      </c>
      <c r="E259" s="1" t="str">
        <f>TEXT(Table1[[#This Row],[Order_Date]],"YYYY")</f>
        <v>2025</v>
      </c>
      <c r="F259">
        <v>3208</v>
      </c>
      <c r="G259" t="s">
        <v>17</v>
      </c>
      <c r="H259" t="s">
        <v>18</v>
      </c>
      <c r="I259" t="s">
        <v>26</v>
      </c>
      <c r="J259" t="s">
        <v>28</v>
      </c>
      <c r="K259">
        <v>6</v>
      </c>
      <c r="L259" s="2">
        <v>165.62</v>
      </c>
      <c r="M259" s="3">
        <v>0</v>
      </c>
      <c r="N259" s="2">
        <v>993.72</v>
      </c>
      <c r="O259" s="2">
        <v>0</v>
      </c>
      <c r="P259" s="2">
        <v>993.72</v>
      </c>
      <c r="Q259" s="2">
        <v>102.03</v>
      </c>
      <c r="R259" s="2">
        <v>612.17999999999995</v>
      </c>
      <c r="S259" s="2">
        <v>381.539999999999</v>
      </c>
      <c r="T259" s="3">
        <v>0.383951213621543</v>
      </c>
      <c r="U259" s="2" t="str">
        <f>IF(Table1[[#This Row],[Net_Revenue]]&lt;Table1[[#This Row],[Total_Cost]], "Loss", "Gain")</f>
        <v>Gain</v>
      </c>
      <c r="V259" s="16">
        <f>IF(Table1[[#This Row],[Gain/Loss]]="Gain",Table1[[#This Row],[Quantity]], 0)</f>
        <v>6</v>
      </c>
      <c r="W259" s="16">
        <f>IF(Table1[[#This Row],[Gain/Loss]]="Loss",Table1[[#This Row],[Quantity]],0)</f>
        <v>0</v>
      </c>
      <c r="X259" s="16">
        <f>IF(OR(Table1[[#This Row],[Gain/Loss]]="Gain",Table1[[#This Row],[Gain/Loss]]="Loss"),Table1[[#This Row],[Quantity]],"")</f>
        <v>6</v>
      </c>
    </row>
    <row r="260" spans="1:24" x14ac:dyDescent="0.25">
      <c r="A260">
        <v>10259</v>
      </c>
      <c r="B260" s="1">
        <v>45916</v>
      </c>
      <c r="C260" s="1" t="str">
        <f>TEXT(Table1[[#This Row],[Order_Date]],"DD")</f>
        <v>16</v>
      </c>
      <c r="D260" s="1" t="str">
        <f>TEXT(Table1[[#This Row],[Order_Date]],"MMM")</f>
        <v>Sep</v>
      </c>
      <c r="E260" s="1" t="str">
        <f>TEXT(Table1[[#This Row],[Order_Date]],"YYYY")</f>
        <v>2025</v>
      </c>
      <c r="F260">
        <v>3560</v>
      </c>
      <c r="G260" t="s">
        <v>21</v>
      </c>
      <c r="H260" t="s">
        <v>24</v>
      </c>
      <c r="I260" t="s">
        <v>25</v>
      </c>
      <c r="J260" t="s">
        <v>32</v>
      </c>
      <c r="K260">
        <v>4</v>
      </c>
      <c r="L260" s="2">
        <v>104.85</v>
      </c>
      <c r="M260" s="3">
        <v>0.2</v>
      </c>
      <c r="N260" s="2">
        <v>419.4</v>
      </c>
      <c r="O260" s="2">
        <v>83.88</v>
      </c>
      <c r="P260" s="2">
        <v>335.52</v>
      </c>
      <c r="Q260" s="2">
        <v>39.81</v>
      </c>
      <c r="R260" s="2">
        <v>159.24</v>
      </c>
      <c r="S260" s="2">
        <v>176.27999999999901</v>
      </c>
      <c r="T260" s="3">
        <v>0.52539341917024307</v>
      </c>
      <c r="U260" s="2" t="str">
        <f>IF(Table1[[#This Row],[Net_Revenue]]&lt;Table1[[#This Row],[Total_Cost]], "Loss", "Gain")</f>
        <v>Gain</v>
      </c>
      <c r="V260" s="16">
        <f>IF(Table1[[#This Row],[Gain/Loss]]="Gain",Table1[[#This Row],[Quantity]], 0)</f>
        <v>4</v>
      </c>
      <c r="W260" s="16">
        <f>IF(Table1[[#This Row],[Gain/Loss]]="Loss",Table1[[#This Row],[Quantity]],0)</f>
        <v>0</v>
      </c>
      <c r="X260" s="16">
        <f>IF(OR(Table1[[#This Row],[Gain/Loss]]="Gain",Table1[[#This Row],[Gain/Loss]]="Loss"),Table1[[#This Row],[Quantity]],"")</f>
        <v>4</v>
      </c>
    </row>
    <row r="261" spans="1:24" x14ac:dyDescent="0.25">
      <c r="A261">
        <v>10260</v>
      </c>
      <c r="B261" s="1">
        <v>45917</v>
      </c>
      <c r="C261" s="1" t="str">
        <f>TEXT(Table1[[#This Row],[Order_Date]],"DD")</f>
        <v>17</v>
      </c>
      <c r="D261" s="1" t="str">
        <f>TEXT(Table1[[#This Row],[Order_Date]],"MMM")</f>
        <v>Sep</v>
      </c>
      <c r="E261" s="1" t="str">
        <f>TEXT(Table1[[#This Row],[Order_Date]],"YYYY")</f>
        <v>2025</v>
      </c>
      <c r="F261">
        <v>3665</v>
      </c>
      <c r="G261" t="s">
        <v>23</v>
      </c>
      <c r="H261" t="s">
        <v>24</v>
      </c>
      <c r="I261" t="s">
        <v>26</v>
      </c>
      <c r="J261" t="s">
        <v>30</v>
      </c>
      <c r="K261">
        <v>9</v>
      </c>
      <c r="L261" s="2">
        <v>129.30000000000001</v>
      </c>
      <c r="M261" s="3">
        <v>0.2</v>
      </c>
      <c r="N261" s="2">
        <v>1163.7</v>
      </c>
      <c r="O261" s="2">
        <v>232.74</v>
      </c>
      <c r="P261" s="2">
        <v>930.96</v>
      </c>
      <c r="Q261" s="2">
        <v>101.83</v>
      </c>
      <c r="R261" s="2">
        <v>916.47</v>
      </c>
      <c r="S261" s="2">
        <v>14.49</v>
      </c>
      <c r="T261" s="3">
        <v>1.5564578499613299E-2</v>
      </c>
      <c r="U261" s="2" t="str">
        <f>IF(Table1[[#This Row],[Net_Revenue]]&lt;Table1[[#This Row],[Total_Cost]], "Loss", "Gain")</f>
        <v>Gain</v>
      </c>
      <c r="V261" s="16">
        <f>IF(Table1[[#This Row],[Gain/Loss]]="Gain",Table1[[#This Row],[Quantity]], 0)</f>
        <v>9</v>
      </c>
      <c r="W261" s="16">
        <f>IF(Table1[[#This Row],[Gain/Loss]]="Loss",Table1[[#This Row],[Quantity]],0)</f>
        <v>0</v>
      </c>
      <c r="X261" s="16">
        <f>IF(OR(Table1[[#This Row],[Gain/Loss]]="Gain",Table1[[#This Row],[Gain/Loss]]="Loss"),Table1[[#This Row],[Quantity]],"")</f>
        <v>9</v>
      </c>
    </row>
    <row r="262" spans="1:24" x14ac:dyDescent="0.25">
      <c r="A262">
        <v>10261</v>
      </c>
      <c r="B262" s="1">
        <v>45918</v>
      </c>
      <c r="C262" s="1" t="str">
        <f>TEXT(Table1[[#This Row],[Order_Date]],"DD")</f>
        <v>18</v>
      </c>
      <c r="D262" s="1" t="str">
        <f>TEXT(Table1[[#This Row],[Order_Date]],"MMM")</f>
        <v>Sep</v>
      </c>
      <c r="E262" s="1" t="str">
        <f>TEXT(Table1[[#This Row],[Order_Date]],"YYYY")</f>
        <v>2025</v>
      </c>
      <c r="F262">
        <v>3497</v>
      </c>
      <c r="G262" t="s">
        <v>17</v>
      </c>
      <c r="H262" t="s">
        <v>18</v>
      </c>
      <c r="I262" t="s">
        <v>26</v>
      </c>
      <c r="J262" t="s">
        <v>30</v>
      </c>
      <c r="K262">
        <v>6</v>
      </c>
      <c r="L262" s="2">
        <v>117.23</v>
      </c>
      <c r="M262" s="3">
        <v>0.15</v>
      </c>
      <c r="N262" s="2">
        <v>703.38</v>
      </c>
      <c r="O262" s="2">
        <v>105.506999999999</v>
      </c>
      <c r="P262" s="2">
        <v>597.87300000000005</v>
      </c>
      <c r="Q262" s="2">
        <v>139.83000000000001</v>
      </c>
      <c r="R262" s="2">
        <v>838.98</v>
      </c>
      <c r="S262" s="2">
        <v>-241.106999999999</v>
      </c>
      <c r="T262" s="3">
        <v>-0.40327460848708596</v>
      </c>
      <c r="U262" s="2" t="str">
        <f>IF(Table1[[#This Row],[Net_Revenue]]&lt;Table1[[#This Row],[Total_Cost]], "Loss", "Gain")</f>
        <v>Loss</v>
      </c>
      <c r="V262" s="16">
        <f>IF(Table1[[#This Row],[Gain/Loss]]="Gain",Table1[[#This Row],[Quantity]], 0)</f>
        <v>0</v>
      </c>
      <c r="W262" s="16">
        <f>IF(Table1[[#This Row],[Gain/Loss]]="Loss",Table1[[#This Row],[Quantity]],0)</f>
        <v>6</v>
      </c>
      <c r="X262" s="16">
        <f>IF(OR(Table1[[#This Row],[Gain/Loss]]="Gain",Table1[[#This Row],[Gain/Loss]]="Loss"),Table1[[#This Row],[Quantity]],"")</f>
        <v>6</v>
      </c>
    </row>
    <row r="263" spans="1:24" x14ac:dyDescent="0.25">
      <c r="A263">
        <v>10262</v>
      </c>
      <c r="B263" s="1">
        <v>45919</v>
      </c>
      <c r="C263" s="1" t="str">
        <f>TEXT(Table1[[#This Row],[Order_Date]],"DD")</f>
        <v>19</v>
      </c>
      <c r="D263" s="1" t="str">
        <f>TEXT(Table1[[#This Row],[Order_Date]],"MMM")</f>
        <v>Sep</v>
      </c>
      <c r="E263" s="1" t="str">
        <f>TEXT(Table1[[#This Row],[Order_Date]],"YYYY")</f>
        <v>2025</v>
      </c>
      <c r="F263">
        <v>3161</v>
      </c>
      <c r="G263" t="s">
        <v>23</v>
      </c>
      <c r="H263" t="s">
        <v>24</v>
      </c>
      <c r="I263" t="s">
        <v>33</v>
      </c>
      <c r="J263" t="s">
        <v>20</v>
      </c>
      <c r="K263">
        <v>7</v>
      </c>
      <c r="L263" s="2">
        <v>42.29</v>
      </c>
      <c r="M263" s="3">
        <v>0.2</v>
      </c>
      <c r="N263" s="2">
        <v>296.02999999999997</v>
      </c>
      <c r="O263" s="2">
        <v>59.205999999999896</v>
      </c>
      <c r="P263" s="2">
        <v>236.82399999999899</v>
      </c>
      <c r="Q263" s="2">
        <v>33.58</v>
      </c>
      <c r="R263" s="2">
        <v>235.06</v>
      </c>
      <c r="S263" s="2">
        <v>1.76399999999998</v>
      </c>
      <c r="T263" s="3">
        <v>7.4485694017497397E-3</v>
      </c>
      <c r="U263" s="2" t="str">
        <f>IF(Table1[[#This Row],[Net_Revenue]]&lt;Table1[[#This Row],[Total_Cost]], "Loss", "Gain")</f>
        <v>Gain</v>
      </c>
      <c r="V263" s="16">
        <f>IF(Table1[[#This Row],[Gain/Loss]]="Gain",Table1[[#This Row],[Quantity]], 0)</f>
        <v>7</v>
      </c>
      <c r="W263" s="16">
        <f>IF(Table1[[#This Row],[Gain/Loss]]="Loss",Table1[[#This Row],[Quantity]],0)</f>
        <v>0</v>
      </c>
      <c r="X263" s="16">
        <f>IF(OR(Table1[[#This Row],[Gain/Loss]]="Gain",Table1[[#This Row],[Gain/Loss]]="Loss"),Table1[[#This Row],[Quantity]],"")</f>
        <v>7</v>
      </c>
    </row>
    <row r="264" spans="1:24" x14ac:dyDescent="0.25">
      <c r="A264">
        <v>10263</v>
      </c>
      <c r="B264" s="1">
        <v>45920</v>
      </c>
      <c r="C264" s="1" t="str">
        <f>TEXT(Table1[[#This Row],[Order_Date]],"DD")</f>
        <v>20</v>
      </c>
      <c r="D264" s="1" t="str">
        <f>TEXT(Table1[[#This Row],[Order_Date]],"MMM")</f>
        <v>Sep</v>
      </c>
      <c r="E264" s="1" t="str">
        <f>TEXT(Table1[[#This Row],[Order_Date]],"YYYY")</f>
        <v>2025</v>
      </c>
      <c r="F264">
        <v>3981</v>
      </c>
      <c r="G264" t="s">
        <v>23</v>
      </c>
      <c r="H264" t="s">
        <v>24</v>
      </c>
      <c r="I264" t="s">
        <v>26</v>
      </c>
      <c r="J264" t="s">
        <v>30</v>
      </c>
      <c r="K264">
        <v>4</v>
      </c>
      <c r="L264" s="2">
        <v>183.68</v>
      </c>
      <c r="M264" s="3">
        <v>0.05</v>
      </c>
      <c r="N264" s="2">
        <v>734.72</v>
      </c>
      <c r="O264" s="2">
        <v>36.735999999999997</v>
      </c>
      <c r="P264" s="2">
        <v>697.98400000000004</v>
      </c>
      <c r="Q264" s="2">
        <v>99.51</v>
      </c>
      <c r="R264" s="2">
        <v>398.04</v>
      </c>
      <c r="S264" s="2">
        <v>299.94400000000002</v>
      </c>
      <c r="T264" s="3">
        <v>0.42972904823033098</v>
      </c>
      <c r="U264" s="2" t="str">
        <f>IF(Table1[[#This Row],[Net_Revenue]]&lt;Table1[[#This Row],[Total_Cost]], "Loss", "Gain")</f>
        <v>Gain</v>
      </c>
      <c r="V264" s="16">
        <f>IF(Table1[[#This Row],[Gain/Loss]]="Gain",Table1[[#This Row],[Quantity]], 0)</f>
        <v>4</v>
      </c>
      <c r="W264" s="16">
        <f>IF(Table1[[#This Row],[Gain/Loss]]="Loss",Table1[[#This Row],[Quantity]],0)</f>
        <v>0</v>
      </c>
      <c r="X264" s="16">
        <f>IF(OR(Table1[[#This Row],[Gain/Loss]]="Gain",Table1[[#This Row],[Gain/Loss]]="Loss"),Table1[[#This Row],[Quantity]],"")</f>
        <v>4</v>
      </c>
    </row>
    <row r="265" spans="1:24" x14ac:dyDescent="0.25">
      <c r="A265">
        <v>10264</v>
      </c>
      <c r="B265" s="1">
        <v>45921</v>
      </c>
      <c r="C265" s="1" t="str">
        <f>TEXT(Table1[[#This Row],[Order_Date]],"DD")</f>
        <v>21</v>
      </c>
      <c r="D265" s="1" t="str">
        <f>TEXT(Table1[[#This Row],[Order_Date]],"MMM")</f>
        <v>Sep</v>
      </c>
      <c r="E265" s="1" t="str">
        <f>TEXT(Table1[[#This Row],[Order_Date]],"YYYY")</f>
        <v>2025</v>
      </c>
      <c r="F265">
        <v>3979</v>
      </c>
      <c r="G265" t="s">
        <v>23</v>
      </c>
      <c r="H265" t="s">
        <v>24</v>
      </c>
      <c r="I265" t="s">
        <v>25</v>
      </c>
      <c r="J265" t="s">
        <v>22</v>
      </c>
      <c r="K265">
        <v>3</v>
      </c>
      <c r="L265" s="2">
        <v>11.75</v>
      </c>
      <c r="M265" s="3">
        <v>0.1</v>
      </c>
      <c r="N265" s="2">
        <v>35.25</v>
      </c>
      <c r="O265" s="2">
        <v>3.5249999999999999</v>
      </c>
      <c r="P265" s="2">
        <v>31.725000000000001</v>
      </c>
      <c r="Q265" s="2">
        <v>77.44</v>
      </c>
      <c r="R265" s="2">
        <v>232.32</v>
      </c>
      <c r="S265" s="2">
        <v>-200.595</v>
      </c>
      <c r="T265" s="3">
        <v>-6.3229314420803702</v>
      </c>
      <c r="U265" s="2" t="str">
        <f>IF(Table1[[#This Row],[Net_Revenue]]&lt;Table1[[#This Row],[Total_Cost]], "Loss", "Gain")</f>
        <v>Loss</v>
      </c>
      <c r="V265" s="16">
        <f>IF(Table1[[#This Row],[Gain/Loss]]="Gain",Table1[[#This Row],[Quantity]], 0)</f>
        <v>0</v>
      </c>
      <c r="W265" s="16">
        <f>IF(Table1[[#This Row],[Gain/Loss]]="Loss",Table1[[#This Row],[Quantity]],0)</f>
        <v>3</v>
      </c>
      <c r="X265" s="16">
        <f>IF(OR(Table1[[#This Row],[Gain/Loss]]="Gain",Table1[[#This Row],[Gain/Loss]]="Loss"),Table1[[#This Row],[Quantity]],"")</f>
        <v>3</v>
      </c>
    </row>
    <row r="266" spans="1:24" x14ac:dyDescent="0.25">
      <c r="A266">
        <v>10265</v>
      </c>
      <c r="B266" s="1">
        <v>45922</v>
      </c>
      <c r="C266" s="1" t="str">
        <f>TEXT(Table1[[#This Row],[Order_Date]],"DD")</f>
        <v>22</v>
      </c>
      <c r="D266" s="1" t="str">
        <f>TEXT(Table1[[#This Row],[Order_Date]],"MMM")</f>
        <v>Sep</v>
      </c>
      <c r="E266" s="1" t="str">
        <f>TEXT(Table1[[#This Row],[Order_Date]],"YYYY")</f>
        <v>2025</v>
      </c>
      <c r="F266">
        <v>3255</v>
      </c>
      <c r="G266" t="s">
        <v>17</v>
      </c>
      <c r="H266" t="s">
        <v>24</v>
      </c>
      <c r="I266" t="s">
        <v>26</v>
      </c>
      <c r="J266" t="s">
        <v>30</v>
      </c>
      <c r="K266">
        <v>1</v>
      </c>
      <c r="L266" s="2">
        <v>125.42</v>
      </c>
      <c r="M266" s="3">
        <v>0.2</v>
      </c>
      <c r="N266" s="2">
        <v>125.42</v>
      </c>
      <c r="O266" s="2">
        <v>25.084</v>
      </c>
      <c r="P266" s="2">
        <v>100.336</v>
      </c>
      <c r="Q266" s="2">
        <v>101.19</v>
      </c>
      <c r="R266" s="2">
        <v>101.19</v>
      </c>
      <c r="S266" s="2">
        <v>-0.85399999999999898</v>
      </c>
      <c r="T266" s="3">
        <v>-8.5114016903205109E-3</v>
      </c>
      <c r="U266" s="2" t="str">
        <f>IF(Table1[[#This Row],[Net_Revenue]]&lt;Table1[[#This Row],[Total_Cost]], "Loss", "Gain")</f>
        <v>Loss</v>
      </c>
      <c r="V266" s="16">
        <f>IF(Table1[[#This Row],[Gain/Loss]]="Gain",Table1[[#This Row],[Quantity]], 0)</f>
        <v>0</v>
      </c>
      <c r="W266" s="16">
        <f>IF(Table1[[#This Row],[Gain/Loss]]="Loss",Table1[[#This Row],[Quantity]],0)</f>
        <v>1</v>
      </c>
      <c r="X266" s="16">
        <f>IF(OR(Table1[[#This Row],[Gain/Loss]]="Gain",Table1[[#This Row],[Gain/Loss]]="Loss"),Table1[[#This Row],[Quantity]],"")</f>
        <v>1</v>
      </c>
    </row>
    <row r="267" spans="1:24" x14ac:dyDescent="0.25">
      <c r="A267">
        <v>10266</v>
      </c>
      <c r="B267" s="1">
        <v>45923</v>
      </c>
      <c r="C267" s="1" t="str">
        <f>TEXT(Table1[[#This Row],[Order_Date]],"DD")</f>
        <v>23</v>
      </c>
      <c r="D267" s="1" t="str">
        <f>TEXT(Table1[[#This Row],[Order_Date]],"MMM")</f>
        <v>Sep</v>
      </c>
      <c r="E267" s="1" t="str">
        <f>TEXT(Table1[[#This Row],[Order_Date]],"YYYY")</f>
        <v>2025</v>
      </c>
      <c r="F267">
        <v>3338</v>
      </c>
      <c r="G267" t="s">
        <v>29</v>
      </c>
      <c r="H267" t="s">
        <v>24</v>
      </c>
      <c r="I267" t="s">
        <v>25</v>
      </c>
      <c r="J267" t="s">
        <v>32</v>
      </c>
      <c r="K267">
        <v>1</v>
      </c>
      <c r="L267" s="2">
        <v>209.4</v>
      </c>
      <c r="M267" s="3">
        <v>0.1</v>
      </c>
      <c r="N267" s="2">
        <v>209.4</v>
      </c>
      <c r="O267" s="2">
        <v>20.94</v>
      </c>
      <c r="P267" s="2">
        <v>188.46</v>
      </c>
      <c r="Q267" s="2">
        <v>24.97</v>
      </c>
      <c r="R267" s="2">
        <v>24.97</v>
      </c>
      <c r="S267" s="2">
        <v>163.49</v>
      </c>
      <c r="T267" s="3">
        <v>0.86750504085747593</v>
      </c>
      <c r="U267" s="2" t="str">
        <f>IF(Table1[[#This Row],[Net_Revenue]]&lt;Table1[[#This Row],[Total_Cost]], "Loss", "Gain")</f>
        <v>Gain</v>
      </c>
      <c r="V267" s="16">
        <f>IF(Table1[[#This Row],[Gain/Loss]]="Gain",Table1[[#This Row],[Quantity]], 0)</f>
        <v>1</v>
      </c>
      <c r="W267" s="16">
        <f>IF(Table1[[#This Row],[Gain/Loss]]="Loss",Table1[[#This Row],[Quantity]],0)</f>
        <v>0</v>
      </c>
      <c r="X267" s="16">
        <f>IF(OR(Table1[[#This Row],[Gain/Loss]]="Gain",Table1[[#This Row],[Gain/Loss]]="Loss"),Table1[[#This Row],[Quantity]],"")</f>
        <v>1</v>
      </c>
    </row>
    <row r="268" spans="1:24" x14ac:dyDescent="0.25">
      <c r="A268">
        <v>10267</v>
      </c>
      <c r="B268" s="1">
        <v>45924</v>
      </c>
      <c r="C268" s="1" t="str">
        <f>TEXT(Table1[[#This Row],[Order_Date]],"DD")</f>
        <v>24</v>
      </c>
      <c r="D268" s="1" t="str">
        <f>TEXT(Table1[[#This Row],[Order_Date]],"MMM")</f>
        <v>Sep</v>
      </c>
      <c r="E268" s="1" t="str">
        <f>TEXT(Table1[[#This Row],[Order_Date]],"YYYY")</f>
        <v>2025</v>
      </c>
      <c r="F268">
        <v>3576</v>
      </c>
      <c r="G268" t="s">
        <v>29</v>
      </c>
      <c r="H268" t="s">
        <v>18</v>
      </c>
      <c r="I268" t="s">
        <v>25</v>
      </c>
      <c r="J268" t="s">
        <v>32</v>
      </c>
      <c r="K268">
        <v>1</v>
      </c>
      <c r="L268" s="2">
        <v>198.66</v>
      </c>
      <c r="M268" s="3">
        <v>0.1</v>
      </c>
      <c r="N268" s="2">
        <v>198.66</v>
      </c>
      <c r="O268" s="2">
        <v>19.866</v>
      </c>
      <c r="P268" s="2">
        <v>178.79399999999899</v>
      </c>
      <c r="Q268" s="2">
        <v>38.76</v>
      </c>
      <c r="R268" s="2">
        <v>38.76</v>
      </c>
      <c r="S268" s="2">
        <v>140.03399999999999</v>
      </c>
      <c r="T268" s="3">
        <v>0.78321420181885304</v>
      </c>
      <c r="U268" s="2" t="str">
        <f>IF(Table1[[#This Row],[Net_Revenue]]&lt;Table1[[#This Row],[Total_Cost]], "Loss", "Gain")</f>
        <v>Gain</v>
      </c>
      <c r="V268" s="16">
        <f>IF(Table1[[#This Row],[Gain/Loss]]="Gain",Table1[[#This Row],[Quantity]], 0)</f>
        <v>1</v>
      </c>
      <c r="W268" s="16">
        <f>IF(Table1[[#This Row],[Gain/Loss]]="Loss",Table1[[#This Row],[Quantity]],0)</f>
        <v>0</v>
      </c>
      <c r="X268" s="16">
        <f>IF(OR(Table1[[#This Row],[Gain/Loss]]="Gain",Table1[[#This Row],[Gain/Loss]]="Loss"),Table1[[#This Row],[Quantity]],"")</f>
        <v>1</v>
      </c>
    </row>
    <row r="269" spans="1:24" x14ac:dyDescent="0.25">
      <c r="A269">
        <v>10268</v>
      </c>
      <c r="B269" s="1">
        <v>45925</v>
      </c>
      <c r="C269" s="1" t="str">
        <f>TEXT(Table1[[#This Row],[Order_Date]],"DD")</f>
        <v>25</v>
      </c>
      <c r="D269" s="1" t="str">
        <f>TEXT(Table1[[#This Row],[Order_Date]],"MMM")</f>
        <v>Sep</v>
      </c>
      <c r="E269" s="1" t="str">
        <f>TEXT(Table1[[#This Row],[Order_Date]],"YYYY")</f>
        <v>2025</v>
      </c>
      <c r="F269">
        <v>3461</v>
      </c>
      <c r="G269" t="s">
        <v>21</v>
      </c>
      <c r="H269" t="s">
        <v>18</v>
      </c>
      <c r="I269" t="s">
        <v>26</v>
      </c>
      <c r="J269" t="s">
        <v>31</v>
      </c>
      <c r="K269">
        <v>5</v>
      </c>
      <c r="L269" s="2">
        <v>88.62</v>
      </c>
      <c r="M269" s="3">
        <v>0.05</v>
      </c>
      <c r="N269" s="2">
        <v>443.1</v>
      </c>
      <c r="O269" s="2">
        <v>22.155000000000001</v>
      </c>
      <c r="P269" s="2">
        <v>420.94499999999999</v>
      </c>
      <c r="Q269" s="2">
        <v>55.4</v>
      </c>
      <c r="R269" s="2">
        <v>277</v>
      </c>
      <c r="S269" s="2">
        <v>143.94499999999999</v>
      </c>
      <c r="T269" s="3">
        <v>0.34195678770385596</v>
      </c>
      <c r="U269" s="2" t="str">
        <f>IF(Table1[[#This Row],[Net_Revenue]]&lt;Table1[[#This Row],[Total_Cost]], "Loss", "Gain")</f>
        <v>Gain</v>
      </c>
      <c r="V269" s="16">
        <f>IF(Table1[[#This Row],[Gain/Loss]]="Gain",Table1[[#This Row],[Quantity]], 0)</f>
        <v>5</v>
      </c>
      <c r="W269" s="16">
        <f>IF(Table1[[#This Row],[Gain/Loss]]="Loss",Table1[[#This Row],[Quantity]],0)</f>
        <v>0</v>
      </c>
      <c r="X269" s="16">
        <f>IF(OR(Table1[[#This Row],[Gain/Loss]]="Gain",Table1[[#This Row],[Gain/Loss]]="Loss"),Table1[[#This Row],[Quantity]],"")</f>
        <v>5</v>
      </c>
    </row>
    <row r="270" spans="1:24" x14ac:dyDescent="0.25">
      <c r="A270">
        <v>10269</v>
      </c>
      <c r="B270" s="1">
        <v>45926</v>
      </c>
      <c r="C270" s="1" t="str">
        <f>TEXT(Table1[[#This Row],[Order_Date]],"DD")</f>
        <v>26</v>
      </c>
      <c r="D270" s="1" t="str">
        <f>TEXT(Table1[[#This Row],[Order_Date]],"MMM")</f>
        <v>Sep</v>
      </c>
      <c r="E270" s="1" t="str">
        <f>TEXT(Table1[[#This Row],[Order_Date]],"YYYY")</f>
        <v>2025</v>
      </c>
      <c r="F270">
        <v>3826</v>
      </c>
      <c r="G270" t="s">
        <v>29</v>
      </c>
      <c r="H270" t="s">
        <v>18</v>
      </c>
      <c r="I270" t="s">
        <v>26</v>
      </c>
      <c r="J270" t="s">
        <v>30</v>
      </c>
      <c r="K270">
        <v>2</v>
      </c>
      <c r="L270" s="2">
        <v>136.66</v>
      </c>
      <c r="M270" s="3">
        <v>0.1</v>
      </c>
      <c r="N270" s="2">
        <v>273.32</v>
      </c>
      <c r="O270" s="2">
        <v>27.332000000000001</v>
      </c>
      <c r="P270" s="2">
        <v>245.988</v>
      </c>
      <c r="Q270" s="2">
        <v>126.74</v>
      </c>
      <c r="R270" s="2">
        <v>253.48</v>
      </c>
      <c r="S270" s="2">
        <v>-7.4919999999999902</v>
      </c>
      <c r="T270" s="3">
        <v>-3.0456770248955101E-2</v>
      </c>
      <c r="U270" s="2" t="str">
        <f>IF(Table1[[#This Row],[Net_Revenue]]&lt;Table1[[#This Row],[Total_Cost]], "Loss", "Gain")</f>
        <v>Loss</v>
      </c>
      <c r="V270" s="16">
        <f>IF(Table1[[#This Row],[Gain/Loss]]="Gain",Table1[[#This Row],[Quantity]], 0)</f>
        <v>0</v>
      </c>
      <c r="W270" s="16">
        <f>IF(Table1[[#This Row],[Gain/Loss]]="Loss",Table1[[#This Row],[Quantity]],0)</f>
        <v>2</v>
      </c>
      <c r="X270" s="16">
        <f>IF(OR(Table1[[#This Row],[Gain/Loss]]="Gain",Table1[[#This Row],[Gain/Loss]]="Loss"),Table1[[#This Row],[Quantity]],"")</f>
        <v>2</v>
      </c>
    </row>
    <row r="271" spans="1:24" x14ac:dyDescent="0.25">
      <c r="A271">
        <v>10270</v>
      </c>
      <c r="B271" s="1">
        <v>45927</v>
      </c>
      <c r="C271" s="1" t="str">
        <f>TEXT(Table1[[#This Row],[Order_Date]],"DD")</f>
        <v>27</v>
      </c>
      <c r="D271" s="1" t="str">
        <f>TEXT(Table1[[#This Row],[Order_Date]],"MMM")</f>
        <v>Sep</v>
      </c>
      <c r="E271" s="1" t="str">
        <f>TEXT(Table1[[#This Row],[Order_Date]],"YYYY")</f>
        <v>2025</v>
      </c>
      <c r="F271">
        <v>3266</v>
      </c>
      <c r="G271" t="s">
        <v>21</v>
      </c>
      <c r="H271" t="s">
        <v>24</v>
      </c>
      <c r="I271" t="s">
        <v>25</v>
      </c>
      <c r="J271" t="s">
        <v>32</v>
      </c>
      <c r="K271">
        <v>4</v>
      </c>
      <c r="L271" s="2">
        <v>228.33</v>
      </c>
      <c r="M271" s="3">
        <v>0.1</v>
      </c>
      <c r="N271" s="2">
        <v>913.32</v>
      </c>
      <c r="O271" s="2">
        <v>91.331999999999994</v>
      </c>
      <c r="P271" s="2">
        <v>821.98800000000006</v>
      </c>
      <c r="Q271" s="2">
        <v>60.73</v>
      </c>
      <c r="R271" s="2">
        <v>242.92</v>
      </c>
      <c r="S271" s="2">
        <v>579.06799999999998</v>
      </c>
      <c r="T271" s="3">
        <v>0.70447257137573804</v>
      </c>
      <c r="U271" s="2" t="str">
        <f>IF(Table1[[#This Row],[Net_Revenue]]&lt;Table1[[#This Row],[Total_Cost]], "Loss", "Gain")</f>
        <v>Gain</v>
      </c>
      <c r="V271" s="16">
        <f>IF(Table1[[#This Row],[Gain/Loss]]="Gain",Table1[[#This Row],[Quantity]], 0)</f>
        <v>4</v>
      </c>
      <c r="W271" s="16">
        <f>IF(Table1[[#This Row],[Gain/Loss]]="Loss",Table1[[#This Row],[Quantity]],0)</f>
        <v>0</v>
      </c>
      <c r="X271" s="16">
        <f>IF(OR(Table1[[#This Row],[Gain/Loss]]="Gain",Table1[[#This Row],[Gain/Loss]]="Loss"),Table1[[#This Row],[Quantity]],"")</f>
        <v>4</v>
      </c>
    </row>
    <row r="272" spans="1:24" x14ac:dyDescent="0.25">
      <c r="A272">
        <v>10271</v>
      </c>
      <c r="B272" s="1">
        <v>45928</v>
      </c>
      <c r="C272" s="1" t="str">
        <f>TEXT(Table1[[#This Row],[Order_Date]],"DD")</f>
        <v>28</v>
      </c>
      <c r="D272" s="1" t="str">
        <f>TEXT(Table1[[#This Row],[Order_Date]],"MMM")</f>
        <v>Sep</v>
      </c>
      <c r="E272" s="1" t="str">
        <f>TEXT(Table1[[#This Row],[Order_Date]],"YYYY")</f>
        <v>2025</v>
      </c>
      <c r="F272">
        <v>3436</v>
      </c>
      <c r="G272" t="s">
        <v>29</v>
      </c>
      <c r="H272" t="s">
        <v>24</v>
      </c>
      <c r="I272" t="s">
        <v>25</v>
      </c>
      <c r="J272" t="s">
        <v>32</v>
      </c>
      <c r="K272">
        <v>7</v>
      </c>
      <c r="L272" s="2">
        <v>84.44</v>
      </c>
      <c r="M272" s="3">
        <v>0.15</v>
      </c>
      <c r="N272" s="2">
        <v>591.07999999999902</v>
      </c>
      <c r="O272" s="2">
        <v>88.661999999999907</v>
      </c>
      <c r="P272" s="2">
        <v>502.41799999999898</v>
      </c>
      <c r="Q272" s="2">
        <v>53.93</v>
      </c>
      <c r="R272" s="2">
        <v>377.51</v>
      </c>
      <c r="S272" s="2">
        <v>124.90799999999901</v>
      </c>
      <c r="T272" s="3">
        <v>0.248613704126842</v>
      </c>
      <c r="U272" s="2" t="str">
        <f>IF(Table1[[#This Row],[Net_Revenue]]&lt;Table1[[#This Row],[Total_Cost]], "Loss", "Gain")</f>
        <v>Gain</v>
      </c>
      <c r="V272" s="16">
        <f>IF(Table1[[#This Row],[Gain/Loss]]="Gain",Table1[[#This Row],[Quantity]], 0)</f>
        <v>7</v>
      </c>
      <c r="W272" s="16">
        <f>IF(Table1[[#This Row],[Gain/Loss]]="Loss",Table1[[#This Row],[Quantity]],0)</f>
        <v>0</v>
      </c>
      <c r="X272" s="16">
        <f>IF(OR(Table1[[#This Row],[Gain/Loss]]="Gain",Table1[[#This Row],[Gain/Loss]]="Loss"),Table1[[#This Row],[Quantity]],"")</f>
        <v>7</v>
      </c>
    </row>
    <row r="273" spans="1:24" x14ac:dyDescent="0.25">
      <c r="A273">
        <v>10272</v>
      </c>
      <c r="B273" s="1">
        <v>45929</v>
      </c>
      <c r="C273" s="1" t="str">
        <f>TEXT(Table1[[#This Row],[Order_Date]],"DD")</f>
        <v>29</v>
      </c>
      <c r="D273" s="1" t="str">
        <f>TEXT(Table1[[#This Row],[Order_Date]],"MMM")</f>
        <v>Sep</v>
      </c>
      <c r="E273" s="1" t="str">
        <f>TEXT(Table1[[#This Row],[Order_Date]],"YYYY")</f>
        <v>2025</v>
      </c>
      <c r="F273">
        <v>3506</v>
      </c>
      <c r="G273" t="s">
        <v>29</v>
      </c>
      <c r="H273" t="s">
        <v>24</v>
      </c>
      <c r="I273" t="s">
        <v>19</v>
      </c>
      <c r="J273" t="s">
        <v>27</v>
      </c>
      <c r="K273">
        <v>2</v>
      </c>
      <c r="L273" s="2">
        <v>149.38999999999999</v>
      </c>
      <c r="M273" s="3">
        <v>0.1</v>
      </c>
      <c r="N273" s="2">
        <v>298.77999999999997</v>
      </c>
      <c r="O273" s="2">
        <v>29.878</v>
      </c>
      <c r="P273" s="2">
        <v>268.90199999999999</v>
      </c>
      <c r="Q273" s="2">
        <v>112.53</v>
      </c>
      <c r="R273" s="2">
        <v>225.06</v>
      </c>
      <c r="S273" s="2">
        <v>43.841999999999899</v>
      </c>
      <c r="T273" s="3">
        <v>0.16304081040676499</v>
      </c>
      <c r="U273" s="2" t="str">
        <f>IF(Table1[[#This Row],[Net_Revenue]]&lt;Table1[[#This Row],[Total_Cost]], "Loss", "Gain")</f>
        <v>Gain</v>
      </c>
      <c r="V273" s="16">
        <f>IF(Table1[[#This Row],[Gain/Loss]]="Gain",Table1[[#This Row],[Quantity]], 0)</f>
        <v>2</v>
      </c>
      <c r="W273" s="16">
        <f>IF(Table1[[#This Row],[Gain/Loss]]="Loss",Table1[[#This Row],[Quantity]],0)</f>
        <v>0</v>
      </c>
      <c r="X273" s="16">
        <f>IF(OR(Table1[[#This Row],[Gain/Loss]]="Gain",Table1[[#This Row],[Gain/Loss]]="Loss"),Table1[[#This Row],[Quantity]],"")</f>
        <v>2</v>
      </c>
    </row>
    <row r="274" spans="1:24" x14ac:dyDescent="0.25">
      <c r="A274">
        <v>10273</v>
      </c>
      <c r="B274" s="1">
        <v>45930</v>
      </c>
      <c r="C274" s="1" t="str">
        <f>TEXT(Table1[[#This Row],[Order_Date]],"DD")</f>
        <v>30</v>
      </c>
      <c r="D274" s="1" t="str">
        <f>TEXT(Table1[[#This Row],[Order_Date]],"MMM")</f>
        <v>Sep</v>
      </c>
      <c r="E274" s="1" t="str">
        <f>TEXT(Table1[[#This Row],[Order_Date]],"YYYY")</f>
        <v>2025</v>
      </c>
      <c r="F274">
        <v>3539</v>
      </c>
      <c r="G274" t="s">
        <v>17</v>
      </c>
      <c r="H274" t="s">
        <v>18</v>
      </c>
      <c r="I274" t="s">
        <v>26</v>
      </c>
      <c r="J274" t="s">
        <v>28</v>
      </c>
      <c r="K274">
        <v>9</v>
      </c>
      <c r="L274" s="2">
        <v>234.18</v>
      </c>
      <c r="M274" s="3">
        <v>0</v>
      </c>
      <c r="N274" s="2">
        <v>2107.62</v>
      </c>
      <c r="O274" s="2">
        <v>0</v>
      </c>
      <c r="P274" s="2">
        <v>2107.62</v>
      </c>
      <c r="Q274" s="2">
        <v>25.12</v>
      </c>
      <c r="R274" s="2">
        <v>226.08</v>
      </c>
      <c r="S274" s="2">
        <v>1881.54</v>
      </c>
      <c r="T274" s="3">
        <v>0.89273208642924207</v>
      </c>
      <c r="U274" s="2" t="str">
        <f>IF(Table1[[#This Row],[Net_Revenue]]&lt;Table1[[#This Row],[Total_Cost]], "Loss", "Gain")</f>
        <v>Gain</v>
      </c>
      <c r="V274" s="16">
        <f>IF(Table1[[#This Row],[Gain/Loss]]="Gain",Table1[[#This Row],[Quantity]], 0)</f>
        <v>9</v>
      </c>
      <c r="W274" s="16">
        <f>IF(Table1[[#This Row],[Gain/Loss]]="Loss",Table1[[#This Row],[Quantity]],0)</f>
        <v>0</v>
      </c>
      <c r="X274" s="16">
        <f>IF(OR(Table1[[#This Row],[Gain/Loss]]="Gain",Table1[[#This Row],[Gain/Loss]]="Loss"),Table1[[#This Row],[Quantity]],"")</f>
        <v>9</v>
      </c>
    </row>
    <row r="275" spans="1:24" x14ac:dyDescent="0.25">
      <c r="A275">
        <v>10274</v>
      </c>
      <c r="B275" s="1">
        <v>45931</v>
      </c>
      <c r="C275" s="1" t="str">
        <f>TEXT(Table1[[#This Row],[Order_Date]],"DD")</f>
        <v>01</v>
      </c>
      <c r="D275" s="1" t="str">
        <f>TEXT(Table1[[#This Row],[Order_Date]],"MMM")</f>
        <v>Oct</v>
      </c>
      <c r="E275" s="1" t="str">
        <f>TEXT(Table1[[#This Row],[Order_Date]],"YYYY")</f>
        <v>2025</v>
      </c>
      <c r="F275">
        <v>3156</v>
      </c>
      <c r="G275" t="s">
        <v>29</v>
      </c>
      <c r="H275" t="s">
        <v>18</v>
      </c>
      <c r="I275" t="s">
        <v>25</v>
      </c>
      <c r="J275" t="s">
        <v>32</v>
      </c>
      <c r="K275">
        <v>2</v>
      </c>
      <c r="L275" s="2">
        <v>238.87</v>
      </c>
      <c r="M275" s="3">
        <v>0.05</v>
      </c>
      <c r="N275" s="2">
        <v>477.74</v>
      </c>
      <c r="O275" s="2">
        <v>23.887</v>
      </c>
      <c r="P275" s="2">
        <v>453.85300000000001</v>
      </c>
      <c r="Q275" s="2">
        <v>51.4</v>
      </c>
      <c r="R275" s="2">
        <v>102.8</v>
      </c>
      <c r="S275" s="2">
        <v>351.053</v>
      </c>
      <c r="T275" s="3">
        <v>0.77349494219493908</v>
      </c>
      <c r="U275" s="2" t="str">
        <f>IF(Table1[[#This Row],[Net_Revenue]]&lt;Table1[[#This Row],[Total_Cost]], "Loss", "Gain")</f>
        <v>Gain</v>
      </c>
      <c r="V275" s="16">
        <f>IF(Table1[[#This Row],[Gain/Loss]]="Gain",Table1[[#This Row],[Quantity]], 0)</f>
        <v>2</v>
      </c>
      <c r="W275" s="16">
        <f>IF(Table1[[#This Row],[Gain/Loss]]="Loss",Table1[[#This Row],[Quantity]],0)</f>
        <v>0</v>
      </c>
      <c r="X275" s="16">
        <f>IF(OR(Table1[[#This Row],[Gain/Loss]]="Gain",Table1[[#This Row],[Gain/Loss]]="Loss"),Table1[[#This Row],[Quantity]],"")</f>
        <v>2</v>
      </c>
    </row>
    <row r="276" spans="1:24" x14ac:dyDescent="0.25">
      <c r="A276">
        <v>10275</v>
      </c>
      <c r="B276" s="1">
        <v>45932</v>
      </c>
      <c r="C276" s="1" t="str">
        <f>TEXT(Table1[[#This Row],[Order_Date]],"DD")</f>
        <v>02</v>
      </c>
      <c r="D276" s="1" t="str">
        <f>TEXT(Table1[[#This Row],[Order_Date]],"MMM")</f>
        <v>Oct</v>
      </c>
      <c r="E276" s="1" t="str">
        <f>TEXT(Table1[[#This Row],[Order_Date]],"YYYY")</f>
        <v>2025</v>
      </c>
      <c r="F276">
        <v>3008</v>
      </c>
      <c r="G276" t="s">
        <v>23</v>
      </c>
      <c r="H276" t="s">
        <v>18</v>
      </c>
      <c r="I276" t="s">
        <v>33</v>
      </c>
      <c r="J276" t="s">
        <v>20</v>
      </c>
      <c r="K276">
        <v>4</v>
      </c>
      <c r="L276" s="2">
        <v>173.22</v>
      </c>
      <c r="M276" s="3">
        <v>0</v>
      </c>
      <c r="N276" s="2">
        <v>692.88</v>
      </c>
      <c r="O276" s="2">
        <v>0</v>
      </c>
      <c r="P276" s="2">
        <v>692.88</v>
      </c>
      <c r="Q276" s="2">
        <v>84.87</v>
      </c>
      <c r="R276" s="2">
        <v>339.48</v>
      </c>
      <c r="S276" s="2">
        <v>353.4</v>
      </c>
      <c r="T276" s="3">
        <v>0.51004502944232699</v>
      </c>
      <c r="U276" s="2" t="str">
        <f>IF(Table1[[#This Row],[Net_Revenue]]&lt;Table1[[#This Row],[Total_Cost]], "Loss", "Gain")</f>
        <v>Gain</v>
      </c>
      <c r="V276" s="16">
        <f>IF(Table1[[#This Row],[Gain/Loss]]="Gain",Table1[[#This Row],[Quantity]], 0)</f>
        <v>4</v>
      </c>
      <c r="W276" s="16">
        <f>IF(Table1[[#This Row],[Gain/Loss]]="Loss",Table1[[#This Row],[Quantity]],0)</f>
        <v>0</v>
      </c>
      <c r="X276" s="16">
        <f>IF(OR(Table1[[#This Row],[Gain/Loss]]="Gain",Table1[[#This Row],[Gain/Loss]]="Loss"),Table1[[#This Row],[Quantity]],"")</f>
        <v>4</v>
      </c>
    </row>
    <row r="277" spans="1:24" x14ac:dyDescent="0.25">
      <c r="A277">
        <v>10276</v>
      </c>
      <c r="B277" s="1">
        <v>45933</v>
      </c>
      <c r="C277" s="1" t="str">
        <f>TEXT(Table1[[#This Row],[Order_Date]],"DD")</f>
        <v>03</v>
      </c>
      <c r="D277" s="1" t="str">
        <f>TEXT(Table1[[#This Row],[Order_Date]],"MMM")</f>
        <v>Oct</v>
      </c>
      <c r="E277" s="1" t="str">
        <f>TEXT(Table1[[#This Row],[Order_Date]],"YYYY")</f>
        <v>2025</v>
      </c>
      <c r="F277">
        <v>3759</v>
      </c>
      <c r="G277" t="s">
        <v>17</v>
      </c>
      <c r="H277" t="s">
        <v>24</v>
      </c>
      <c r="I277" t="s">
        <v>25</v>
      </c>
      <c r="J277" t="s">
        <v>22</v>
      </c>
      <c r="K277">
        <v>2</v>
      </c>
      <c r="L277" s="2">
        <v>245.35</v>
      </c>
      <c r="M277" s="3">
        <v>0.1</v>
      </c>
      <c r="N277" s="2">
        <v>490.7</v>
      </c>
      <c r="O277" s="2">
        <v>49.07</v>
      </c>
      <c r="P277" s="2">
        <v>441.63</v>
      </c>
      <c r="Q277" s="2">
        <v>55.22</v>
      </c>
      <c r="R277" s="2">
        <v>110.44</v>
      </c>
      <c r="S277" s="2">
        <v>331.19</v>
      </c>
      <c r="T277" s="3">
        <v>0.74992640898489593</v>
      </c>
      <c r="U277" s="2" t="str">
        <f>IF(Table1[[#This Row],[Net_Revenue]]&lt;Table1[[#This Row],[Total_Cost]], "Loss", "Gain")</f>
        <v>Gain</v>
      </c>
      <c r="V277" s="16">
        <f>IF(Table1[[#This Row],[Gain/Loss]]="Gain",Table1[[#This Row],[Quantity]], 0)</f>
        <v>2</v>
      </c>
      <c r="W277" s="16">
        <f>IF(Table1[[#This Row],[Gain/Loss]]="Loss",Table1[[#This Row],[Quantity]],0)</f>
        <v>0</v>
      </c>
      <c r="X277" s="16">
        <f>IF(OR(Table1[[#This Row],[Gain/Loss]]="Gain",Table1[[#This Row],[Gain/Loss]]="Loss"),Table1[[#This Row],[Quantity]],"")</f>
        <v>2</v>
      </c>
    </row>
    <row r="278" spans="1:24" x14ac:dyDescent="0.25">
      <c r="A278">
        <v>10277</v>
      </c>
      <c r="B278" s="1">
        <v>45934</v>
      </c>
      <c r="C278" s="1" t="str">
        <f>TEXT(Table1[[#This Row],[Order_Date]],"DD")</f>
        <v>04</v>
      </c>
      <c r="D278" s="1" t="str">
        <f>TEXT(Table1[[#This Row],[Order_Date]],"MMM")</f>
        <v>Oct</v>
      </c>
      <c r="E278" s="1" t="str">
        <f>TEXT(Table1[[#This Row],[Order_Date]],"YYYY")</f>
        <v>2025</v>
      </c>
      <c r="F278">
        <v>3481</v>
      </c>
      <c r="G278" t="s">
        <v>23</v>
      </c>
      <c r="H278" t="s">
        <v>18</v>
      </c>
      <c r="I278" t="s">
        <v>25</v>
      </c>
      <c r="J278" t="s">
        <v>22</v>
      </c>
      <c r="K278">
        <v>5</v>
      </c>
      <c r="L278" s="2">
        <v>196.22</v>
      </c>
      <c r="M278" s="3">
        <v>0.1</v>
      </c>
      <c r="N278" s="2">
        <v>981.1</v>
      </c>
      <c r="O278" s="2">
        <v>98.11</v>
      </c>
      <c r="P278" s="2">
        <v>882.99</v>
      </c>
      <c r="Q278" s="2">
        <v>91.7</v>
      </c>
      <c r="R278" s="2">
        <v>458.5</v>
      </c>
      <c r="S278" s="2">
        <v>424.49</v>
      </c>
      <c r="T278" s="3">
        <v>0.480741571252222</v>
      </c>
      <c r="U278" s="2" t="str">
        <f>IF(Table1[[#This Row],[Net_Revenue]]&lt;Table1[[#This Row],[Total_Cost]], "Loss", "Gain")</f>
        <v>Gain</v>
      </c>
      <c r="V278" s="16">
        <f>IF(Table1[[#This Row],[Gain/Loss]]="Gain",Table1[[#This Row],[Quantity]], 0)</f>
        <v>5</v>
      </c>
      <c r="W278" s="16">
        <f>IF(Table1[[#This Row],[Gain/Loss]]="Loss",Table1[[#This Row],[Quantity]],0)</f>
        <v>0</v>
      </c>
      <c r="X278" s="16">
        <f>IF(OR(Table1[[#This Row],[Gain/Loss]]="Gain",Table1[[#This Row],[Gain/Loss]]="Loss"),Table1[[#This Row],[Quantity]],"")</f>
        <v>5</v>
      </c>
    </row>
    <row r="279" spans="1:24" x14ac:dyDescent="0.25">
      <c r="A279">
        <v>10278</v>
      </c>
      <c r="B279" s="1">
        <v>45935</v>
      </c>
      <c r="C279" s="1" t="str">
        <f>TEXT(Table1[[#This Row],[Order_Date]],"DD")</f>
        <v>05</v>
      </c>
      <c r="D279" s="1" t="str">
        <f>TEXT(Table1[[#This Row],[Order_Date]],"MMM")</f>
        <v>Oct</v>
      </c>
      <c r="E279" s="1" t="str">
        <f>TEXT(Table1[[#This Row],[Order_Date]],"YYYY")</f>
        <v>2025</v>
      </c>
      <c r="F279">
        <v>3612</v>
      </c>
      <c r="G279" t="s">
        <v>17</v>
      </c>
      <c r="H279" t="s">
        <v>24</v>
      </c>
      <c r="I279" t="s">
        <v>19</v>
      </c>
      <c r="J279" t="s">
        <v>27</v>
      </c>
      <c r="K279">
        <v>8</v>
      </c>
      <c r="L279" s="2">
        <v>243.74</v>
      </c>
      <c r="M279" s="3">
        <v>0.2</v>
      </c>
      <c r="N279" s="2">
        <v>1949.92</v>
      </c>
      <c r="O279" s="2">
        <v>389.98399999999998</v>
      </c>
      <c r="P279" s="2">
        <v>1559.9359999999999</v>
      </c>
      <c r="Q279" s="2">
        <v>92.22</v>
      </c>
      <c r="R279" s="2">
        <v>737.76</v>
      </c>
      <c r="S279" s="2">
        <v>822.17600000000004</v>
      </c>
      <c r="T279" s="3">
        <v>0.52705752030852504</v>
      </c>
      <c r="U279" s="2" t="str">
        <f>IF(Table1[[#This Row],[Net_Revenue]]&lt;Table1[[#This Row],[Total_Cost]], "Loss", "Gain")</f>
        <v>Gain</v>
      </c>
      <c r="V279" s="16">
        <f>IF(Table1[[#This Row],[Gain/Loss]]="Gain",Table1[[#This Row],[Quantity]], 0)</f>
        <v>8</v>
      </c>
      <c r="W279" s="16">
        <f>IF(Table1[[#This Row],[Gain/Loss]]="Loss",Table1[[#This Row],[Quantity]],0)</f>
        <v>0</v>
      </c>
      <c r="X279" s="16">
        <f>IF(OR(Table1[[#This Row],[Gain/Loss]]="Gain",Table1[[#This Row],[Gain/Loss]]="Loss"),Table1[[#This Row],[Quantity]],"")</f>
        <v>8</v>
      </c>
    </row>
    <row r="280" spans="1:24" x14ac:dyDescent="0.25">
      <c r="A280">
        <v>10279</v>
      </c>
      <c r="B280" s="1">
        <v>45936</v>
      </c>
      <c r="C280" s="1" t="str">
        <f>TEXT(Table1[[#This Row],[Order_Date]],"DD")</f>
        <v>06</v>
      </c>
      <c r="D280" s="1" t="str">
        <f>TEXT(Table1[[#This Row],[Order_Date]],"MMM")</f>
        <v>Oct</v>
      </c>
      <c r="E280" s="1" t="str">
        <f>TEXT(Table1[[#This Row],[Order_Date]],"YYYY")</f>
        <v>2025</v>
      </c>
      <c r="F280">
        <v>3985</v>
      </c>
      <c r="G280" t="s">
        <v>23</v>
      </c>
      <c r="H280" t="s">
        <v>18</v>
      </c>
      <c r="I280" t="s">
        <v>19</v>
      </c>
      <c r="J280" t="s">
        <v>27</v>
      </c>
      <c r="K280">
        <v>4</v>
      </c>
      <c r="L280" s="2">
        <v>171.14</v>
      </c>
      <c r="M280" s="3">
        <v>0.15</v>
      </c>
      <c r="N280" s="2">
        <v>684.56</v>
      </c>
      <c r="O280" s="2">
        <v>102.683999999999</v>
      </c>
      <c r="P280" s="2">
        <v>581.87599999999998</v>
      </c>
      <c r="Q280" s="2">
        <v>25.49</v>
      </c>
      <c r="R280" s="2">
        <v>101.96</v>
      </c>
      <c r="S280" s="2">
        <v>479.916</v>
      </c>
      <c r="T280" s="3">
        <v>0.824773663117227</v>
      </c>
      <c r="U280" s="2" t="str">
        <f>IF(Table1[[#This Row],[Net_Revenue]]&lt;Table1[[#This Row],[Total_Cost]], "Loss", "Gain")</f>
        <v>Gain</v>
      </c>
      <c r="V280" s="16">
        <f>IF(Table1[[#This Row],[Gain/Loss]]="Gain",Table1[[#This Row],[Quantity]], 0)</f>
        <v>4</v>
      </c>
      <c r="W280" s="16">
        <f>IF(Table1[[#This Row],[Gain/Loss]]="Loss",Table1[[#This Row],[Quantity]],0)</f>
        <v>0</v>
      </c>
      <c r="X280" s="16">
        <f>IF(OR(Table1[[#This Row],[Gain/Loss]]="Gain",Table1[[#This Row],[Gain/Loss]]="Loss"),Table1[[#This Row],[Quantity]],"")</f>
        <v>4</v>
      </c>
    </row>
    <row r="281" spans="1:24" x14ac:dyDescent="0.25">
      <c r="A281">
        <v>10280</v>
      </c>
      <c r="B281" s="1">
        <v>45937</v>
      </c>
      <c r="C281" s="1" t="str">
        <f>TEXT(Table1[[#This Row],[Order_Date]],"DD")</f>
        <v>07</v>
      </c>
      <c r="D281" s="1" t="str">
        <f>TEXT(Table1[[#This Row],[Order_Date]],"MMM")</f>
        <v>Oct</v>
      </c>
      <c r="E281" s="1" t="str">
        <f>TEXT(Table1[[#This Row],[Order_Date]],"YYYY")</f>
        <v>2025</v>
      </c>
      <c r="F281">
        <v>3428</v>
      </c>
      <c r="G281" t="s">
        <v>29</v>
      </c>
      <c r="H281" t="s">
        <v>24</v>
      </c>
      <c r="I281" t="s">
        <v>19</v>
      </c>
      <c r="J281" t="s">
        <v>27</v>
      </c>
      <c r="K281">
        <v>4</v>
      </c>
      <c r="L281" s="2">
        <v>166.76</v>
      </c>
      <c r="M281" s="3">
        <v>0</v>
      </c>
      <c r="N281" s="2">
        <v>667.04</v>
      </c>
      <c r="O281" s="2">
        <v>0</v>
      </c>
      <c r="P281" s="2">
        <v>667.04</v>
      </c>
      <c r="Q281" s="2">
        <v>24.35</v>
      </c>
      <c r="R281" s="2">
        <v>97.4</v>
      </c>
      <c r="S281" s="2">
        <v>569.64</v>
      </c>
      <c r="T281" s="3">
        <v>0.85398177020868304</v>
      </c>
      <c r="U281" s="2" t="str">
        <f>IF(Table1[[#This Row],[Net_Revenue]]&lt;Table1[[#This Row],[Total_Cost]], "Loss", "Gain")</f>
        <v>Gain</v>
      </c>
      <c r="V281" s="16">
        <f>IF(Table1[[#This Row],[Gain/Loss]]="Gain",Table1[[#This Row],[Quantity]], 0)</f>
        <v>4</v>
      </c>
      <c r="W281" s="16">
        <f>IF(Table1[[#This Row],[Gain/Loss]]="Loss",Table1[[#This Row],[Quantity]],0)</f>
        <v>0</v>
      </c>
      <c r="X281" s="16">
        <f>IF(OR(Table1[[#This Row],[Gain/Loss]]="Gain",Table1[[#This Row],[Gain/Loss]]="Loss"),Table1[[#This Row],[Quantity]],"")</f>
        <v>4</v>
      </c>
    </row>
    <row r="282" spans="1:24" x14ac:dyDescent="0.25">
      <c r="A282">
        <v>10281</v>
      </c>
      <c r="B282" s="1">
        <v>45938</v>
      </c>
      <c r="C282" s="1" t="str">
        <f>TEXT(Table1[[#This Row],[Order_Date]],"DD")</f>
        <v>08</v>
      </c>
      <c r="D282" s="1" t="str">
        <f>TEXT(Table1[[#This Row],[Order_Date]],"MMM")</f>
        <v>Oct</v>
      </c>
      <c r="E282" s="1" t="str">
        <f>TEXT(Table1[[#This Row],[Order_Date]],"YYYY")</f>
        <v>2025</v>
      </c>
      <c r="F282">
        <v>3766</v>
      </c>
      <c r="G282" t="s">
        <v>29</v>
      </c>
      <c r="H282" t="s">
        <v>24</v>
      </c>
      <c r="I282" t="s">
        <v>25</v>
      </c>
      <c r="J282" t="s">
        <v>32</v>
      </c>
      <c r="K282">
        <v>1</v>
      </c>
      <c r="L282" s="2">
        <v>23.87</v>
      </c>
      <c r="M282" s="3">
        <v>0</v>
      </c>
      <c r="N282" s="2">
        <v>23.87</v>
      </c>
      <c r="O282" s="2">
        <v>0</v>
      </c>
      <c r="P282" s="2">
        <v>23.87</v>
      </c>
      <c r="Q282" s="2">
        <v>118.72</v>
      </c>
      <c r="R282" s="2">
        <v>118.72</v>
      </c>
      <c r="S282" s="2">
        <v>-94.85</v>
      </c>
      <c r="T282" s="3">
        <v>-3.9736070381231601</v>
      </c>
      <c r="U282" s="2" t="str">
        <f>IF(Table1[[#This Row],[Net_Revenue]]&lt;Table1[[#This Row],[Total_Cost]], "Loss", "Gain")</f>
        <v>Loss</v>
      </c>
      <c r="V282" s="16">
        <f>IF(Table1[[#This Row],[Gain/Loss]]="Gain",Table1[[#This Row],[Quantity]], 0)</f>
        <v>0</v>
      </c>
      <c r="W282" s="16">
        <f>IF(Table1[[#This Row],[Gain/Loss]]="Loss",Table1[[#This Row],[Quantity]],0)</f>
        <v>1</v>
      </c>
      <c r="X282" s="16">
        <f>IF(OR(Table1[[#This Row],[Gain/Loss]]="Gain",Table1[[#This Row],[Gain/Loss]]="Loss"),Table1[[#This Row],[Quantity]],"")</f>
        <v>1</v>
      </c>
    </row>
    <row r="283" spans="1:24" x14ac:dyDescent="0.25">
      <c r="A283">
        <v>10282</v>
      </c>
      <c r="B283" s="1">
        <v>45939</v>
      </c>
      <c r="C283" s="1" t="str">
        <f>TEXT(Table1[[#This Row],[Order_Date]],"DD")</f>
        <v>09</v>
      </c>
      <c r="D283" s="1" t="str">
        <f>TEXT(Table1[[#This Row],[Order_Date]],"MMM")</f>
        <v>Oct</v>
      </c>
      <c r="E283" s="1" t="str">
        <f>TEXT(Table1[[#This Row],[Order_Date]],"YYYY")</f>
        <v>2025</v>
      </c>
      <c r="F283">
        <v>3947</v>
      </c>
      <c r="G283" t="s">
        <v>21</v>
      </c>
      <c r="H283" t="s">
        <v>18</v>
      </c>
      <c r="I283" t="s">
        <v>26</v>
      </c>
      <c r="J283" t="s">
        <v>31</v>
      </c>
      <c r="K283">
        <v>9</v>
      </c>
      <c r="L283" s="2">
        <v>127.52</v>
      </c>
      <c r="M283" s="3">
        <v>0.1</v>
      </c>
      <c r="N283" s="2">
        <v>1147.68</v>
      </c>
      <c r="O283" s="2">
        <v>114.768</v>
      </c>
      <c r="P283" s="2">
        <v>1032.912</v>
      </c>
      <c r="Q283" s="2">
        <v>65.52</v>
      </c>
      <c r="R283" s="2">
        <v>589.67999999999995</v>
      </c>
      <c r="S283" s="2">
        <v>443.23200000000003</v>
      </c>
      <c r="T283" s="3">
        <v>0.429109159347553</v>
      </c>
      <c r="U283" s="2" t="str">
        <f>IF(Table1[[#This Row],[Net_Revenue]]&lt;Table1[[#This Row],[Total_Cost]], "Loss", "Gain")</f>
        <v>Gain</v>
      </c>
      <c r="V283" s="16">
        <f>IF(Table1[[#This Row],[Gain/Loss]]="Gain",Table1[[#This Row],[Quantity]], 0)</f>
        <v>9</v>
      </c>
      <c r="W283" s="16">
        <f>IF(Table1[[#This Row],[Gain/Loss]]="Loss",Table1[[#This Row],[Quantity]],0)</f>
        <v>0</v>
      </c>
      <c r="X283" s="16">
        <f>IF(OR(Table1[[#This Row],[Gain/Loss]]="Gain",Table1[[#This Row],[Gain/Loss]]="Loss"),Table1[[#This Row],[Quantity]],"")</f>
        <v>9</v>
      </c>
    </row>
    <row r="284" spans="1:24" x14ac:dyDescent="0.25">
      <c r="A284">
        <v>10283</v>
      </c>
      <c r="B284" s="1">
        <v>45940</v>
      </c>
      <c r="C284" s="1" t="str">
        <f>TEXT(Table1[[#This Row],[Order_Date]],"DD")</f>
        <v>10</v>
      </c>
      <c r="D284" s="1" t="str">
        <f>TEXT(Table1[[#This Row],[Order_Date]],"MMM")</f>
        <v>Oct</v>
      </c>
      <c r="E284" s="1" t="str">
        <f>TEXT(Table1[[#This Row],[Order_Date]],"YYYY")</f>
        <v>2025</v>
      </c>
      <c r="F284">
        <v>3822</v>
      </c>
      <c r="G284" t="s">
        <v>17</v>
      </c>
      <c r="H284" t="s">
        <v>24</v>
      </c>
      <c r="I284" t="s">
        <v>19</v>
      </c>
      <c r="J284" t="s">
        <v>27</v>
      </c>
      <c r="K284">
        <v>9</v>
      </c>
      <c r="L284" s="2">
        <v>89.34</v>
      </c>
      <c r="M284" s="3">
        <v>0.05</v>
      </c>
      <c r="N284" s="2">
        <v>804.06</v>
      </c>
      <c r="O284" s="2">
        <v>40.203000000000003</v>
      </c>
      <c r="P284" s="2">
        <v>763.85699999999997</v>
      </c>
      <c r="Q284" s="2">
        <v>26.63</v>
      </c>
      <c r="R284" s="2">
        <v>239.67</v>
      </c>
      <c r="S284" s="2">
        <v>524.18700000000001</v>
      </c>
      <c r="T284" s="3">
        <v>0.68623708364261904</v>
      </c>
      <c r="U284" s="2" t="str">
        <f>IF(Table1[[#This Row],[Net_Revenue]]&lt;Table1[[#This Row],[Total_Cost]], "Loss", "Gain")</f>
        <v>Gain</v>
      </c>
      <c r="V284" s="16">
        <f>IF(Table1[[#This Row],[Gain/Loss]]="Gain",Table1[[#This Row],[Quantity]], 0)</f>
        <v>9</v>
      </c>
      <c r="W284" s="16">
        <f>IF(Table1[[#This Row],[Gain/Loss]]="Loss",Table1[[#This Row],[Quantity]],0)</f>
        <v>0</v>
      </c>
      <c r="X284" s="16">
        <f>IF(OR(Table1[[#This Row],[Gain/Loss]]="Gain",Table1[[#This Row],[Gain/Loss]]="Loss"),Table1[[#This Row],[Quantity]],"")</f>
        <v>9</v>
      </c>
    </row>
    <row r="285" spans="1:24" x14ac:dyDescent="0.25">
      <c r="A285">
        <v>10284</v>
      </c>
      <c r="B285" s="1">
        <v>45941</v>
      </c>
      <c r="C285" s="1" t="str">
        <f>TEXT(Table1[[#This Row],[Order_Date]],"DD")</f>
        <v>11</v>
      </c>
      <c r="D285" s="1" t="str">
        <f>TEXT(Table1[[#This Row],[Order_Date]],"MMM")</f>
        <v>Oct</v>
      </c>
      <c r="E285" s="1" t="str">
        <f>TEXT(Table1[[#This Row],[Order_Date]],"YYYY")</f>
        <v>2025</v>
      </c>
      <c r="F285">
        <v>3298</v>
      </c>
      <c r="G285" t="s">
        <v>23</v>
      </c>
      <c r="H285" t="s">
        <v>18</v>
      </c>
      <c r="I285" t="s">
        <v>25</v>
      </c>
      <c r="J285" t="s">
        <v>32</v>
      </c>
      <c r="K285">
        <v>9</v>
      </c>
      <c r="L285" s="2">
        <v>20.84</v>
      </c>
      <c r="M285" s="3">
        <v>0.15</v>
      </c>
      <c r="N285" s="2">
        <v>187.56</v>
      </c>
      <c r="O285" s="2">
        <v>28.134</v>
      </c>
      <c r="P285" s="2">
        <v>159.42599999999999</v>
      </c>
      <c r="Q285" s="2">
        <v>16.079999999999998</v>
      </c>
      <c r="R285" s="2">
        <v>144.719999999999</v>
      </c>
      <c r="S285" s="2">
        <v>14.706</v>
      </c>
      <c r="T285" s="3">
        <v>9.2243423281020698E-2</v>
      </c>
      <c r="U285" s="2" t="str">
        <f>IF(Table1[[#This Row],[Net_Revenue]]&lt;Table1[[#This Row],[Total_Cost]], "Loss", "Gain")</f>
        <v>Gain</v>
      </c>
      <c r="V285" s="16">
        <f>IF(Table1[[#This Row],[Gain/Loss]]="Gain",Table1[[#This Row],[Quantity]], 0)</f>
        <v>9</v>
      </c>
      <c r="W285" s="16">
        <f>IF(Table1[[#This Row],[Gain/Loss]]="Loss",Table1[[#This Row],[Quantity]],0)</f>
        <v>0</v>
      </c>
      <c r="X285" s="16">
        <f>IF(OR(Table1[[#This Row],[Gain/Loss]]="Gain",Table1[[#This Row],[Gain/Loss]]="Loss"),Table1[[#This Row],[Quantity]],"")</f>
        <v>9</v>
      </c>
    </row>
    <row r="286" spans="1:24" x14ac:dyDescent="0.25">
      <c r="A286">
        <v>10285</v>
      </c>
      <c r="B286" s="1">
        <v>45942</v>
      </c>
      <c r="C286" s="1" t="str">
        <f>TEXT(Table1[[#This Row],[Order_Date]],"DD")</f>
        <v>12</v>
      </c>
      <c r="D286" s="1" t="str">
        <f>TEXT(Table1[[#This Row],[Order_Date]],"MMM")</f>
        <v>Oct</v>
      </c>
      <c r="E286" s="1" t="str">
        <f>TEXT(Table1[[#This Row],[Order_Date]],"YYYY")</f>
        <v>2025</v>
      </c>
      <c r="F286">
        <v>3348</v>
      </c>
      <c r="G286" t="s">
        <v>21</v>
      </c>
      <c r="H286" t="s">
        <v>18</v>
      </c>
      <c r="I286" t="s">
        <v>26</v>
      </c>
      <c r="J286" t="s">
        <v>31</v>
      </c>
      <c r="K286">
        <v>6</v>
      </c>
      <c r="L286" s="2">
        <v>162.44999999999999</v>
      </c>
      <c r="M286" s="3">
        <v>0.1</v>
      </c>
      <c r="N286" s="2">
        <v>974.69999999999902</v>
      </c>
      <c r="O286" s="2">
        <v>97.47</v>
      </c>
      <c r="P286" s="2">
        <v>877.229999999999</v>
      </c>
      <c r="Q286" s="2">
        <v>65.739999999999995</v>
      </c>
      <c r="R286" s="2">
        <v>394.43999999999897</v>
      </c>
      <c r="S286" s="2">
        <v>482.789999999999</v>
      </c>
      <c r="T286" s="3">
        <v>0.55035737491877801</v>
      </c>
      <c r="U286" s="2" t="str">
        <f>IF(Table1[[#This Row],[Net_Revenue]]&lt;Table1[[#This Row],[Total_Cost]], "Loss", "Gain")</f>
        <v>Gain</v>
      </c>
      <c r="V286" s="16">
        <f>IF(Table1[[#This Row],[Gain/Loss]]="Gain",Table1[[#This Row],[Quantity]], 0)</f>
        <v>6</v>
      </c>
      <c r="W286" s="16">
        <f>IF(Table1[[#This Row],[Gain/Loss]]="Loss",Table1[[#This Row],[Quantity]],0)</f>
        <v>0</v>
      </c>
      <c r="X286" s="16">
        <f>IF(OR(Table1[[#This Row],[Gain/Loss]]="Gain",Table1[[#This Row],[Gain/Loss]]="Loss"),Table1[[#This Row],[Quantity]],"")</f>
        <v>6</v>
      </c>
    </row>
    <row r="287" spans="1:24" x14ac:dyDescent="0.25">
      <c r="A287">
        <v>10286</v>
      </c>
      <c r="B287" s="1">
        <v>45943</v>
      </c>
      <c r="C287" s="1" t="str">
        <f>TEXT(Table1[[#This Row],[Order_Date]],"DD")</f>
        <v>13</v>
      </c>
      <c r="D287" s="1" t="str">
        <f>TEXT(Table1[[#This Row],[Order_Date]],"MMM")</f>
        <v>Oct</v>
      </c>
      <c r="E287" s="1" t="str">
        <f>TEXT(Table1[[#This Row],[Order_Date]],"YYYY")</f>
        <v>2025</v>
      </c>
      <c r="F287">
        <v>3519</v>
      </c>
      <c r="G287" t="s">
        <v>23</v>
      </c>
      <c r="H287" t="s">
        <v>18</v>
      </c>
      <c r="I287" t="s">
        <v>19</v>
      </c>
      <c r="J287" t="s">
        <v>27</v>
      </c>
      <c r="K287">
        <v>7</v>
      </c>
      <c r="L287" s="2">
        <v>243.09</v>
      </c>
      <c r="M287" s="3">
        <v>0</v>
      </c>
      <c r="N287" s="2">
        <v>1701.63</v>
      </c>
      <c r="O287" s="2">
        <v>0</v>
      </c>
      <c r="P287" s="2">
        <v>1701.63</v>
      </c>
      <c r="Q287" s="2">
        <v>127.11</v>
      </c>
      <c r="R287" s="2">
        <v>889.77</v>
      </c>
      <c r="S287" s="2">
        <v>811.86</v>
      </c>
      <c r="T287" s="3">
        <v>0.47710724423053102</v>
      </c>
      <c r="U287" s="2" t="str">
        <f>IF(Table1[[#This Row],[Net_Revenue]]&lt;Table1[[#This Row],[Total_Cost]], "Loss", "Gain")</f>
        <v>Gain</v>
      </c>
      <c r="V287" s="16">
        <f>IF(Table1[[#This Row],[Gain/Loss]]="Gain",Table1[[#This Row],[Quantity]], 0)</f>
        <v>7</v>
      </c>
      <c r="W287" s="16">
        <f>IF(Table1[[#This Row],[Gain/Loss]]="Loss",Table1[[#This Row],[Quantity]],0)</f>
        <v>0</v>
      </c>
      <c r="X287" s="16">
        <f>IF(OR(Table1[[#This Row],[Gain/Loss]]="Gain",Table1[[#This Row],[Gain/Loss]]="Loss"),Table1[[#This Row],[Quantity]],"")</f>
        <v>7</v>
      </c>
    </row>
    <row r="288" spans="1:24" x14ac:dyDescent="0.25">
      <c r="A288">
        <v>10287</v>
      </c>
      <c r="B288" s="1">
        <v>45944</v>
      </c>
      <c r="C288" s="1" t="str">
        <f>TEXT(Table1[[#This Row],[Order_Date]],"DD")</f>
        <v>14</v>
      </c>
      <c r="D288" s="1" t="str">
        <f>TEXT(Table1[[#This Row],[Order_Date]],"MMM")</f>
        <v>Oct</v>
      </c>
      <c r="E288" s="1" t="str">
        <f>TEXT(Table1[[#This Row],[Order_Date]],"YYYY")</f>
        <v>2025</v>
      </c>
      <c r="F288">
        <v>3753</v>
      </c>
      <c r="G288" t="s">
        <v>21</v>
      </c>
      <c r="H288" t="s">
        <v>24</v>
      </c>
      <c r="I288" t="s">
        <v>26</v>
      </c>
      <c r="J288" t="s">
        <v>31</v>
      </c>
      <c r="K288">
        <v>7</v>
      </c>
      <c r="L288" s="2">
        <v>147.22999999999999</v>
      </c>
      <c r="M288" s="3">
        <v>0</v>
      </c>
      <c r="N288" s="2">
        <v>1030.6099999999999</v>
      </c>
      <c r="O288" s="2">
        <v>0</v>
      </c>
      <c r="P288" s="2">
        <v>1030.6099999999999</v>
      </c>
      <c r="Q288" s="2">
        <v>34.74</v>
      </c>
      <c r="R288" s="2">
        <v>243.18</v>
      </c>
      <c r="S288" s="2">
        <v>787.42999999999904</v>
      </c>
      <c r="T288" s="3">
        <v>0.76404265435033591</v>
      </c>
      <c r="U288" s="2" t="str">
        <f>IF(Table1[[#This Row],[Net_Revenue]]&lt;Table1[[#This Row],[Total_Cost]], "Loss", "Gain")</f>
        <v>Gain</v>
      </c>
      <c r="V288" s="16">
        <f>IF(Table1[[#This Row],[Gain/Loss]]="Gain",Table1[[#This Row],[Quantity]], 0)</f>
        <v>7</v>
      </c>
      <c r="W288" s="16">
        <f>IF(Table1[[#This Row],[Gain/Loss]]="Loss",Table1[[#This Row],[Quantity]],0)</f>
        <v>0</v>
      </c>
      <c r="X288" s="16">
        <f>IF(OR(Table1[[#This Row],[Gain/Loss]]="Gain",Table1[[#This Row],[Gain/Loss]]="Loss"),Table1[[#This Row],[Quantity]],"")</f>
        <v>7</v>
      </c>
    </row>
    <row r="289" spans="1:24" x14ac:dyDescent="0.25">
      <c r="A289">
        <v>10288</v>
      </c>
      <c r="B289" s="1">
        <v>45945</v>
      </c>
      <c r="C289" s="1" t="str">
        <f>TEXT(Table1[[#This Row],[Order_Date]],"DD")</f>
        <v>15</v>
      </c>
      <c r="D289" s="1" t="str">
        <f>TEXT(Table1[[#This Row],[Order_Date]],"MMM")</f>
        <v>Oct</v>
      </c>
      <c r="E289" s="1" t="str">
        <f>TEXT(Table1[[#This Row],[Order_Date]],"YYYY")</f>
        <v>2025</v>
      </c>
      <c r="F289">
        <v>3143</v>
      </c>
      <c r="G289" t="s">
        <v>21</v>
      </c>
      <c r="H289" t="s">
        <v>24</v>
      </c>
      <c r="I289" t="s">
        <v>25</v>
      </c>
      <c r="J289" t="s">
        <v>32</v>
      </c>
      <c r="K289">
        <v>2</v>
      </c>
      <c r="L289" s="2">
        <v>95.12</v>
      </c>
      <c r="M289" s="3">
        <v>0.1</v>
      </c>
      <c r="N289" s="2">
        <v>190.24</v>
      </c>
      <c r="O289" s="2">
        <v>19.024000000000001</v>
      </c>
      <c r="P289" s="2">
        <v>171.21600000000001</v>
      </c>
      <c r="Q289" s="2">
        <v>149.28</v>
      </c>
      <c r="R289" s="2">
        <v>298.56</v>
      </c>
      <c r="S289" s="2">
        <v>-127.34399999999999</v>
      </c>
      <c r="T289" s="3">
        <v>-0.74376226520885891</v>
      </c>
      <c r="U289" s="2" t="str">
        <f>IF(Table1[[#This Row],[Net_Revenue]]&lt;Table1[[#This Row],[Total_Cost]], "Loss", "Gain")</f>
        <v>Loss</v>
      </c>
      <c r="V289" s="16">
        <f>IF(Table1[[#This Row],[Gain/Loss]]="Gain",Table1[[#This Row],[Quantity]], 0)</f>
        <v>0</v>
      </c>
      <c r="W289" s="16">
        <f>IF(Table1[[#This Row],[Gain/Loss]]="Loss",Table1[[#This Row],[Quantity]],0)</f>
        <v>2</v>
      </c>
      <c r="X289" s="16">
        <f>IF(OR(Table1[[#This Row],[Gain/Loss]]="Gain",Table1[[#This Row],[Gain/Loss]]="Loss"),Table1[[#This Row],[Quantity]],"")</f>
        <v>2</v>
      </c>
    </row>
    <row r="290" spans="1:24" x14ac:dyDescent="0.25">
      <c r="A290">
        <v>10289</v>
      </c>
      <c r="B290" s="1">
        <v>45946</v>
      </c>
      <c r="C290" s="1" t="str">
        <f>TEXT(Table1[[#This Row],[Order_Date]],"DD")</f>
        <v>16</v>
      </c>
      <c r="D290" s="1" t="str">
        <f>TEXT(Table1[[#This Row],[Order_Date]],"MMM")</f>
        <v>Oct</v>
      </c>
      <c r="E290" s="1" t="str">
        <f>TEXT(Table1[[#This Row],[Order_Date]],"YYYY")</f>
        <v>2025</v>
      </c>
      <c r="F290">
        <v>3640</v>
      </c>
      <c r="G290" t="s">
        <v>17</v>
      </c>
      <c r="H290" t="s">
        <v>18</v>
      </c>
      <c r="I290" t="s">
        <v>25</v>
      </c>
      <c r="J290" t="s">
        <v>32</v>
      </c>
      <c r="K290">
        <v>2</v>
      </c>
      <c r="L290" s="2">
        <v>236.8</v>
      </c>
      <c r="M290" s="3">
        <v>0</v>
      </c>
      <c r="N290" s="2">
        <v>473.6</v>
      </c>
      <c r="O290" s="2">
        <v>0</v>
      </c>
      <c r="P290" s="2">
        <v>473.6</v>
      </c>
      <c r="Q290" s="2">
        <v>8.0299999999999994</v>
      </c>
      <c r="R290" s="2">
        <v>16.059999999999999</v>
      </c>
      <c r="S290" s="2">
        <v>457.54</v>
      </c>
      <c r="T290" s="3">
        <v>0.966089527027027</v>
      </c>
      <c r="U290" s="2" t="str">
        <f>IF(Table1[[#This Row],[Net_Revenue]]&lt;Table1[[#This Row],[Total_Cost]], "Loss", "Gain")</f>
        <v>Gain</v>
      </c>
      <c r="V290" s="16">
        <f>IF(Table1[[#This Row],[Gain/Loss]]="Gain",Table1[[#This Row],[Quantity]], 0)</f>
        <v>2</v>
      </c>
      <c r="W290" s="16">
        <f>IF(Table1[[#This Row],[Gain/Loss]]="Loss",Table1[[#This Row],[Quantity]],0)</f>
        <v>0</v>
      </c>
      <c r="X290" s="16">
        <f>IF(OR(Table1[[#This Row],[Gain/Loss]]="Gain",Table1[[#This Row],[Gain/Loss]]="Loss"),Table1[[#This Row],[Quantity]],"")</f>
        <v>2</v>
      </c>
    </row>
    <row r="291" spans="1:24" x14ac:dyDescent="0.25">
      <c r="A291">
        <v>10290</v>
      </c>
      <c r="B291" s="1">
        <v>45947</v>
      </c>
      <c r="C291" s="1" t="str">
        <f>TEXT(Table1[[#This Row],[Order_Date]],"DD")</f>
        <v>17</v>
      </c>
      <c r="D291" s="1" t="str">
        <f>TEXT(Table1[[#This Row],[Order_Date]],"MMM")</f>
        <v>Oct</v>
      </c>
      <c r="E291" s="1" t="str">
        <f>TEXT(Table1[[#This Row],[Order_Date]],"YYYY")</f>
        <v>2025</v>
      </c>
      <c r="F291">
        <v>3210</v>
      </c>
      <c r="G291" t="s">
        <v>21</v>
      </c>
      <c r="H291" t="s">
        <v>24</v>
      </c>
      <c r="I291" t="s">
        <v>25</v>
      </c>
      <c r="J291" t="s">
        <v>32</v>
      </c>
      <c r="K291">
        <v>3</v>
      </c>
      <c r="L291" s="2">
        <v>173.62</v>
      </c>
      <c r="M291" s="3">
        <v>0</v>
      </c>
      <c r="N291" s="2">
        <v>520.86</v>
      </c>
      <c r="O291" s="2">
        <v>0</v>
      </c>
      <c r="P291" s="2">
        <v>520.86</v>
      </c>
      <c r="Q291" s="2">
        <v>91.06</v>
      </c>
      <c r="R291" s="2">
        <v>273.18</v>
      </c>
      <c r="S291" s="2">
        <v>247.68</v>
      </c>
      <c r="T291" s="3">
        <v>0.47552125331182998</v>
      </c>
      <c r="U291" s="2" t="str">
        <f>IF(Table1[[#This Row],[Net_Revenue]]&lt;Table1[[#This Row],[Total_Cost]], "Loss", "Gain")</f>
        <v>Gain</v>
      </c>
      <c r="V291" s="16">
        <f>IF(Table1[[#This Row],[Gain/Loss]]="Gain",Table1[[#This Row],[Quantity]], 0)</f>
        <v>3</v>
      </c>
      <c r="W291" s="16">
        <f>IF(Table1[[#This Row],[Gain/Loss]]="Loss",Table1[[#This Row],[Quantity]],0)</f>
        <v>0</v>
      </c>
      <c r="X291" s="16">
        <f>IF(OR(Table1[[#This Row],[Gain/Loss]]="Gain",Table1[[#This Row],[Gain/Loss]]="Loss"),Table1[[#This Row],[Quantity]],"")</f>
        <v>3</v>
      </c>
    </row>
    <row r="292" spans="1:24" x14ac:dyDescent="0.25">
      <c r="A292">
        <v>10291</v>
      </c>
      <c r="B292" s="1">
        <v>45948</v>
      </c>
      <c r="C292" s="1" t="str">
        <f>TEXT(Table1[[#This Row],[Order_Date]],"DD")</f>
        <v>18</v>
      </c>
      <c r="D292" s="1" t="str">
        <f>TEXT(Table1[[#This Row],[Order_Date]],"MMM")</f>
        <v>Oct</v>
      </c>
      <c r="E292" s="1" t="str">
        <f>TEXT(Table1[[#This Row],[Order_Date]],"YYYY")</f>
        <v>2025</v>
      </c>
      <c r="F292">
        <v>3231</v>
      </c>
      <c r="G292" t="s">
        <v>29</v>
      </c>
      <c r="H292" t="s">
        <v>18</v>
      </c>
      <c r="I292" t="s">
        <v>25</v>
      </c>
      <c r="J292" t="s">
        <v>32</v>
      </c>
      <c r="K292">
        <v>5</v>
      </c>
      <c r="L292" s="2">
        <v>47.62</v>
      </c>
      <c r="M292" s="3">
        <v>0.1</v>
      </c>
      <c r="N292" s="2">
        <v>238.1</v>
      </c>
      <c r="O292" s="2">
        <v>23.81</v>
      </c>
      <c r="P292" s="2">
        <v>214.29</v>
      </c>
      <c r="Q292" s="2">
        <v>106.37</v>
      </c>
      <c r="R292" s="2">
        <v>531.85</v>
      </c>
      <c r="S292" s="2">
        <v>-317.56</v>
      </c>
      <c r="T292" s="3">
        <v>-1.4819170283260998</v>
      </c>
      <c r="U292" s="2" t="str">
        <f>IF(Table1[[#This Row],[Net_Revenue]]&lt;Table1[[#This Row],[Total_Cost]], "Loss", "Gain")</f>
        <v>Loss</v>
      </c>
      <c r="V292" s="16">
        <f>IF(Table1[[#This Row],[Gain/Loss]]="Gain",Table1[[#This Row],[Quantity]], 0)</f>
        <v>0</v>
      </c>
      <c r="W292" s="16">
        <f>IF(Table1[[#This Row],[Gain/Loss]]="Loss",Table1[[#This Row],[Quantity]],0)</f>
        <v>5</v>
      </c>
      <c r="X292" s="16">
        <f>IF(OR(Table1[[#This Row],[Gain/Loss]]="Gain",Table1[[#This Row],[Gain/Loss]]="Loss"),Table1[[#This Row],[Quantity]],"")</f>
        <v>5</v>
      </c>
    </row>
    <row r="293" spans="1:24" x14ac:dyDescent="0.25">
      <c r="A293">
        <v>10292</v>
      </c>
      <c r="B293" s="1">
        <v>45949</v>
      </c>
      <c r="C293" s="1" t="str">
        <f>TEXT(Table1[[#This Row],[Order_Date]],"DD")</f>
        <v>19</v>
      </c>
      <c r="D293" s="1" t="str">
        <f>TEXT(Table1[[#This Row],[Order_Date]],"MMM")</f>
        <v>Oct</v>
      </c>
      <c r="E293" s="1" t="str">
        <f>TEXT(Table1[[#This Row],[Order_Date]],"YYYY")</f>
        <v>2025</v>
      </c>
      <c r="F293">
        <v>3688</v>
      </c>
      <c r="G293" t="s">
        <v>21</v>
      </c>
      <c r="H293" t="s">
        <v>24</v>
      </c>
      <c r="I293" t="s">
        <v>25</v>
      </c>
      <c r="J293" t="s">
        <v>22</v>
      </c>
      <c r="K293">
        <v>6</v>
      </c>
      <c r="L293" s="2">
        <v>155.61000000000001</v>
      </c>
      <c r="M293" s="3">
        <v>0.1</v>
      </c>
      <c r="N293" s="2">
        <v>933.66</v>
      </c>
      <c r="O293" s="2">
        <v>93.366</v>
      </c>
      <c r="P293" s="2">
        <v>840.29399999999998</v>
      </c>
      <c r="Q293" s="2">
        <v>82.18</v>
      </c>
      <c r="R293" s="2">
        <v>493.08</v>
      </c>
      <c r="S293" s="2">
        <v>347.214</v>
      </c>
      <c r="T293" s="3">
        <v>0.41320537811765801</v>
      </c>
      <c r="U293" s="2" t="str">
        <f>IF(Table1[[#This Row],[Net_Revenue]]&lt;Table1[[#This Row],[Total_Cost]], "Loss", "Gain")</f>
        <v>Gain</v>
      </c>
      <c r="V293" s="16">
        <f>IF(Table1[[#This Row],[Gain/Loss]]="Gain",Table1[[#This Row],[Quantity]], 0)</f>
        <v>6</v>
      </c>
      <c r="W293" s="16">
        <f>IF(Table1[[#This Row],[Gain/Loss]]="Loss",Table1[[#This Row],[Quantity]],0)</f>
        <v>0</v>
      </c>
      <c r="X293" s="16">
        <f>IF(OR(Table1[[#This Row],[Gain/Loss]]="Gain",Table1[[#This Row],[Gain/Loss]]="Loss"),Table1[[#This Row],[Quantity]],"")</f>
        <v>6</v>
      </c>
    </row>
    <row r="294" spans="1:24" x14ac:dyDescent="0.25">
      <c r="A294">
        <v>10293</v>
      </c>
      <c r="B294" s="1">
        <v>45950</v>
      </c>
      <c r="C294" s="1" t="str">
        <f>TEXT(Table1[[#This Row],[Order_Date]],"DD")</f>
        <v>20</v>
      </c>
      <c r="D294" s="1" t="str">
        <f>TEXT(Table1[[#This Row],[Order_Date]],"MMM")</f>
        <v>Oct</v>
      </c>
      <c r="E294" s="1" t="str">
        <f>TEXT(Table1[[#This Row],[Order_Date]],"YYYY")</f>
        <v>2025</v>
      </c>
      <c r="F294">
        <v>3448</v>
      </c>
      <c r="G294" t="s">
        <v>21</v>
      </c>
      <c r="H294" t="s">
        <v>18</v>
      </c>
      <c r="I294" t="s">
        <v>25</v>
      </c>
      <c r="J294" t="s">
        <v>22</v>
      </c>
      <c r="K294">
        <v>5</v>
      </c>
      <c r="L294" s="2">
        <v>215.61</v>
      </c>
      <c r="M294" s="3">
        <v>0.05</v>
      </c>
      <c r="N294" s="2">
        <v>1078.05</v>
      </c>
      <c r="O294" s="2">
        <v>53.902500000000003</v>
      </c>
      <c r="P294" s="2">
        <v>1024.1475</v>
      </c>
      <c r="Q294" s="2">
        <v>42.58</v>
      </c>
      <c r="R294" s="2">
        <v>212.89999999999901</v>
      </c>
      <c r="S294" s="2">
        <v>811.24749999999995</v>
      </c>
      <c r="T294" s="3">
        <v>0.79211978743296196</v>
      </c>
      <c r="U294" s="2" t="str">
        <f>IF(Table1[[#This Row],[Net_Revenue]]&lt;Table1[[#This Row],[Total_Cost]], "Loss", "Gain")</f>
        <v>Gain</v>
      </c>
      <c r="V294" s="16">
        <f>IF(Table1[[#This Row],[Gain/Loss]]="Gain",Table1[[#This Row],[Quantity]], 0)</f>
        <v>5</v>
      </c>
      <c r="W294" s="16">
        <f>IF(Table1[[#This Row],[Gain/Loss]]="Loss",Table1[[#This Row],[Quantity]],0)</f>
        <v>0</v>
      </c>
      <c r="X294" s="16">
        <f>IF(OR(Table1[[#This Row],[Gain/Loss]]="Gain",Table1[[#This Row],[Gain/Loss]]="Loss"),Table1[[#This Row],[Quantity]],"")</f>
        <v>5</v>
      </c>
    </row>
    <row r="295" spans="1:24" x14ac:dyDescent="0.25">
      <c r="A295">
        <v>10294</v>
      </c>
      <c r="B295" s="1">
        <v>45951</v>
      </c>
      <c r="C295" s="1" t="str">
        <f>TEXT(Table1[[#This Row],[Order_Date]],"DD")</f>
        <v>21</v>
      </c>
      <c r="D295" s="1" t="str">
        <f>TEXT(Table1[[#This Row],[Order_Date]],"MMM")</f>
        <v>Oct</v>
      </c>
      <c r="E295" s="1" t="str">
        <f>TEXT(Table1[[#This Row],[Order_Date]],"YYYY")</f>
        <v>2025</v>
      </c>
      <c r="F295">
        <v>3044</v>
      </c>
      <c r="G295" t="s">
        <v>29</v>
      </c>
      <c r="H295" t="s">
        <v>18</v>
      </c>
      <c r="I295" t="s">
        <v>26</v>
      </c>
      <c r="J295" t="s">
        <v>30</v>
      </c>
      <c r="K295">
        <v>9</v>
      </c>
      <c r="L295" s="2">
        <v>196.6</v>
      </c>
      <c r="M295" s="3">
        <v>0.05</v>
      </c>
      <c r="N295" s="2">
        <v>1769.3999999999901</v>
      </c>
      <c r="O295" s="2">
        <v>88.47</v>
      </c>
      <c r="P295" s="2">
        <v>1680.9299999999901</v>
      </c>
      <c r="Q295" s="2">
        <v>50.88</v>
      </c>
      <c r="R295" s="2">
        <v>457.92</v>
      </c>
      <c r="S295" s="2">
        <v>1223.00999999999</v>
      </c>
      <c r="T295" s="3">
        <v>0.72757937570273501</v>
      </c>
      <c r="U295" s="2" t="str">
        <f>IF(Table1[[#This Row],[Net_Revenue]]&lt;Table1[[#This Row],[Total_Cost]], "Loss", "Gain")</f>
        <v>Gain</v>
      </c>
      <c r="V295" s="16">
        <f>IF(Table1[[#This Row],[Gain/Loss]]="Gain",Table1[[#This Row],[Quantity]], 0)</f>
        <v>9</v>
      </c>
      <c r="W295" s="16">
        <f>IF(Table1[[#This Row],[Gain/Loss]]="Loss",Table1[[#This Row],[Quantity]],0)</f>
        <v>0</v>
      </c>
      <c r="X295" s="16">
        <f>IF(OR(Table1[[#This Row],[Gain/Loss]]="Gain",Table1[[#This Row],[Gain/Loss]]="Loss"),Table1[[#This Row],[Quantity]],"")</f>
        <v>9</v>
      </c>
    </row>
    <row r="296" spans="1:24" x14ac:dyDescent="0.25">
      <c r="A296">
        <v>10295</v>
      </c>
      <c r="B296" s="1">
        <v>45952</v>
      </c>
      <c r="C296" s="1" t="str">
        <f>TEXT(Table1[[#This Row],[Order_Date]],"DD")</f>
        <v>22</v>
      </c>
      <c r="D296" s="1" t="str">
        <f>TEXT(Table1[[#This Row],[Order_Date]],"MMM")</f>
        <v>Oct</v>
      </c>
      <c r="E296" s="1" t="str">
        <f>TEXT(Table1[[#This Row],[Order_Date]],"YYYY")</f>
        <v>2025</v>
      </c>
      <c r="F296">
        <v>3521</v>
      </c>
      <c r="G296" t="s">
        <v>21</v>
      </c>
      <c r="H296" t="s">
        <v>24</v>
      </c>
      <c r="I296" t="s">
        <v>26</v>
      </c>
      <c r="J296" t="s">
        <v>28</v>
      </c>
      <c r="K296">
        <v>7</v>
      </c>
      <c r="L296" s="2">
        <v>129.21</v>
      </c>
      <c r="M296" s="3">
        <v>0.05</v>
      </c>
      <c r="N296" s="2">
        <v>904.47</v>
      </c>
      <c r="O296" s="2">
        <v>45.223500000000001</v>
      </c>
      <c r="P296" s="2">
        <v>859.24649999999997</v>
      </c>
      <c r="Q296" s="2">
        <v>85.31</v>
      </c>
      <c r="R296" s="2">
        <v>597.16999999999996</v>
      </c>
      <c r="S296" s="2">
        <v>262.07649999999899</v>
      </c>
      <c r="T296" s="3">
        <v>0.30500735237210702</v>
      </c>
      <c r="U296" s="2" t="str">
        <f>IF(Table1[[#This Row],[Net_Revenue]]&lt;Table1[[#This Row],[Total_Cost]], "Loss", "Gain")</f>
        <v>Gain</v>
      </c>
      <c r="V296" s="16">
        <f>IF(Table1[[#This Row],[Gain/Loss]]="Gain",Table1[[#This Row],[Quantity]], 0)</f>
        <v>7</v>
      </c>
      <c r="W296" s="16">
        <f>IF(Table1[[#This Row],[Gain/Loss]]="Loss",Table1[[#This Row],[Quantity]],0)</f>
        <v>0</v>
      </c>
      <c r="X296" s="16">
        <f>IF(OR(Table1[[#This Row],[Gain/Loss]]="Gain",Table1[[#This Row],[Gain/Loss]]="Loss"),Table1[[#This Row],[Quantity]],"")</f>
        <v>7</v>
      </c>
    </row>
    <row r="297" spans="1:24" x14ac:dyDescent="0.25">
      <c r="A297">
        <v>10296</v>
      </c>
      <c r="B297" s="1">
        <v>45953</v>
      </c>
      <c r="C297" s="1" t="str">
        <f>TEXT(Table1[[#This Row],[Order_Date]],"DD")</f>
        <v>23</v>
      </c>
      <c r="D297" s="1" t="str">
        <f>TEXT(Table1[[#This Row],[Order_Date]],"MMM")</f>
        <v>Oct</v>
      </c>
      <c r="E297" s="1" t="str">
        <f>TEXT(Table1[[#This Row],[Order_Date]],"YYYY")</f>
        <v>2025</v>
      </c>
      <c r="F297">
        <v>3814</v>
      </c>
      <c r="G297" t="s">
        <v>21</v>
      </c>
      <c r="H297" t="s">
        <v>24</v>
      </c>
      <c r="I297" t="s">
        <v>25</v>
      </c>
      <c r="J297" t="s">
        <v>32</v>
      </c>
      <c r="K297">
        <v>2</v>
      </c>
      <c r="L297" s="2">
        <v>174.12</v>
      </c>
      <c r="M297" s="3">
        <v>0.1</v>
      </c>
      <c r="N297" s="2">
        <v>348.24</v>
      </c>
      <c r="O297" s="2">
        <v>34.823999999999998</v>
      </c>
      <c r="P297" s="2">
        <v>313.416</v>
      </c>
      <c r="Q297" s="2">
        <v>134.83000000000001</v>
      </c>
      <c r="R297" s="2">
        <v>269.66000000000003</v>
      </c>
      <c r="S297" s="2">
        <v>43.755999999999901</v>
      </c>
      <c r="T297" s="3">
        <v>0.139609975240574</v>
      </c>
      <c r="U297" s="2" t="str">
        <f>IF(Table1[[#This Row],[Net_Revenue]]&lt;Table1[[#This Row],[Total_Cost]], "Loss", "Gain")</f>
        <v>Gain</v>
      </c>
      <c r="V297" s="16">
        <f>IF(Table1[[#This Row],[Gain/Loss]]="Gain",Table1[[#This Row],[Quantity]], 0)</f>
        <v>2</v>
      </c>
      <c r="W297" s="16">
        <f>IF(Table1[[#This Row],[Gain/Loss]]="Loss",Table1[[#This Row],[Quantity]],0)</f>
        <v>0</v>
      </c>
      <c r="X297" s="16">
        <f>IF(OR(Table1[[#This Row],[Gain/Loss]]="Gain",Table1[[#This Row],[Gain/Loss]]="Loss"),Table1[[#This Row],[Quantity]],"")</f>
        <v>2</v>
      </c>
    </row>
    <row r="298" spans="1:24" x14ac:dyDescent="0.25">
      <c r="A298">
        <v>10297</v>
      </c>
      <c r="B298" s="1">
        <v>45954</v>
      </c>
      <c r="C298" s="1" t="str">
        <f>TEXT(Table1[[#This Row],[Order_Date]],"DD")</f>
        <v>24</v>
      </c>
      <c r="D298" s="1" t="str">
        <f>TEXT(Table1[[#This Row],[Order_Date]],"MMM")</f>
        <v>Oct</v>
      </c>
      <c r="E298" s="1" t="str">
        <f>TEXT(Table1[[#This Row],[Order_Date]],"YYYY")</f>
        <v>2025</v>
      </c>
      <c r="F298">
        <v>3440</v>
      </c>
      <c r="G298" t="s">
        <v>17</v>
      </c>
      <c r="H298" t="s">
        <v>24</v>
      </c>
      <c r="I298" t="s">
        <v>25</v>
      </c>
      <c r="J298" t="s">
        <v>32</v>
      </c>
      <c r="K298">
        <v>4</v>
      </c>
      <c r="L298" s="2">
        <v>221.96</v>
      </c>
      <c r="M298" s="3">
        <v>0</v>
      </c>
      <c r="N298" s="2">
        <v>887.84</v>
      </c>
      <c r="O298" s="2">
        <v>0</v>
      </c>
      <c r="P298" s="2">
        <v>887.84</v>
      </c>
      <c r="Q298" s="2">
        <v>65.86</v>
      </c>
      <c r="R298" s="2">
        <v>263.44</v>
      </c>
      <c r="S298" s="2">
        <v>624.4</v>
      </c>
      <c r="T298" s="3">
        <v>0.70327987024689098</v>
      </c>
      <c r="U298" s="2" t="str">
        <f>IF(Table1[[#This Row],[Net_Revenue]]&lt;Table1[[#This Row],[Total_Cost]], "Loss", "Gain")</f>
        <v>Gain</v>
      </c>
      <c r="V298" s="16">
        <f>IF(Table1[[#This Row],[Gain/Loss]]="Gain",Table1[[#This Row],[Quantity]], 0)</f>
        <v>4</v>
      </c>
      <c r="W298" s="16">
        <f>IF(Table1[[#This Row],[Gain/Loss]]="Loss",Table1[[#This Row],[Quantity]],0)</f>
        <v>0</v>
      </c>
      <c r="X298" s="16">
        <f>IF(OR(Table1[[#This Row],[Gain/Loss]]="Gain",Table1[[#This Row],[Gain/Loss]]="Loss"),Table1[[#This Row],[Quantity]],"")</f>
        <v>4</v>
      </c>
    </row>
    <row r="299" spans="1:24" x14ac:dyDescent="0.25">
      <c r="A299">
        <v>10298</v>
      </c>
      <c r="B299" s="1">
        <v>45955</v>
      </c>
      <c r="C299" s="1" t="str">
        <f>TEXT(Table1[[#This Row],[Order_Date]],"DD")</f>
        <v>25</v>
      </c>
      <c r="D299" s="1" t="str">
        <f>TEXT(Table1[[#This Row],[Order_Date]],"MMM")</f>
        <v>Oct</v>
      </c>
      <c r="E299" s="1" t="str">
        <f>TEXT(Table1[[#This Row],[Order_Date]],"YYYY")</f>
        <v>2025</v>
      </c>
      <c r="F299">
        <v>3994</v>
      </c>
      <c r="G299" t="s">
        <v>23</v>
      </c>
      <c r="H299" t="s">
        <v>24</v>
      </c>
      <c r="I299" t="s">
        <v>26</v>
      </c>
      <c r="J299" t="s">
        <v>30</v>
      </c>
      <c r="K299">
        <v>2</v>
      </c>
      <c r="L299" s="2">
        <v>187.66</v>
      </c>
      <c r="M299" s="3">
        <v>0</v>
      </c>
      <c r="N299" s="2">
        <v>375.32</v>
      </c>
      <c r="O299" s="2">
        <v>0</v>
      </c>
      <c r="P299" s="2">
        <v>375.32</v>
      </c>
      <c r="Q299" s="2">
        <v>55</v>
      </c>
      <c r="R299" s="2">
        <v>110</v>
      </c>
      <c r="S299" s="2">
        <v>265.32</v>
      </c>
      <c r="T299" s="3">
        <v>0.70691676436107798</v>
      </c>
      <c r="U299" s="2" t="str">
        <f>IF(Table1[[#This Row],[Net_Revenue]]&lt;Table1[[#This Row],[Total_Cost]], "Loss", "Gain")</f>
        <v>Gain</v>
      </c>
      <c r="V299" s="16">
        <f>IF(Table1[[#This Row],[Gain/Loss]]="Gain",Table1[[#This Row],[Quantity]], 0)</f>
        <v>2</v>
      </c>
      <c r="W299" s="16">
        <f>IF(Table1[[#This Row],[Gain/Loss]]="Loss",Table1[[#This Row],[Quantity]],0)</f>
        <v>0</v>
      </c>
      <c r="X299" s="16">
        <f>IF(OR(Table1[[#This Row],[Gain/Loss]]="Gain",Table1[[#This Row],[Gain/Loss]]="Loss"),Table1[[#This Row],[Quantity]],"")</f>
        <v>2</v>
      </c>
    </row>
    <row r="300" spans="1:24" x14ac:dyDescent="0.25">
      <c r="A300">
        <v>10299</v>
      </c>
      <c r="B300" s="1">
        <v>45956</v>
      </c>
      <c r="C300" s="1" t="str">
        <f>TEXT(Table1[[#This Row],[Order_Date]],"DD")</f>
        <v>26</v>
      </c>
      <c r="D300" s="1" t="str">
        <f>TEXT(Table1[[#This Row],[Order_Date]],"MMM")</f>
        <v>Oct</v>
      </c>
      <c r="E300" s="1" t="str">
        <f>TEXT(Table1[[#This Row],[Order_Date]],"YYYY")</f>
        <v>2025</v>
      </c>
      <c r="F300">
        <v>3176</v>
      </c>
      <c r="G300" t="s">
        <v>21</v>
      </c>
      <c r="H300" t="s">
        <v>18</v>
      </c>
      <c r="I300" t="s">
        <v>25</v>
      </c>
      <c r="J300" t="s">
        <v>32</v>
      </c>
      <c r="K300">
        <v>9</v>
      </c>
      <c r="L300" s="2">
        <v>145.91</v>
      </c>
      <c r="M300" s="3">
        <v>0.15</v>
      </c>
      <c r="N300" s="2">
        <v>1313.19</v>
      </c>
      <c r="O300" s="2">
        <v>196.9785</v>
      </c>
      <c r="P300" s="2">
        <v>1116.2114999999999</v>
      </c>
      <c r="Q300" s="2">
        <v>63.05</v>
      </c>
      <c r="R300" s="2">
        <v>567.44999999999902</v>
      </c>
      <c r="S300" s="2">
        <v>548.76149999999996</v>
      </c>
      <c r="T300" s="3">
        <v>0.491628602643853</v>
      </c>
      <c r="U300" s="2" t="str">
        <f>IF(Table1[[#This Row],[Net_Revenue]]&lt;Table1[[#This Row],[Total_Cost]], "Loss", "Gain")</f>
        <v>Gain</v>
      </c>
      <c r="V300" s="16">
        <f>IF(Table1[[#This Row],[Gain/Loss]]="Gain",Table1[[#This Row],[Quantity]], 0)</f>
        <v>9</v>
      </c>
      <c r="W300" s="16">
        <f>IF(Table1[[#This Row],[Gain/Loss]]="Loss",Table1[[#This Row],[Quantity]],0)</f>
        <v>0</v>
      </c>
      <c r="X300" s="16">
        <f>IF(OR(Table1[[#This Row],[Gain/Loss]]="Gain",Table1[[#This Row],[Gain/Loss]]="Loss"),Table1[[#This Row],[Quantity]],"")</f>
        <v>9</v>
      </c>
    </row>
    <row r="301" spans="1:24" x14ac:dyDescent="0.25">
      <c r="A301">
        <v>10300</v>
      </c>
      <c r="B301" s="1">
        <v>45957</v>
      </c>
      <c r="C301" s="1" t="str">
        <f>TEXT(Table1[[#This Row],[Order_Date]],"DD")</f>
        <v>27</v>
      </c>
      <c r="D301" s="1" t="str">
        <f>TEXT(Table1[[#This Row],[Order_Date]],"MMM")</f>
        <v>Oct</v>
      </c>
      <c r="E301" s="1" t="str">
        <f>TEXT(Table1[[#This Row],[Order_Date]],"YYYY")</f>
        <v>2025</v>
      </c>
      <c r="F301">
        <v>3639</v>
      </c>
      <c r="G301" t="s">
        <v>23</v>
      </c>
      <c r="H301" t="s">
        <v>18</v>
      </c>
      <c r="I301" t="s">
        <v>26</v>
      </c>
      <c r="J301" t="s">
        <v>28</v>
      </c>
      <c r="K301">
        <v>2</v>
      </c>
      <c r="L301" s="2">
        <v>244.62</v>
      </c>
      <c r="M301" s="3">
        <v>0.2</v>
      </c>
      <c r="N301" s="2">
        <v>489.24</v>
      </c>
      <c r="O301" s="2">
        <v>97.847999999999999</v>
      </c>
      <c r="P301" s="2">
        <v>391.392</v>
      </c>
      <c r="Q301" s="2">
        <v>149.9</v>
      </c>
      <c r="R301" s="2">
        <v>299.8</v>
      </c>
      <c r="S301" s="2">
        <v>91.591999999999899</v>
      </c>
      <c r="T301" s="3">
        <v>0.23401602485487602</v>
      </c>
      <c r="U301" s="2" t="str">
        <f>IF(Table1[[#This Row],[Net_Revenue]]&lt;Table1[[#This Row],[Total_Cost]], "Loss", "Gain")</f>
        <v>Gain</v>
      </c>
      <c r="V301" s="16">
        <f>IF(Table1[[#This Row],[Gain/Loss]]="Gain",Table1[[#This Row],[Quantity]], 0)</f>
        <v>2</v>
      </c>
      <c r="W301" s="16">
        <f>IF(Table1[[#This Row],[Gain/Loss]]="Loss",Table1[[#This Row],[Quantity]],0)</f>
        <v>0</v>
      </c>
      <c r="X301" s="16">
        <f>IF(OR(Table1[[#This Row],[Gain/Loss]]="Gain",Table1[[#This Row],[Gain/Loss]]="Loss"),Table1[[#This Row],[Quantity]],"")</f>
        <v>2</v>
      </c>
    </row>
    <row r="302" spans="1:24" x14ac:dyDescent="0.25">
      <c r="A302">
        <v>10301</v>
      </c>
      <c r="B302" s="1">
        <v>45958</v>
      </c>
      <c r="C302" s="1" t="str">
        <f>TEXT(Table1[[#This Row],[Order_Date]],"DD")</f>
        <v>28</v>
      </c>
      <c r="D302" s="1" t="str">
        <f>TEXT(Table1[[#This Row],[Order_Date]],"MMM")</f>
        <v>Oct</v>
      </c>
      <c r="E302" s="1" t="str">
        <f>TEXT(Table1[[#This Row],[Order_Date]],"YYYY")</f>
        <v>2025</v>
      </c>
      <c r="F302">
        <v>3427</v>
      </c>
      <c r="G302" t="s">
        <v>17</v>
      </c>
      <c r="H302" t="s">
        <v>24</v>
      </c>
      <c r="I302" t="s">
        <v>25</v>
      </c>
      <c r="J302" t="s">
        <v>32</v>
      </c>
      <c r="K302">
        <v>7</v>
      </c>
      <c r="L302" s="2">
        <v>24.62</v>
      </c>
      <c r="M302" s="3">
        <v>0.05</v>
      </c>
      <c r="N302" s="2">
        <v>172.34</v>
      </c>
      <c r="O302" s="2">
        <v>8.6170000000000009</v>
      </c>
      <c r="P302" s="2">
        <v>163.72300000000001</v>
      </c>
      <c r="Q302" s="2">
        <v>43.64</v>
      </c>
      <c r="R302" s="2">
        <v>305.48</v>
      </c>
      <c r="S302" s="2">
        <v>-141.75700000000001</v>
      </c>
      <c r="T302" s="3">
        <v>-0.86583436658258095</v>
      </c>
      <c r="U302" s="2" t="str">
        <f>IF(Table1[[#This Row],[Net_Revenue]]&lt;Table1[[#This Row],[Total_Cost]], "Loss", "Gain")</f>
        <v>Loss</v>
      </c>
      <c r="V302" s="16">
        <f>IF(Table1[[#This Row],[Gain/Loss]]="Gain",Table1[[#This Row],[Quantity]], 0)</f>
        <v>0</v>
      </c>
      <c r="W302" s="16">
        <f>IF(Table1[[#This Row],[Gain/Loss]]="Loss",Table1[[#This Row],[Quantity]],0)</f>
        <v>7</v>
      </c>
      <c r="X302" s="16">
        <f>IF(OR(Table1[[#This Row],[Gain/Loss]]="Gain",Table1[[#This Row],[Gain/Loss]]="Loss"),Table1[[#This Row],[Quantity]],"")</f>
        <v>7</v>
      </c>
    </row>
    <row r="303" spans="1:24" x14ac:dyDescent="0.25">
      <c r="A303">
        <v>10302</v>
      </c>
      <c r="B303" s="1">
        <v>45959</v>
      </c>
      <c r="C303" s="1" t="str">
        <f>TEXT(Table1[[#This Row],[Order_Date]],"DD")</f>
        <v>29</v>
      </c>
      <c r="D303" s="1" t="str">
        <f>TEXT(Table1[[#This Row],[Order_Date]],"MMM")</f>
        <v>Oct</v>
      </c>
      <c r="E303" s="1" t="str">
        <f>TEXT(Table1[[#This Row],[Order_Date]],"YYYY")</f>
        <v>2025</v>
      </c>
      <c r="F303">
        <v>3517</v>
      </c>
      <c r="G303" t="s">
        <v>17</v>
      </c>
      <c r="H303" t="s">
        <v>24</v>
      </c>
      <c r="I303" t="s">
        <v>26</v>
      </c>
      <c r="J303" t="s">
        <v>28</v>
      </c>
      <c r="K303">
        <v>3</v>
      </c>
      <c r="L303" s="2">
        <v>85.31</v>
      </c>
      <c r="M303" s="3">
        <v>0.1</v>
      </c>
      <c r="N303" s="2">
        <v>255.93</v>
      </c>
      <c r="O303" s="2">
        <v>25.593</v>
      </c>
      <c r="P303" s="2">
        <v>230.33699999999999</v>
      </c>
      <c r="Q303" s="2">
        <v>29.85</v>
      </c>
      <c r="R303" s="2">
        <v>89.55</v>
      </c>
      <c r="S303" s="2">
        <v>140.78699999999901</v>
      </c>
      <c r="T303" s="3">
        <v>0.611221818465986</v>
      </c>
      <c r="U303" s="2" t="str">
        <f>IF(Table1[[#This Row],[Net_Revenue]]&lt;Table1[[#This Row],[Total_Cost]], "Loss", "Gain")</f>
        <v>Gain</v>
      </c>
      <c r="V303" s="16">
        <f>IF(Table1[[#This Row],[Gain/Loss]]="Gain",Table1[[#This Row],[Quantity]], 0)</f>
        <v>3</v>
      </c>
      <c r="W303" s="16">
        <f>IF(Table1[[#This Row],[Gain/Loss]]="Loss",Table1[[#This Row],[Quantity]],0)</f>
        <v>0</v>
      </c>
      <c r="X303" s="16">
        <f>IF(OR(Table1[[#This Row],[Gain/Loss]]="Gain",Table1[[#This Row],[Gain/Loss]]="Loss"),Table1[[#This Row],[Quantity]],"")</f>
        <v>3</v>
      </c>
    </row>
    <row r="304" spans="1:24" x14ac:dyDescent="0.25">
      <c r="A304">
        <v>10303</v>
      </c>
      <c r="B304" s="1">
        <v>45960</v>
      </c>
      <c r="C304" s="1" t="str">
        <f>TEXT(Table1[[#This Row],[Order_Date]],"DD")</f>
        <v>30</v>
      </c>
      <c r="D304" s="1" t="str">
        <f>TEXT(Table1[[#This Row],[Order_Date]],"MMM")</f>
        <v>Oct</v>
      </c>
      <c r="E304" s="1" t="str">
        <f>TEXT(Table1[[#This Row],[Order_Date]],"YYYY")</f>
        <v>2025</v>
      </c>
      <c r="F304">
        <v>3917</v>
      </c>
      <c r="G304" t="s">
        <v>29</v>
      </c>
      <c r="H304" t="s">
        <v>24</v>
      </c>
      <c r="I304" t="s">
        <v>33</v>
      </c>
      <c r="J304" t="s">
        <v>20</v>
      </c>
      <c r="K304">
        <v>1</v>
      </c>
      <c r="L304" s="2">
        <v>239.17</v>
      </c>
      <c r="M304" s="3">
        <v>0.15</v>
      </c>
      <c r="N304" s="2">
        <v>239.17</v>
      </c>
      <c r="O304" s="2">
        <v>35.875499999999903</v>
      </c>
      <c r="P304" s="2">
        <v>203.2945</v>
      </c>
      <c r="Q304" s="2">
        <v>134.47</v>
      </c>
      <c r="R304" s="2">
        <v>134.47</v>
      </c>
      <c r="S304" s="2">
        <v>68.8245</v>
      </c>
      <c r="T304" s="3">
        <v>0.33854580423966196</v>
      </c>
      <c r="U304" s="2" t="str">
        <f>IF(Table1[[#This Row],[Net_Revenue]]&lt;Table1[[#This Row],[Total_Cost]], "Loss", "Gain")</f>
        <v>Gain</v>
      </c>
      <c r="V304" s="16">
        <f>IF(Table1[[#This Row],[Gain/Loss]]="Gain",Table1[[#This Row],[Quantity]], 0)</f>
        <v>1</v>
      </c>
      <c r="W304" s="16">
        <f>IF(Table1[[#This Row],[Gain/Loss]]="Loss",Table1[[#This Row],[Quantity]],0)</f>
        <v>0</v>
      </c>
      <c r="X304" s="16">
        <f>IF(OR(Table1[[#This Row],[Gain/Loss]]="Gain",Table1[[#This Row],[Gain/Loss]]="Loss"),Table1[[#This Row],[Quantity]],"")</f>
        <v>1</v>
      </c>
    </row>
    <row r="305" spans="1:24" x14ac:dyDescent="0.25">
      <c r="A305">
        <v>10304</v>
      </c>
      <c r="B305" s="1">
        <v>45961</v>
      </c>
      <c r="C305" s="1" t="str">
        <f>TEXT(Table1[[#This Row],[Order_Date]],"DD")</f>
        <v>31</v>
      </c>
      <c r="D305" s="1" t="str">
        <f>TEXT(Table1[[#This Row],[Order_Date]],"MMM")</f>
        <v>Oct</v>
      </c>
      <c r="E305" s="1" t="str">
        <f>TEXT(Table1[[#This Row],[Order_Date]],"YYYY")</f>
        <v>2025</v>
      </c>
      <c r="F305">
        <v>3144</v>
      </c>
      <c r="G305" t="s">
        <v>21</v>
      </c>
      <c r="H305" t="s">
        <v>18</v>
      </c>
      <c r="I305" t="s">
        <v>33</v>
      </c>
      <c r="J305" t="s">
        <v>20</v>
      </c>
      <c r="K305">
        <v>5</v>
      </c>
      <c r="L305" s="2">
        <v>17.440000000000001</v>
      </c>
      <c r="M305" s="3">
        <v>0.2</v>
      </c>
      <c r="N305" s="2">
        <v>87.2</v>
      </c>
      <c r="O305" s="2">
        <v>17.440000000000001</v>
      </c>
      <c r="P305" s="2">
        <v>69.760000000000005</v>
      </c>
      <c r="Q305" s="2">
        <v>23.19</v>
      </c>
      <c r="R305" s="2">
        <v>115.95</v>
      </c>
      <c r="S305" s="2">
        <v>-46.19</v>
      </c>
      <c r="T305" s="3">
        <v>-0.66212729357798095</v>
      </c>
      <c r="U305" s="2" t="str">
        <f>IF(Table1[[#This Row],[Net_Revenue]]&lt;Table1[[#This Row],[Total_Cost]], "Loss", "Gain")</f>
        <v>Loss</v>
      </c>
      <c r="V305" s="16">
        <f>IF(Table1[[#This Row],[Gain/Loss]]="Gain",Table1[[#This Row],[Quantity]], 0)</f>
        <v>0</v>
      </c>
      <c r="W305" s="16">
        <f>IF(Table1[[#This Row],[Gain/Loss]]="Loss",Table1[[#This Row],[Quantity]],0)</f>
        <v>5</v>
      </c>
      <c r="X305" s="16">
        <f>IF(OR(Table1[[#This Row],[Gain/Loss]]="Gain",Table1[[#This Row],[Gain/Loss]]="Loss"),Table1[[#This Row],[Quantity]],"")</f>
        <v>5</v>
      </c>
    </row>
    <row r="306" spans="1:24" x14ac:dyDescent="0.25">
      <c r="A306">
        <v>10305</v>
      </c>
      <c r="B306" s="1">
        <v>45962</v>
      </c>
      <c r="C306" s="1" t="str">
        <f>TEXT(Table1[[#This Row],[Order_Date]],"DD")</f>
        <v>01</v>
      </c>
      <c r="D306" s="1" t="str">
        <f>TEXT(Table1[[#This Row],[Order_Date]],"MMM")</f>
        <v>Nov</v>
      </c>
      <c r="E306" s="1" t="str">
        <f>TEXT(Table1[[#This Row],[Order_Date]],"YYYY")</f>
        <v>2025</v>
      </c>
      <c r="F306">
        <v>3011</v>
      </c>
      <c r="G306" t="s">
        <v>17</v>
      </c>
      <c r="H306" t="s">
        <v>18</v>
      </c>
      <c r="I306" t="s">
        <v>19</v>
      </c>
      <c r="J306" t="s">
        <v>27</v>
      </c>
      <c r="K306">
        <v>2</v>
      </c>
      <c r="L306" s="2">
        <v>177.29</v>
      </c>
      <c r="M306" s="3">
        <v>0</v>
      </c>
      <c r="N306" s="2">
        <v>354.58</v>
      </c>
      <c r="O306" s="2">
        <v>0</v>
      </c>
      <c r="P306" s="2">
        <v>354.58</v>
      </c>
      <c r="Q306" s="2">
        <v>126.72</v>
      </c>
      <c r="R306" s="2">
        <v>253.44</v>
      </c>
      <c r="S306" s="2">
        <v>101.13999999999901</v>
      </c>
      <c r="T306" s="3">
        <v>0.28523887416097898</v>
      </c>
      <c r="U306" s="2" t="str">
        <f>IF(Table1[[#This Row],[Net_Revenue]]&lt;Table1[[#This Row],[Total_Cost]], "Loss", "Gain")</f>
        <v>Gain</v>
      </c>
      <c r="V306" s="16">
        <f>IF(Table1[[#This Row],[Gain/Loss]]="Gain",Table1[[#This Row],[Quantity]], 0)</f>
        <v>2</v>
      </c>
      <c r="W306" s="16">
        <f>IF(Table1[[#This Row],[Gain/Loss]]="Loss",Table1[[#This Row],[Quantity]],0)</f>
        <v>0</v>
      </c>
      <c r="X306" s="16">
        <f>IF(OR(Table1[[#This Row],[Gain/Loss]]="Gain",Table1[[#This Row],[Gain/Loss]]="Loss"),Table1[[#This Row],[Quantity]],"")</f>
        <v>2</v>
      </c>
    </row>
    <row r="307" spans="1:24" x14ac:dyDescent="0.25">
      <c r="A307">
        <v>10306</v>
      </c>
      <c r="B307" s="1">
        <v>45963</v>
      </c>
      <c r="C307" s="1" t="str">
        <f>TEXT(Table1[[#This Row],[Order_Date]],"DD")</f>
        <v>02</v>
      </c>
      <c r="D307" s="1" t="str">
        <f>TEXT(Table1[[#This Row],[Order_Date]],"MMM")</f>
        <v>Nov</v>
      </c>
      <c r="E307" s="1" t="str">
        <f>TEXT(Table1[[#This Row],[Order_Date]],"YYYY")</f>
        <v>2025</v>
      </c>
      <c r="F307">
        <v>3874</v>
      </c>
      <c r="G307" t="s">
        <v>23</v>
      </c>
      <c r="H307" t="s">
        <v>24</v>
      </c>
      <c r="I307" t="s">
        <v>26</v>
      </c>
      <c r="J307" t="s">
        <v>31</v>
      </c>
      <c r="K307">
        <v>3</v>
      </c>
      <c r="L307" s="2">
        <v>137.03</v>
      </c>
      <c r="M307" s="3">
        <v>0.05</v>
      </c>
      <c r="N307" s="2">
        <v>411.09</v>
      </c>
      <c r="O307" s="2">
        <v>20.554500000000001</v>
      </c>
      <c r="P307" s="2">
        <v>390.53550000000001</v>
      </c>
      <c r="Q307" s="2">
        <v>95.66</v>
      </c>
      <c r="R307" s="2">
        <v>286.98</v>
      </c>
      <c r="S307" s="2">
        <v>103.55549999999999</v>
      </c>
      <c r="T307" s="3">
        <v>0.26516283410855002</v>
      </c>
      <c r="U307" s="2" t="str">
        <f>IF(Table1[[#This Row],[Net_Revenue]]&lt;Table1[[#This Row],[Total_Cost]], "Loss", "Gain")</f>
        <v>Gain</v>
      </c>
      <c r="V307" s="16">
        <f>IF(Table1[[#This Row],[Gain/Loss]]="Gain",Table1[[#This Row],[Quantity]], 0)</f>
        <v>3</v>
      </c>
      <c r="W307" s="16">
        <f>IF(Table1[[#This Row],[Gain/Loss]]="Loss",Table1[[#This Row],[Quantity]],0)</f>
        <v>0</v>
      </c>
      <c r="X307" s="16">
        <f>IF(OR(Table1[[#This Row],[Gain/Loss]]="Gain",Table1[[#This Row],[Gain/Loss]]="Loss"),Table1[[#This Row],[Quantity]],"")</f>
        <v>3</v>
      </c>
    </row>
    <row r="308" spans="1:24" x14ac:dyDescent="0.25">
      <c r="A308">
        <v>10307</v>
      </c>
      <c r="B308" s="1">
        <v>45964</v>
      </c>
      <c r="C308" s="1" t="str">
        <f>TEXT(Table1[[#This Row],[Order_Date]],"DD")</f>
        <v>03</v>
      </c>
      <c r="D308" s="1" t="str">
        <f>TEXT(Table1[[#This Row],[Order_Date]],"MMM")</f>
        <v>Nov</v>
      </c>
      <c r="E308" s="1" t="str">
        <f>TEXT(Table1[[#This Row],[Order_Date]],"YYYY")</f>
        <v>2025</v>
      </c>
      <c r="F308">
        <v>3160</v>
      </c>
      <c r="G308" t="s">
        <v>21</v>
      </c>
      <c r="H308" t="s">
        <v>24</v>
      </c>
      <c r="I308" t="s">
        <v>25</v>
      </c>
      <c r="J308" t="s">
        <v>22</v>
      </c>
      <c r="K308">
        <v>1</v>
      </c>
      <c r="L308" s="2">
        <v>153.01</v>
      </c>
      <c r="M308" s="3">
        <v>0.1</v>
      </c>
      <c r="N308" s="2">
        <v>153.01</v>
      </c>
      <c r="O308" s="2">
        <v>15.301</v>
      </c>
      <c r="P308" s="2">
        <v>137.709</v>
      </c>
      <c r="Q308" s="2">
        <v>143.9</v>
      </c>
      <c r="R308" s="2">
        <v>143.9</v>
      </c>
      <c r="S308" s="2">
        <v>-6.1909999999999998</v>
      </c>
      <c r="T308" s="3">
        <v>-4.4957119723474798E-2</v>
      </c>
      <c r="U308" s="2" t="str">
        <f>IF(Table1[[#This Row],[Net_Revenue]]&lt;Table1[[#This Row],[Total_Cost]], "Loss", "Gain")</f>
        <v>Loss</v>
      </c>
      <c r="V308" s="16">
        <f>IF(Table1[[#This Row],[Gain/Loss]]="Gain",Table1[[#This Row],[Quantity]], 0)</f>
        <v>0</v>
      </c>
      <c r="W308" s="16">
        <f>IF(Table1[[#This Row],[Gain/Loss]]="Loss",Table1[[#This Row],[Quantity]],0)</f>
        <v>1</v>
      </c>
      <c r="X308" s="16">
        <f>IF(OR(Table1[[#This Row],[Gain/Loss]]="Gain",Table1[[#This Row],[Gain/Loss]]="Loss"),Table1[[#This Row],[Quantity]],"")</f>
        <v>1</v>
      </c>
    </row>
    <row r="309" spans="1:24" x14ac:dyDescent="0.25">
      <c r="A309">
        <v>10308</v>
      </c>
      <c r="B309" s="1">
        <v>45965</v>
      </c>
      <c r="C309" s="1" t="str">
        <f>TEXT(Table1[[#This Row],[Order_Date]],"DD")</f>
        <v>04</v>
      </c>
      <c r="D309" s="1" t="str">
        <f>TEXT(Table1[[#This Row],[Order_Date]],"MMM")</f>
        <v>Nov</v>
      </c>
      <c r="E309" s="1" t="str">
        <f>TEXT(Table1[[#This Row],[Order_Date]],"YYYY")</f>
        <v>2025</v>
      </c>
      <c r="F309">
        <v>3808</v>
      </c>
      <c r="G309" t="s">
        <v>17</v>
      </c>
      <c r="H309" t="s">
        <v>18</v>
      </c>
      <c r="I309" t="s">
        <v>26</v>
      </c>
      <c r="J309" t="s">
        <v>28</v>
      </c>
      <c r="K309">
        <v>4</v>
      </c>
      <c r="L309" s="2">
        <v>27.47</v>
      </c>
      <c r="M309" s="3">
        <v>0</v>
      </c>
      <c r="N309" s="2">
        <v>109.88</v>
      </c>
      <c r="O309" s="2">
        <v>0</v>
      </c>
      <c r="P309" s="2">
        <v>109.88</v>
      </c>
      <c r="Q309" s="2">
        <v>51.08</v>
      </c>
      <c r="R309" s="2">
        <v>204.32</v>
      </c>
      <c r="S309" s="2">
        <v>-94.44</v>
      </c>
      <c r="T309" s="3">
        <v>-0.85948307244266398</v>
      </c>
      <c r="U309" s="2" t="str">
        <f>IF(Table1[[#This Row],[Net_Revenue]]&lt;Table1[[#This Row],[Total_Cost]], "Loss", "Gain")</f>
        <v>Loss</v>
      </c>
      <c r="V309" s="16">
        <f>IF(Table1[[#This Row],[Gain/Loss]]="Gain",Table1[[#This Row],[Quantity]], 0)</f>
        <v>0</v>
      </c>
      <c r="W309" s="16">
        <f>IF(Table1[[#This Row],[Gain/Loss]]="Loss",Table1[[#This Row],[Quantity]],0)</f>
        <v>4</v>
      </c>
      <c r="X309" s="16">
        <f>IF(OR(Table1[[#This Row],[Gain/Loss]]="Gain",Table1[[#This Row],[Gain/Loss]]="Loss"),Table1[[#This Row],[Quantity]],"")</f>
        <v>4</v>
      </c>
    </row>
    <row r="310" spans="1:24" x14ac:dyDescent="0.25">
      <c r="A310">
        <v>10309</v>
      </c>
      <c r="B310" s="1">
        <v>45966</v>
      </c>
      <c r="C310" s="1" t="str">
        <f>TEXT(Table1[[#This Row],[Order_Date]],"DD")</f>
        <v>05</v>
      </c>
      <c r="D310" s="1" t="str">
        <f>TEXT(Table1[[#This Row],[Order_Date]],"MMM")</f>
        <v>Nov</v>
      </c>
      <c r="E310" s="1" t="str">
        <f>TEXT(Table1[[#This Row],[Order_Date]],"YYYY")</f>
        <v>2025</v>
      </c>
      <c r="F310">
        <v>3548</v>
      </c>
      <c r="G310" t="s">
        <v>23</v>
      </c>
      <c r="H310" t="s">
        <v>18</v>
      </c>
      <c r="I310" t="s">
        <v>26</v>
      </c>
      <c r="J310" t="s">
        <v>31</v>
      </c>
      <c r="K310">
        <v>4</v>
      </c>
      <c r="L310" s="2">
        <v>11.93</v>
      </c>
      <c r="M310" s="3">
        <v>0.15</v>
      </c>
      <c r="N310" s="2">
        <v>47.72</v>
      </c>
      <c r="O310" s="2">
        <v>7.1579999999999897</v>
      </c>
      <c r="P310" s="2">
        <v>40.561999999999998</v>
      </c>
      <c r="Q310" s="2">
        <v>129.07</v>
      </c>
      <c r="R310" s="2">
        <v>516.28</v>
      </c>
      <c r="S310" s="2">
        <v>-475.71799999999899</v>
      </c>
      <c r="T310" s="3">
        <v>-11.728169222424899</v>
      </c>
      <c r="U310" s="2" t="str">
        <f>IF(Table1[[#This Row],[Net_Revenue]]&lt;Table1[[#This Row],[Total_Cost]], "Loss", "Gain")</f>
        <v>Loss</v>
      </c>
      <c r="V310" s="16">
        <f>IF(Table1[[#This Row],[Gain/Loss]]="Gain",Table1[[#This Row],[Quantity]], 0)</f>
        <v>0</v>
      </c>
      <c r="W310" s="16">
        <f>IF(Table1[[#This Row],[Gain/Loss]]="Loss",Table1[[#This Row],[Quantity]],0)</f>
        <v>4</v>
      </c>
      <c r="X310" s="16">
        <f>IF(OR(Table1[[#This Row],[Gain/Loss]]="Gain",Table1[[#This Row],[Gain/Loss]]="Loss"),Table1[[#This Row],[Quantity]],"")</f>
        <v>4</v>
      </c>
    </row>
    <row r="311" spans="1:24" x14ac:dyDescent="0.25">
      <c r="A311">
        <v>10310</v>
      </c>
      <c r="B311" s="1">
        <v>45967</v>
      </c>
      <c r="C311" s="1" t="str">
        <f>TEXT(Table1[[#This Row],[Order_Date]],"DD")</f>
        <v>06</v>
      </c>
      <c r="D311" s="1" t="str">
        <f>TEXT(Table1[[#This Row],[Order_Date]],"MMM")</f>
        <v>Nov</v>
      </c>
      <c r="E311" s="1" t="str">
        <f>TEXT(Table1[[#This Row],[Order_Date]],"YYYY")</f>
        <v>2025</v>
      </c>
      <c r="F311">
        <v>3069</v>
      </c>
      <c r="G311" t="s">
        <v>17</v>
      </c>
      <c r="H311" t="s">
        <v>18</v>
      </c>
      <c r="I311" t="s">
        <v>26</v>
      </c>
      <c r="J311" t="s">
        <v>28</v>
      </c>
      <c r="K311">
        <v>8</v>
      </c>
      <c r="L311" s="2">
        <v>87.1</v>
      </c>
      <c r="M311" s="3">
        <v>0</v>
      </c>
      <c r="N311" s="2">
        <v>696.8</v>
      </c>
      <c r="O311" s="2">
        <v>0</v>
      </c>
      <c r="P311" s="2">
        <v>696.8</v>
      </c>
      <c r="Q311" s="2">
        <v>17.690000000000001</v>
      </c>
      <c r="R311" s="2">
        <v>141.52000000000001</v>
      </c>
      <c r="S311" s="2">
        <v>555.28</v>
      </c>
      <c r="T311" s="3">
        <v>0.796900114810562</v>
      </c>
      <c r="U311" s="2" t="str">
        <f>IF(Table1[[#This Row],[Net_Revenue]]&lt;Table1[[#This Row],[Total_Cost]], "Loss", "Gain")</f>
        <v>Gain</v>
      </c>
      <c r="V311" s="16">
        <f>IF(Table1[[#This Row],[Gain/Loss]]="Gain",Table1[[#This Row],[Quantity]], 0)</f>
        <v>8</v>
      </c>
      <c r="W311" s="16">
        <f>IF(Table1[[#This Row],[Gain/Loss]]="Loss",Table1[[#This Row],[Quantity]],0)</f>
        <v>0</v>
      </c>
      <c r="X311" s="16">
        <f>IF(OR(Table1[[#This Row],[Gain/Loss]]="Gain",Table1[[#This Row],[Gain/Loss]]="Loss"),Table1[[#This Row],[Quantity]],"")</f>
        <v>8</v>
      </c>
    </row>
    <row r="312" spans="1:24" x14ac:dyDescent="0.25">
      <c r="A312">
        <v>10311</v>
      </c>
      <c r="B312" s="1">
        <v>45968</v>
      </c>
      <c r="C312" s="1" t="str">
        <f>TEXT(Table1[[#This Row],[Order_Date]],"DD")</f>
        <v>07</v>
      </c>
      <c r="D312" s="1" t="str">
        <f>TEXT(Table1[[#This Row],[Order_Date]],"MMM")</f>
        <v>Nov</v>
      </c>
      <c r="E312" s="1" t="str">
        <f>TEXT(Table1[[#This Row],[Order_Date]],"YYYY")</f>
        <v>2025</v>
      </c>
      <c r="F312">
        <v>3924</v>
      </c>
      <c r="G312" t="s">
        <v>23</v>
      </c>
      <c r="H312" t="s">
        <v>24</v>
      </c>
      <c r="I312" t="s">
        <v>25</v>
      </c>
      <c r="J312" t="s">
        <v>22</v>
      </c>
      <c r="K312">
        <v>1</v>
      </c>
      <c r="L312" s="2">
        <v>106.01</v>
      </c>
      <c r="M312" s="3">
        <v>0.1</v>
      </c>
      <c r="N312" s="2">
        <v>106.01</v>
      </c>
      <c r="O312" s="2">
        <v>10.601000000000001</v>
      </c>
      <c r="P312" s="2">
        <v>95.409000000000006</v>
      </c>
      <c r="Q312" s="2">
        <v>118.44</v>
      </c>
      <c r="R312" s="2">
        <v>118.44</v>
      </c>
      <c r="S312" s="2">
        <v>-23.030999999999899</v>
      </c>
      <c r="T312" s="3">
        <v>-0.24139232147910503</v>
      </c>
      <c r="U312" s="2" t="str">
        <f>IF(Table1[[#This Row],[Net_Revenue]]&lt;Table1[[#This Row],[Total_Cost]], "Loss", "Gain")</f>
        <v>Loss</v>
      </c>
      <c r="V312" s="16">
        <f>IF(Table1[[#This Row],[Gain/Loss]]="Gain",Table1[[#This Row],[Quantity]], 0)</f>
        <v>0</v>
      </c>
      <c r="W312" s="16">
        <f>IF(Table1[[#This Row],[Gain/Loss]]="Loss",Table1[[#This Row],[Quantity]],0)</f>
        <v>1</v>
      </c>
      <c r="X312" s="16">
        <f>IF(OR(Table1[[#This Row],[Gain/Loss]]="Gain",Table1[[#This Row],[Gain/Loss]]="Loss"),Table1[[#This Row],[Quantity]],"")</f>
        <v>1</v>
      </c>
    </row>
    <row r="313" spans="1:24" x14ac:dyDescent="0.25">
      <c r="A313">
        <v>10312</v>
      </c>
      <c r="B313" s="1">
        <v>45969</v>
      </c>
      <c r="C313" s="1" t="str">
        <f>TEXT(Table1[[#This Row],[Order_Date]],"DD")</f>
        <v>08</v>
      </c>
      <c r="D313" s="1" t="str">
        <f>TEXT(Table1[[#This Row],[Order_Date]],"MMM")</f>
        <v>Nov</v>
      </c>
      <c r="E313" s="1" t="str">
        <f>TEXT(Table1[[#This Row],[Order_Date]],"YYYY")</f>
        <v>2025</v>
      </c>
      <c r="F313">
        <v>3363</v>
      </c>
      <c r="G313" t="s">
        <v>21</v>
      </c>
      <c r="H313" t="s">
        <v>18</v>
      </c>
      <c r="I313" t="s">
        <v>33</v>
      </c>
      <c r="J313" t="s">
        <v>20</v>
      </c>
      <c r="K313">
        <v>6</v>
      </c>
      <c r="L313" s="2">
        <v>161.37</v>
      </c>
      <c r="M313" s="3">
        <v>0.15</v>
      </c>
      <c r="N313" s="2">
        <v>968.22</v>
      </c>
      <c r="O313" s="2">
        <v>145.233</v>
      </c>
      <c r="P313" s="2">
        <v>822.98699999999997</v>
      </c>
      <c r="Q313" s="2">
        <v>52.44</v>
      </c>
      <c r="R313" s="2">
        <v>314.64</v>
      </c>
      <c r="S313" s="2">
        <v>508.34699999999998</v>
      </c>
      <c r="T313" s="3">
        <v>0.61768533403322201</v>
      </c>
      <c r="U313" s="2" t="str">
        <f>IF(Table1[[#This Row],[Net_Revenue]]&lt;Table1[[#This Row],[Total_Cost]], "Loss", "Gain")</f>
        <v>Gain</v>
      </c>
      <c r="V313" s="16">
        <f>IF(Table1[[#This Row],[Gain/Loss]]="Gain",Table1[[#This Row],[Quantity]], 0)</f>
        <v>6</v>
      </c>
      <c r="W313" s="16">
        <f>IF(Table1[[#This Row],[Gain/Loss]]="Loss",Table1[[#This Row],[Quantity]],0)</f>
        <v>0</v>
      </c>
      <c r="X313" s="16">
        <f>IF(OR(Table1[[#This Row],[Gain/Loss]]="Gain",Table1[[#This Row],[Gain/Loss]]="Loss"),Table1[[#This Row],[Quantity]],"")</f>
        <v>6</v>
      </c>
    </row>
    <row r="314" spans="1:24" x14ac:dyDescent="0.25">
      <c r="A314">
        <v>10313</v>
      </c>
      <c r="B314" s="1">
        <v>45970</v>
      </c>
      <c r="C314" s="1" t="str">
        <f>TEXT(Table1[[#This Row],[Order_Date]],"DD")</f>
        <v>09</v>
      </c>
      <c r="D314" s="1" t="str">
        <f>TEXT(Table1[[#This Row],[Order_Date]],"MMM")</f>
        <v>Nov</v>
      </c>
      <c r="E314" s="1" t="str">
        <f>TEXT(Table1[[#This Row],[Order_Date]],"YYYY")</f>
        <v>2025</v>
      </c>
      <c r="F314">
        <v>3605</v>
      </c>
      <c r="G314" t="s">
        <v>17</v>
      </c>
      <c r="H314" t="s">
        <v>24</v>
      </c>
      <c r="I314" t="s">
        <v>26</v>
      </c>
      <c r="J314" t="s">
        <v>30</v>
      </c>
      <c r="K314">
        <v>9</v>
      </c>
      <c r="L314" s="2">
        <v>140.32</v>
      </c>
      <c r="M314" s="3">
        <v>0.2</v>
      </c>
      <c r="N314" s="2">
        <v>1262.8799999999901</v>
      </c>
      <c r="O314" s="2">
        <v>252.57599999999999</v>
      </c>
      <c r="P314" s="2">
        <v>1010.30399999999</v>
      </c>
      <c r="Q314" s="2">
        <v>71.78</v>
      </c>
      <c r="R314" s="2">
        <v>646.02</v>
      </c>
      <c r="S314" s="2">
        <v>364.28399999999903</v>
      </c>
      <c r="T314" s="3">
        <v>0.36056870011402503</v>
      </c>
      <c r="U314" s="2" t="str">
        <f>IF(Table1[[#This Row],[Net_Revenue]]&lt;Table1[[#This Row],[Total_Cost]], "Loss", "Gain")</f>
        <v>Gain</v>
      </c>
      <c r="V314" s="16">
        <f>IF(Table1[[#This Row],[Gain/Loss]]="Gain",Table1[[#This Row],[Quantity]], 0)</f>
        <v>9</v>
      </c>
      <c r="W314" s="16">
        <f>IF(Table1[[#This Row],[Gain/Loss]]="Loss",Table1[[#This Row],[Quantity]],0)</f>
        <v>0</v>
      </c>
      <c r="X314" s="16">
        <f>IF(OR(Table1[[#This Row],[Gain/Loss]]="Gain",Table1[[#This Row],[Gain/Loss]]="Loss"),Table1[[#This Row],[Quantity]],"")</f>
        <v>9</v>
      </c>
    </row>
    <row r="315" spans="1:24" x14ac:dyDescent="0.25">
      <c r="A315">
        <v>10314</v>
      </c>
      <c r="B315" s="1">
        <v>45971</v>
      </c>
      <c r="C315" s="1" t="str">
        <f>TEXT(Table1[[#This Row],[Order_Date]],"DD")</f>
        <v>10</v>
      </c>
      <c r="D315" s="1" t="str">
        <f>TEXT(Table1[[#This Row],[Order_Date]],"MMM")</f>
        <v>Nov</v>
      </c>
      <c r="E315" s="1" t="str">
        <f>TEXT(Table1[[#This Row],[Order_Date]],"YYYY")</f>
        <v>2025</v>
      </c>
      <c r="F315">
        <v>3049</v>
      </c>
      <c r="G315" t="s">
        <v>21</v>
      </c>
      <c r="H315" t="s">
        <v>24</v>
      </c>
      <c r="I315" t="s">
        <v>33</v>
      </c>
      <c r="J315" t="s">
        <v>20</v>
      </c>
      <c r="K315">
        <v>1</v>
      </c>
      <c r="L315" s="2">
        <v>24.39</v>
      </c>
      <c r="M315" s="3">
        <v>0</v>
      </c>
      <c r="N315" s="2">
        <v>24.39</v>
      </c>
      <c r="O315" s="2">
        <v>0</v>
      </c>
      <c r="P315" s="2">
        <v>24.39</v>
      </c>
      <c r="Q315" s="2">
        <v>120.57</v>
      </c>
      <c r="R315" s="2">
        <v>120.57</v>
      </c>
      <c r="S315" s="2">
        <v>-96.179999999999893</v>
      </c>
      <c r="T315" s="3">
        <v>-3.94341943419434</v>
      </c>
      <c r="U315" s="2" t="str">
        <f>IF(Table1[[#This Row],[Net_Revenue]]&lt;Table1[[#This Row],[Total_Cost]], "Loss", "Gain")</f>
        <v>Loss</v>
      </c>
      <c r="V315" s="16">
        <f>IF(Table1[[#This Row],[Gain/Loss]]="Gain",Table1[[#This Row],[Quantity]], 0)</f>
        <v>0</v>
      </c>
      <c r="W315" s="16">
        <f>IF(Table1[[#This Row],[Gain/Loss]]="Loss",Table1[[#This Row],[Quantity]],0)</f>
        <v>1</v>
      </c>
      <c r="X315" s="16">
        <f>IF(OR(Table1[[#This Row],[Gain/Loss]]="Gain",Table1[[#This Row],[Gain/Loss]]="Loss"),Table1[[#This Row],[Quantity]],"")</f>
        <v>1</v>
      </c>
    </row>
    <row r="316" spans="1:24" x14ac:dyDescent="0.25">
      <c r="A316">
        <v>10315</v>
      </c>
      <c r="B316" s="1">
        <v>45972</v>
      </c>
      <c r="C316" s="1" t="str">
        <f>TEXT(Table1[[#This Row],[Order_Date]],"DD")</f>
        <v>11</v>
      </c>
      <c r="D316" s="1" t="str">
        <f>TEXT(Table1[[#This Row],[Order_Date]],"MMM")</f>
        <v>Nov</v>
      </c>
      <c r="E316" s="1" t="str">
        <f>TEXT(Table1[[#This Row],[Order_Date]],"YYYY")</f>
        <v>2025</v>
      </c>
      <c r="F316">
        <v>3829</v>
      </c>
      <c r="G316" t="s">
        <v>23</v>
      </c>
      <c r="H316" t="s">
        <v>18</v>
      </c>
      <c r="I316" t="s">
        <v>26</v>
      </c>
      <c r="J316" t="s">
        <v>31</v>
      </c>
      <c r="K316">
        <v>5</v>
      </c>
      <c r="L316" s="2">
        <v>22.86</v>
      </c>
      <c r="M316" s="3">
        <v>0.15</v>
      </c>
      <c r="N316" s="2">
        <v>114.3</v>
      </c>
      <c r="O316" s="2">
        <v>17.145</v>
      </c>
      <c r="P316" s="2">
        <v>97.155000000000001</v>
      </c>
      <c r="Q316" s="2">
        <v>97.06</v>
      </c>
      <c r="R316" s="2">
        <v>485.3</v>
      </c>
      <c r="S316" s="2">
        <v>-388.14499999999998</v>
      </c>
      <c r="T316" s="3">
        <v>-3.99511090525449</v>
      </c>
      <c r="U316" s="2" t="str">
        <f>IF(Table1[[#This Row],[Net_Revenue]]&lt;Table1[[#This Row],[Total_Cost]], "Loss", "Gain")</f>
        <v>Loss</v>
      </c>
      <c r="V316" s="16">
        <f>IF(Table1[[#This Row],[Gain/Loss]]="Gain",Table1[[#This Row],[Quantity]], 0)</f>
        <v>0</v>
      </c>
      <c r="W316" s="16">
        <f>IF(Table1[[#This Row],[Gain/Loss]]="Loss",Table1[[#This Row],[Quantity]],0)</f>
        <v>5</v>
      </c>
      <c r="X316" s="16">
        <f>IF(OR(Table1[[#This Row],[Gain/Loss]]="Gain",Table1[[#This Row],[Gain/Loss]]="Loss"),Table1[[#This Row],[Quantity]],"")</f>
        <v>5</v>
      </c>
    </row>
    <row r="317" spans="1:24" x14ac:dyDescent="0.25">
      <c r="A317">
        <v>10316</v>
      </c>
      <c r="B317" s="1">
        <v>45973</v>
      </c>
      <c r="C317" s="1" t="str">
        <f>TEXT(Table1[[#This Row],[Order_Date]],"DD")</f>
        <v>12</v>
      </c>
      <c r="D317" s="1" t="str">
        <f>TEXT(Table1[[#This Row],[Order_Date]],"MMM")</f>
        <v>Nov</v>
      </c>
      <c r="E317" s="1" t="str">
        <f>TEXT(Table1[[#This Row],[Order_Date]],"YYYY")</f>
        <v>2025</v>
      </c>
      <c r="F317">
        <v>3366</v>
      </c>
      <c r="G317" t="s">
        <v>23</v>
      </c>
      <c r="H317" t="s">
        <v>24</v>
      </c>
      <c r="I317" t="s">
        <v>26</v>
      </c>
      <c r="J317" t="s">
        <v>28</v>
      </c>
      <c r="K317">
        <v>2</v>
      </c>
      <c r="L317" s="2">
        <v>170.03</v>
      </c>
      <c r="M317" s="3">
        <v>0.05</v>
      </c>
      <c r="N317" s="2">
        <v>340.06</v>
      </c>
      <c r="O317" s="2">
        <v>17.003</v>
      </c>
      <c r="P317" s="2">
        <v>323.05700000000002</v>
      </c>
      <c r="Q317" s="2">
        <v>71.45</v>
      </c>
      <c r="R317" s="2">
        <v>142.9</v>
      </c>
      <c r="S317" s="2">
        <v>180.15700000000001</v>
      </c>
      <c r="T317" s="3">
        <v>0.55766319875439896</v>
      </c>
      <c r="U317" s="2" t="str">
        <f>IF(Table1[[#This Row],[Net_Revenue]]&lt;Table1[[#This Row],[Total_Cost]], "Loss", "Gain")</f>
        <v>Gain</v>
      </c>
      <c r="V317" s="16">
        <f>IF(Table1[[#This Row],[Gain/Loss]]="Gain",Table1[[#This Row],[Quantity]], 0)</f>
        <v>2</v>
      </c>
      <c r="W317" s="16">
        <f>IF(Table1[[#This Row],[Gain/Loss]]="Loss",Table1[[#This Row],[Quantity]],0)</f>
        <v>0</v>
      </c>
      <c r="X317" s="16">
        <f>IF(OR(Table1[[#This Row],[Gain/Loss]]="Gain",Table1[[#This Row],[Gain/Loss]]="Loss"),Table1[[#This Row],[Quantity]],"")</f>
        <v>2</v>
      </c>
    </row>
    <row r="318" spans="1:24" x14ac:dyDescent="0.25">
      <c r="A318">
        <v>10317</v>
      </c>
      <c r="B318" s="1">
        <v>45974</v>
      </c>
      <c r="C318" s="1" t="str">
        <f>TEXT(Table1[[#This Row],[Order_Date]],"DD")</f>
        <v>13</v>
      </c>
      <c r="D318" s="1" t="str">
        <f>TEXT(Table1[[#This Row],[Order_Date]],"MMM")</f>
        <v>Nov</v>
      </c>
      <c r="E318" s="1" t="str">
        <f>TEXT(Table1[[#This Row],[Order_Date]],"YYYY")</f>
        <v>2025</v>
      </c>
      <c r="F318">
        <v>3490</v>
      </c>
      <c r="G318" t="s">
        <v>23</v>
      </c>
      <c r="H318" t="s">
        <v>18</v>
      </c>
      <c r="I318" t="s">
        <v>26</v>
      </c>
      <c r="J318" t="s">
        <v>31</v>
      </c>
      <c r="K318">
        <v>8</v>
      </c>
      <c r="L318" s="2">
        <v>212.47</v>
      </c>
      <c r="M318" s="3">
        <v>0</v>
      </c>
      <c r="N318" s="2">
        <v>1699.76</v>
      </c>
      <c r="O318" s="2">
        <v>0</v>
      </c>
      <c r="P318" s="2">
        <v>1699.76</v>
      </c>
      <c r="Q318" s="2">
        <v>47.43</v>
      </c>
      <c r="R318" s="2">
        <v>379.44</v>
      </c>
      <c r="S318" s="2">
        <v>1320.32</v>
      </c>
      <c r="T318" s="3">
        <v>0.776768484962582</v>
      </c>
      <c r="U318" s="2" t="str">
        <f>IF(Table1[[#This Row],[Net_Revenue]]&lt;Table1[[#This Row],[Total_Cost]], "Loss", "Gain")</f>
        <v>Gain</v>
      </c>
      <c r="V318" s="16">
        <f>IF(Table1[[#This Row],[Gain/Loss]]="Gain",Table1[[#This Row],[Quantity]], 0)</f>
        <v>8</v>
      </c>
      <c r="W318" s="16">
        <f>IF(Table1[[#This Row],[Gain/Loss]]="Loss",Table1[[#This Row],[Quantity]],0)</f>
        <v>0</v>
      </c>
      <c r="X318" s="16">
        <f>IF(OR(Table1[[#This Row],[Gain/Loss]]="Gain",Table1[[#This Row],[Gain/Loss]]="Loss"),Table1[[#This Row],[Quantity]],"")</f>
        <v>8</v>
      </c>
    </row>
    <row r="319" spans="1:24" x14ac:dyDescent="0.25">
      <c r="A319">
        <v>10318</v>
      </c>
      <c r="B319" s="1">
        <v>45975</v>
      </c>
      <c r="C319" s="1" t="str">
        <f>TEXT(Table1[[#This Row],[Order_Date]],"DD")</f>
        <v>14</v>
      </c>
      <c r="D319" s="1" t="str">
        <f>TEXT(Table1[[#This Row],[Order_Date]],"MMM")</f>
        <v>Nov</v>
      </c>
      <c r="E319" s="1" t="str">
        <f>TEXT(Table1[[#This Row],[Order_Date]],"YYYY")</f>
        <v>2025</v>
      </c>
      <c r="F319">
        <v>3436</v>
      </c>
      <c r="G319" t="s">
        <v>17</v>
      </c>
      <c r="H319" t="s">
        <v>24</v>
      </c>
      <c r="I319" t="s">
        <v>26</v>
      </c>
      <c r="J319" t="s">
        <v>30</v>
      </c>
      <c r="K319">
        <v>4</v>
      </c>
      <c r="L319" s="2">
        <v>126.7</v>
      </c>
      <c r="M319" s="3">
        <v>0.2</v>
      </c>
      <c r="N319" s="2">
        <v>506.8</v>
      </c>
      <c r="O319" s="2">
        <v>101.36</v>
      </c>
      <c r="P319" s="2">
        <v>405.44</v>
      </c>
      <c r="Q319" s="2">
        <v>114.54</v>
      </c>
      <c r="R319" s="2">
        <v>458.16</v>
      </c>
      <c r="S319" s="2">
        <v>-52.72</v>
      </c>
      <c r="T319" s="3">
        <v>-0.13003157063930501</v>
      </c>
      <c r="U319" s="2" t="str">
        <f>IF(Table1[[#This Row],[Net_Revenue]]&lt;Table1[[#This Row],[Total_Cost]], "Loss", "Gain")</f>
        <v>Loss</v>
      </c>
      <c r="V319" s="16">
        <f>IF(Table1[[#This Row],[Gain/Loss]]="Gain",Table1[[#This Row],[Quantity]], 0)</f>
        <v>0</v>
      </c>
      <c r="W319" s="16">
        <f>IF(Table1[[#This Row],[Gain/Loss]]="Loss",Table1[[#This Row],[Quantity]],0)</f>
        <v>4</v>
      </c>
      <c r="X319" s="16">
        <f>IF(OR(Table1[[#This Row],[Gain/Loss]]="Gain",Table1[[#This Row],[Gain/Loss]]="Loss"),Table1[[#This Row],[Quantity]],"")</f>
        <v>4</v>
      </c>
    </row>
    <row r="320" spans="1:24" x14ac:dyDescent="0.25">
      <c r="A320">
        <v>10319</v>
      </c>
      <c r="B320" s="1">
        <v>45976</v>
      </c>
      <c r="C320" s="1" t="str">
        <f>TEXT(Table1[[#This Row],[Order_Date]],"DD")</f>
        <v>15</v>
      </c>
      <c r="D320" s="1" t="str">
        <f>TEXT(Table1[[#This Row],[Order_Date]],"MMM")</f>
        <v>Nov</v>
      </c>
      <c r="E320" s="1" t="str">
        <f>TEXT(Table1[[#This Row],[Order_Date]],"YYYY")</f>
        <v>2025</v>
      </c>
      <c r="F320">
        <v>3735</v>
      </c>
      <c r="G320" t="s">
        <v>29</v>
      </c>
      <c r="H320" t="s">
        <v>24</v>
      </c>
      <c r="I320" t="s">
        <v>26</v>
      </c>
      <c r="J320" t="s">
        <v>31</v>
      </c>
      <c r="K320">
        <v>7</v>
      </c>
      <c r="L320" s="2">
        <v>66.900000000000006</v>
      </c>
      <c r="M320" s="3">
        <v>0.15</v>
      </c>
      <c r="N320" s="2">
        <v>468.3</v>
      </c>
      <c r="O320" s="2">
        <v>70.245000000000005</v>
      </c>
      <c r="P320" s="2">
        <v>398.05500000000001</v>
      </c>
      <c r="Q320" s="2">
        <v>72.540000000000006</v>
      </c>
      <c r="R320" s="2">
        <v>507.78</v>
      </c>
      <c r="S320" s="2">
        <v>-109.724999999999</v>
      </c>
      <c r="T320" s="3">
        <v>-0.27565286204167699</v>
      </c>
      <c r="U320" s="2" t="str">
        <f>IF(Table1[[#This Row],[Net_Revenue]]&lt;Table1[[#This Row],[Total_Cost]], "Loss", "Gain")</f>
        <v>Loss</v>
      </c>
      <c r="V320" s="16">
        <f>IF(Table1[[#This Row],[Gain/Loss]]="Gain",Table1[[#This Row],[Quantity]], 0)</f>
        <v>0</v>
      </c>
      <c r="W320" s="16">
        <f>IF(Table1[[#This Row],[Gain/Loss]]="Loss",Table1[[#This Row],[Quantity]],0)</f>
        <v>7</v>
      </c>
      <c r="X320" s="16">
        <f>IF(OR(Table1[[#This Row],[Gain/Loss]]="Gain",Table1[[#This Row],[Gain/Loss]]="Loss"),Table1[[#This Row],[Quantity]],"")</f>
        <v>7</v>
      </c>
    </row>
    <row r="321" spans="1:24" x14ac:dyDescent="0.25">
      <c r="A321">
        <v>10320</v>
      </c>
      <c r="B321" s="1">
        <v>45977</v>
      </c>
      <c r="C321" s="1" t="str">
        <f>TEXT(Table1[[#This Row],[Order_Date]],"DD")</f>
        <v>16</v>
      </c>
      <c r="D321" s="1" t="str">
        <f>TEXT(Table1[[#This Row],[Order_Date]],"MMM")</f>
        <v>Nov</v>
      </c>
      <c r="E321" s="1" t="str">
        <f>TEXT(Table1[[#This Row],[Order_Date]],"YYYY")</f>
        <v>2025</v>
      </c>
      <c r="F321">
        <v>3647</v>
      </c>
      <c r="G321" t="s">
        <v>23</v>
      </c>
      <c r="H321" t="s">
        <v>18</v>
      </c>
      <c r="I321" t="s">
        <v>19</v>
      </c>
      <c r="J321" t="s">
        <v>27</v>
      </c>
      <c r="K321">
        <v>4</v>
      </c>
      <c r="L321" s="2">
        <v>105.58</v>
      </c>
      <c r="M321" s="3">
        <v>0.2</v>
      </c>
      <c r="N321" s="2">
        <v>422.32</v>
      </c>
      <c r="O321" s="2">
        <v>84.463999999999999</v>
      </c>
      <c r="P321" s="2">
        <v>337.85599999999999</v>
      </c>
      <c r="Q321" s="2">
        <v>40.47</v>
      </c>
      <c r="R321" s="2">
        <v>161.88</v>
      </c>
      <c r="S321" s="2">
        <v>175.976</v>
      </c>
      <c r="T321" s="3">
        <v>0.52086095851487002</v>
      </c>
      <c r="U321" s="2" t="str">
        <f>IF(Table1[[#This Row],[Net_Revenue]]&lt;Table1[[#This Row],[Total_Cost]], "Loss", "Gain")</f>
        <v>Gain</v>
      </c>
      <c r="V321" s="16">
        <f>IF(Table1[[#This Row],[Gain/Loss]]="Gain",Table1[[#This Row],[Quantity]], 0)</f>
        <v>4</v>
      </c>
      <c r="W321" s="16">
        <f>IF(Table1[[#This Row],[Gain/Loss]]="Loss",Table1[[#This Row],[Quantity]],0)</f>
        <v>0</v>
      </c>
      <c r="X321" s="16">
        <f>IF(OR(Table1[[#This Row],[Gain/Loss]]="Gain",Table1[[#This Row],[Gain/Loss]]="Loss"),Table1[[#This Row],[Quantity]],"")</f>
        <v>4</v>
      </c>
    </row>
    <row r="322" spans="1:24" x14ac:dyDescent="0.25">
      <c r="A322">
        <v>10321</v>
      </c>
      <c r="B322" s="1">
        <v>45978</v>
      </c>
      <c r="C322" s="1" t="str">
        <f>TEXT(Table1[[#This Row],[Order_Date]],"DD")</f>
        <v>17</v>
      </c>
      <c r="D322" s="1" t="str">
        <f>TEXT(Table1[[#This Row],[Order_Date]],"MMM")</f>
        <v>Nov</v>
      </c>
      <c r="E322" s="1" t="str">
        <f>TEXT(Table1[[#This Row],[Order_Date]],"YYYY")</f>
        <v>2025</v>
      </c>
      <c r="F322">
        <v>3092</v>
      </c>
      <c r="G322" t="s">
        <v>17</v>
      </c>
      <c r="H322" t="s">
        <v>18</v>
      </c>
      <c r="I322" t="s">
        <v>26</v>
      </c>
      <c r="J322" t="s">
        <v>28</v>
      </c>
      <c r="K322">
        <v>9</v>
      </c>
      <c r="L322" s="2">
        <v>23.88</v>
      </c>
      <c r="M322" s="3">
        <v>0.15</v>
      </c>
      <c r="N322" s="2">
        <v>214.92</v>
      </c>
      <c r="O322" s="2">
        <v>32.238</v>
      </c>
      <c r="P322" s="2">
        <v>182.68199999999999</v>
      </c>
      <c r="Q322" s="2">
        <v>61.85</v>
      </c>
      <c r="R322" s="2">
        <v>556.65</v>
      </c>
      <c r="S322" s="2">
        <v>-373.96799999999899</v>
      </c>
      <c r="T322" s="3">
        <v>-2.0470982362794299</v>
      </c>
      <c r="U322" s="2" t="str">
        <f>IF(Table1[[#This Row],[Net_Revenue]]&lt;Table1[[#This Row],[Total_Cost]], "Loss", "Gain")</f>
        <v>Loss</v>
      </c>
      <c r="V322" s="16">
        <f>IF(Table1[[#This Row],[Gain/Loss]]="Gain",Table1[[#This Row],[Quantity]], 0)</f>
        <v>0</v>
      </c>
      <c r="W322" s="16">
        <f>IF(Table1[[#This Row],[Gain/Loss]]="Loss",Table1[[#This Row],[Quantity]],0)</f>
        <v>9</v>
      </c>
      <c r="X322" s="16">
        <f>IF(OR(Table1[[#This Row],[Gain/Loss]]="Gain",Table1[[#This Row],[Gain/Loss]]="Loss"),Table1[[#This Row],[Quantity]],"")</f>
        <v>9</v>
      </c>
    </row>
    <row r="323" spans="1:24" x14ac:dyDescent="0.25">
      <c r="A323">
        <v>10322</v>
      </c>
      <c r="B323" s="1">
        <v>45979</v>
      </c>
      <c r="C323" s="1" t="str">
        <f>TEXT(Table1[[#This Row],[Order_Date]],"DD")</f>
        <v>18</v>
      </c>
      <c r="D323" s="1" t="str">
        <f>TEXT(Table1[[#This Row],[Order_Date]],"MMM")</f>
        <v>Nov</v>
      </c>
      <c r="E323" s="1" t="str">
        <f>TEXT(Table1[[#This Row],[Order_Date]],"YYYY")</f>
        <v>2025</v>
      </c>
      <c r="F323">
        <v>3495</v>
      </c>
      <c r="G323" t="s">
        <v>23</v>
      </c>
      <c r="H323" t="s">
        <v>18</v>
      </c>
      <c r="I323" t="s">
        <v>26</v>
      </c>
      <c r="J323" t="s">
        <v>31</v>
      </c>
      <c r="K323">
        <v>1</v>
      </c>
      <c r="L323" s="2">
        <v>182.56</v>
      </c>
      <c r="M323" s="3">
        <v>0.05</v>
      </c>
      <c r="N323" s="2">
        <v>182.56</v>
      </c>
      <c r="O323" s="2">
        <v>9.1280000000000001</v>
      </c>
      <c r="P323" s="2">
        <v>173.43199999999999</v>
      </c>
      <c r="Q323" s="2">
        <v>120.41</v>
      </c>
      <c r="R323" s="2">
        <v>120.41</v>
      </c>
      <c r="S323" s="2">
        <v>53.021999999999998</v>
      </c>
      <c r="T323" s="3">
        <v>0.30572212740440002</v>
      </c>
      <c r="U323" s="2" t="str">
        <f>IF(Table1[[#This Row],[Net_Revenue]]&lt;Table1[[#This Row],[Total_Cost]], "Loss", "Gain")</f>
        <v>Gain</v>
      </c>
      <c r="V323" s="16">
        <f>IF(Table1[[#This Row],[Gain/Loss]]="Gain",Table1[[#This Row],[Quantity]], 0)</f>
        <v>1</v>
      </c>
      <c r="W323" s="16">
        <f>IF(Table1[[#This Row],[Gain/Loss]]="Loss",Table1[[#This Row],[Quantity]],0)</f>
        <v>0</v>
      </c>
      <c r="X323" s="16">
        <f>IF(OR(Table1[[#This Row],[Gain/Loss]]="Gain",Table1[[#This Row],[Gain/Loss]]="Loss"),Table1[[#This Row],[Quantity]],"")</f>
        <v>1</v>
      </c>
    </row>
    <row r="324" spans="1:24" x14ac:dyDescent="0.25">
      <c r="A324">
        <v>10323</v>
      </c>
      <c r="B324" s="1">
        <v>45980</v>
      </c>
      <c r="C324" s="1" t="str">
        <f>TEXT(Table1[[#This Row],[Order_Date]],"DD")</f>
        <v>19</v>
      </c>
      <c r="D324" s="1" t="str">
        <f>TEXT(Table1[[#This Row],[Order_Date]],"MMM")</f>
        <v>Nov</v>
      </c>
      <c r="E324" s="1" t="str">
        <f>TEXT(Table1[[#This Row],[Order_Date]],"YYYY")</f>
        <v>2025</v>
      </c>
      <c r="F324">
        <v>3826</v>
      </c>
      <c r="G324" t="s">
        <v>17</v>
      </c>
      <c r="H324" t="s">
        <v>24</v>
      </c>
      <c r="I324" t="s">
        <v>25</v>
      </c>
      <c r="J324" t="s">
        <v>32</v>
      </c>
      <c r="K324">
        <v>5</v>
      </c>
      <c r="L324" s="2">
        <v>63.93</v>
      </c>
      <c r="M324" s="3">
        <v>0.2</v>
      </c>
      <c r="N324" s="2">
        <v>319.64999999999998</v>
      </c>
      <c r="O324" s="2">
        <v>63.93</v>
      </c>
      <c r="P324" s="2">
        <v>255.719999999999</v>
      </c>
      <c r="Q324" s="2">
        <v>13.5</v>
      </c>
      <c r="R324" s="2">
        <v>67.5</v>
      </c>
      <c r="S324" s="2">
        <v>188.219999999999</v>
      </c>
      <c r="T324" s="3">
        <v>0.73603941811356099</v>
      </c>
      <c r="U324" s="2" t="str">
        <f>IF(Table1[[#This Row],[Net_Revenue]]&lt;Table1[[#This Row],[Total_Cost]], "Loss", "Gain")</f>
        <v>Gain</v>
      </c>
      <c r="V324" s="16">
        <f>IF(Table1[[#This Row],[Gain/Loss]]="Gain",Table1[[#This Row],[Quantity]], 0)</f>
        <v>5</v>
      </c>
      <c r="W324" s="16">
        <f>IF(Table1[[#This Row],[Gain/Loss]]="Loss",Table1[[#This Row],[Quantity]],0)</f>
        <v>0</v>
      </c>
      <c r="X324" s="16">
        <f>IF(OR(Table1[[#This Row],[Gain/Loss]]="Gain",Table1[[#This Row],[Gain/Loss]]="Loss"),Table1[[#This Row],[Quantity]],"")</f>
        <v>5</v>
      </c>
    </row>
    <row r="325" spans="1:24" x14ac:dyDescent="0.25">
      <c r="A325">
        <v>10324</v>
      </c>
      <c r="B325" s="1">
        <v>45981</v>
      </c>
      <c r="C325" s="1" t="str">
        <f>TEXT(Table1[[#This Row],[Order_Date]],"DD")</f>
        <v>20</v>
      </c>
      <c r="D325" s="1" t="str">
        <f>TEXT(Table1[[#This Row],[Order_Date]],"MMM")</f>
        <v>Nov</v>
      </c>
      <c r="E325" s="1" t="str">
        <f>TEXT(Table1[[#This Row],[Order_Date]],"YYYY")</f>
        <v>2025</v>
      </c>
      <c r="F325">
        <v>3690</v>
      </c>
      <c r="G325" t="s">
        <v>29</v>
      </c>
      <c r="H325" t="s">
        <v>18</v>
      </c>
      <c r="I325" t="s">
        <v>26</v>
      </c>
      <c r="J325" t="s">
        <v>31</v>
      </c>
      <c r="K325">
        <v>6</v>
      </c>
      <c r="L325" s="2">
        <v>124.01</v>
      </c>
      <c r="M325" s="3">
        <v>0.1</v>
      </c>
      <c r="N325" s="2">
        <v>744.06</v>
      </c>
      <c r="O325" s="2">
        <v>74.406000000000006</v>
      </c>
      <c r="P325" s="2">
        <v>669.654</v>
      </c>
      <c r="Q325" s="2">
        <v>51.72</v>
      </c>
      <c r="R325" s="2">
        <v>310.32</v>
      </c>
      <c r="S325" s="2">
        <v>359.334</v>
      </c>
      <c r="T325" s="3">
        <v>0.53659651103405603</v>
      </c>
      <c r="U325" s="2" t="str">
        <f>IF(Table1[[#This Row],[Net_Revenue]]&lt;Table1[[#This Row],[Total_Cost]], "Loss", "Gain")</f>
        <v>Gain</v>
      </c>
      <c r="V325" s="16">
        <f>IF(Table1[[#This Row],[Gain/Loss]]="Gain",Table1[[#This Row],[Quantity]], 0)</f>
        <v>6</v>
      </c>
      <c r="W325" s="16">
        <f>IF(Table1[[#This Row],[Gain/Loss]]="Loss",Table1[[#This Row],[Quantity]],0)</f>
        <v>0</v>
      </c>
      <c r="X325" s="16">
        <f>IF(OR(Table1[[#This Row],[Gain/Loss]]="Gain",Table1[[#This Row],[Gain/Loss]]="Loss"),Table1[[#This Row],[Quantity]],"")</f>
        <v>6</v>
      </c>
    </row>
    <row r="326" spans="1:24" x14ac:dyDescent="0.25">
      <c r="A326">
        <v>10325</v>
      </c>
      <c r="B326" s="1">
        <v>45982</v>
      </c>
      <c r="C326" s="1" t="str">
        <f>TEXT(Table1[[#This Row],[Order_Date]],"DD")</f>
        <v>21</v>
      </c>
      <c r="D326" s="1" t="str">
        <f>TEXT(Table1[[#This Row],[Order_Date]],"MMM")</f>
        <v>Nov</v>
      </c>
      <c r="E326" s="1" t="str">
        <f>TEXT(Table1[[#This Row],[Order_Date]],"YYYY")</f>
        <v>2025</v>
      </c>
      <c r="F326">
        <v>3688</v>
      </c>
      <c r="G326" t="s">
        <v>17</v>
      </c>
      <c r="H326" t="s">
        <v>24</v>
      </c>
      <c r="I326" t="s">
        <v>33</v>
      </c>
      <c r="J326" t="s">
        <v>20</v>
      </c>
      <c r="K326">
        <v>5</v>
      </c>
      <c r="L326" s="2">
        <v>79.55</v>
      </c>
      <c r="M326" s="3">
        <v>0.1</v>
      </c>
      <c r="N326" s="2">
        <v>397.75</v>
      </c>
      <c r="O326" s="2">
        <v>39.774999999999999</v>
      </c>
      <c r="P326" s="2">
        <v>357.97500000000002</v>
      </c>
      <c r="Q326" s="2">
        <v>110.47</v>
      </c>
      <c r="R326" s="2">
        <v>552.35</v>
      </c>
      <c r="S326" s="2">
        <v>-194.375</v>
      </c>
      <c r="T326" s="3">
        <v>-0.54298484531042601</v>
      </c>
      <c r="U326" s="2" t="str">
        <f>IF(Table1[[#This Row],[Net_Revenue]]&lt;Table1[[#This Row],[Total_Cost]], "Loss", "Gain")</f>
        <v>Loss</v>
      </c>
      <c r="V326" s="16">
        <f>IF(Table1[[#This Row],[Gain/Loss]]="Gain",Table1[[#This Row],[Quantity]], 0)</f>
        <v>0</v>
      </c>
      <c r="W326" s="16">
        <f>IF(Table1[[#This Row],[Gain/Loss]]="Loss",Table1[[#This Row],[Quantity]],0)</f>
        <v>5</v>
      </c>
      <c r="X326" s="16">
        <f>IF(OR(Table1[[#This Row],[Gain/Loss]]="Gain",Table1[[#This Row],[Gain/Loss]]="Loss"),Table1[[#This Row],[Quantity]],"")</f>
        <v>5</v>
      </c>
    </row>
    <row r="327" spans="1:24" x14ac:dyDescent="0.25">
      <c r="A327">
        <v>10326</v>
      </c>
      <c r="B327" s="1">
        <v>45983</v>
      </c>
      <c r="C327" s="1" t="str">
        <f>TEXT(Table1[[#This Row],[Order_Date]],"DD")</f>
        <v>22</v>
      </c>
      <c r="D327" s="1" t="str">
        <f>TEXT(Table1[[#This Row],[Order_Date]],"MMM")</f>
        <v>Nov</v>
      </c>
      <c r="E327" s="1" t="str">
        <f>TEXT(Table1[[#This Row],[Order_Date]],"YYYY")</f>
        <v>2025</v>
      </c>
      <c r="F327">
        <v>3846</v>
      </c>
      <c r="G327" t="s">
        <v>23</v>
      </c>
      <c r="H327" t="s">
        <v>24</v>
      </c>
      <c r="I327" t="s">
        <v>26</v>
      </c>
      <c r="J327" t="s">
        <v>28</v>
      </c>
      <c r="K327">
        <v>8</v>
      </c>
      <c r="L327" s="2">
        <v>98.65</v>
      </c>
      <c r="M327" s="3">
        <v>0.2</v>
      </c>
      <c r="N327" s="2">
        <v>789.2</v>
      </c>
      <c r="O327" s="2">
        <v>157.84</v>
      </c>
      <c r="P327" s="2">
        <v>631.36</v>
      </c>
      <c r="Q327" s="2">
        <v>93.84</v>
      </c>
      <c r="R327" s="2">
        <v>750.72</v>
      </c>
      <c r="S327" s="2">
        <v>-119.36</v>
      </c>
      <c r="T327" s="3">
        <v>-0.189052204764318</v>
      </c>
      <c r="U327" s="2" t="str">
        <f>IF(Table1[[#This Row],[Net_Revenue]]&lt;Table1[[#This Row],[Total_Cost]], "Loss", "Gain")</f>
        <v>Loss</v>
      </c>
      <c r="V327" s="16">
        <f>IF(Table1[[#This Row],[Gain/Loss]]="Gain",Table1[[#This Row],[Quantity]], 0)</f>
        <v>0</v>
      </c>
      <c r="W327" s="16">
        <f>IF(Table1[[#This Row],[Gain/Loss]]="Loss",Table1[[#This Row],[Quantity]],0)</f>
        <v>8</v>
      </c>
      <c r="X327" s="16">
        <f>IF(OR(Table1[[#This Row],[Gain/Loss]]="Gain",Table1[[#This Row],[Gain/Loss]]="Loss"),Table1[[#This Row],[Quantity]],"")</f>
        <v>8</v>
      </c>
    </row>
    <row r="328" spans="1:24" x14ac:dyDescent="0.25">
      <c r="A328">
        <v>10327</v>
      </c>
      <c r="B328" s="1">
        <v>45984</v>
      </c>
      <c r="C328" s="1" t="str">
        <f>TEXT(Table1[[#This Row],[Order_Date]],"DD")</f>
        <v>23</v>
      </c>
      <c r="D328" s="1" t="str">
        <f>TEXT(Table1[[#This Row],[Order_Date]],"MMM")</f>
        <v>Nov</v>
      </c>
      <c r="E328" s="1" t="str">
        <f>TEXT(Table1[[#This Row],[Order_Date]],"YYYY")</f>
        <v>2025</v>
      </c>
      <c r="F328">
        <v>3559</v>
      </c>
      <c r="G328" t="s">
        <v>29</v>
      </c>
      <c r="H328" t="s">
        <v>18</v>
      </c>
      <c r="I328" t="s">
        <v>26</v>
      </c>
      <c r="J328" t="s">
        <v>31</v>
      </c>
      <c r="K328">
        <v>3</v>
      </c>
      <c r="L328" s="2">
        <v>132.06</v>
      </c>
      <c r="M328" s="3">
        <v>0.05</v>
      </c>
      <c r="N328" s="2">
        <v>396.18</v>
      </c>
      <c r="O328" s="2">
        <v>19.809000000000001</v>
      </c>
      <c r="P328" s="2">
        <v>376.37099999999998</v>
      </c>
      <c r="Q328" s="2">
        <v>68.72</v>
      </c>
      <c r="R328" s="2">
        <v>206.16</v>
      </c>
      <c r="S328" s="2">
        <v>170.21099999999899</v>
      </c>
      <c r="T328" s="3">
        <v>0.45224260105055897</v>
      </c>
      <c r="U328" s="2" t="str">
        <f>IF(Table1[[#This Row],[Net_Revenue]]&lt;Table1[[#This Row],[Total_Cost]], "Loss", "Gain")</f>
        <v>Gain</v>
      </c>
      <c r="V328" s="16">
        <f>IF(Table1[[#This Row],[Gain/Loss]]="Gain",Table1[[#This Row],[Quantity]], 0)</f>
        <v>3</v>
      </c>
      <c r="W328" s="16">
        <f>IF(Table1[[#This Row],[Gain/Loss]]="Loss",Table1[[#This Row],[Quantity]],0)</f>
        <v>0</v>
      </c>
      <c r="X328" s="16">
        <f>IF(OR(Table1[[#This Row],[Gain/Loss]]="Gain",Table1[[#This Row],[Gain/Loss]]="Loss"),Table1[[#This Row],[Quantity]],"")</f>
        <v>3</v>
      </c>
    </row>
    <row r="329" spans="1:24" x14ac:dyDescent="0.25">
      <c r="A329">
        <v>10328</v>
      </c>
      <c r="B329" s="1">
        <v>45985</v>
      </c>
      <c r="C329" s="1" t="str">
        <f>TEXT(Table1[[#This Row],[Order_Date]],"DD")</f>
        <v>24</v>
      </c>
      <c r="D329" s="1" t="str">
        <f>TEXT(Table1[[#This Row],[Order_Date]],"MMM")</f>
        <v>Nov</v>
      </c>
      <c r="E329" s="1" t="str">
        <f>TEXT(Table1[[#This Row],[Order_Date]],"YYYY")</f>
        <v>2025</v>
      </c>
      <c r="F329">
        <v>3638</v>
      </c>
      <c r="G329" t="s">
        <v>21</v>
      </c>
      <c r="H329" t="s">
        <v>18</v>
      </c>
      <c r="I329" t="s">
        <v>26</v>
      </c>
      <c r="J329" t="s">
        <v>30</v>
      </c>
      <c r="K329">
        <v>1</v>
      </c>
      <c r="L329" s="2">
        <v>55.67</v>
      </c>
      <c r="M329" s="3">
        <v>0.1</v>
      </c>
      <c r="N329" s="2">
        <v>55.67</v>
      </c>
      <c r="O329" s="2">
        <v>5.5670000000000002</v>
      </c>
      <c r="P329" s="2">
        <v>50.103000000000002</v>
      </c>
      <c r="Q329" s="2">
        <v>27.58</v>
      </c>
      <c r="R329" s="2">
        <v>27.58</v>
      </c>
      <c r="S329" s="2">
        <v>22.523</v>
      </c>
      <c r="T329" s="3">
        <v>0.449533960042312</v>
      </c>
      <c r="U329" s="2" t="str">
        <f>IF(Table1[[#This Row],[Net_Revenue]]&lt;Table1[[#This Row],[Total_Cost]], "Loss", "Gain")</f>
        <v>Gain</v>
      </c>
      <c r="V329" s="16">
        <f>IF(Table1[[#This Row],[Gain/Loss]]="Gain",Table1[[#This Row],[Quantity]], 0)</f>
        <v>1</v>
      </c>
      <c r="W329" s="16">
        <f>IF(Table1[[#This Row],[Gain/Loss]]="Loss",Table1[[#This Row],[Quantity]],0)</f>
        <v>0</v>
      </c>
      <c r="X329" s="16">
        <f>IF(OR(Table1[[#This Row],[Gain/Loss]]="Gain",Table1[[#This Row],[Gain/Loss]]="Loss"),Table1[[#This Row],[Quantity]],"")</f>
        <v>1</v>
      </c>
    </row>
    <row r="330" spans="1:24" x14ac:dyDescent="0.25">
      <c r="A330">
        <v>10329</v>
      </c>
      <c r="B330" s="1">
        <v>45986</v>
      </c>
      <c r="C330" s="1" t="str">
        <f>TEXT(Table1[[#This Row],[Order_Date]],"DD")</f>
        <v>25</v>
      </c>
      <c r="D330" s="1" t="str">
        <f>TEXT(Table1[[#This Row],[Order_Date]],"MMM")</f>
        <v>Nov</v>
      </c>
      <c r="E330" s="1" t="str">
        <f>TEXT(Table1[[#This Row],[Order_Date]],"YYYY")</f>
        <v>2025</v>
      </c>
      <c r="F330">
        <v>3958</v>
      </c>
      <c r="G330" t="s">
        <v>21</v>
      </c>
      <c r="H330" t="s">
        <v>18</v>
      </c>
      <c r="I330" t="s">
        <v>26</v>
      </c>
      <c r="J330" t="s">
        <v>30</v>
      </c>
      <c r="K330">
        <v>2</v>
      </c>
      <c r="L330" s="2">
        <v>184.53</v>
      </c>
      <c r="M330" s="3">
        <v>0.1</v>
      </c>
      <c r="N330" s="2">
        <v>369.06</v>
      </c>
      <c r="O330" s="2">
        <v>36.905999999999999</v>
      </c>
      <c r="P330" s="2">
        <v>332.154</v>
      </c>
      <c r="Q330" s="2">
        <v>11.9</v>
      </c>
      <c r="R330" s="2">
        <v>23.8</v>
      </c>
      <c r="S330" s="2">
        <v>308.35399999999998</v>
      </c>
      <c r="T330" s="3">
        <v>0.92834648988119894</v>
      </c>
      <c r="U330" s="2" t="str">
        <f>IF(Table1[[#This Row],[Net_Revenue]]&lt;Table1[[#This Row],[Total_Cost]], "Loss", "Gain")</f>
        <v>Gain</v>
      </c>
      <c r="V330" s="16">
        <f>IF(Table1[[#This Row],[Gain/Loss]]="Gain",Table1[[#This Row],[Quantity]], 0)</f>
        <v>2</v>
      </c>
      <c r="W330" s="16">
        <f>IF(Table1[[#This Row],[Gain/Loss]]="Loss",Table1[[#This Row],[Quantity]],0)</f>
        <v>0</v>
      </c>
      <c r="X330" s="16">
        <f>IF(OR(Table1[[#This Row],[Gain/Loss]]="Gain",Table1[[#This Row],[Gain/Loss]]="Loss"),Table1[[#This Row],[Quantity]],"")</f>
        <v>2</v>
      </c>
    </row>
    <row r="331" spans="1:24" x14ac:dyDescent="0.25">
      <c r="A331">
        <v>10330</v>
      </c>
      <c r="B331" s="1">
        <v>45987</v>
      </c>
      <c r="C331" s="1" t="str">
        <f>TEXT(Table1[[#This Row],[Order_Date]],"DD")</f>
        <v>26</v>
      </c>
      <c r="D331" s="1" t="str">
        <f>TEXT(Table1[[#This Row],[Order_Date]],"MMM")</f>
        <v>Nov</v>
      </c>
      <c r="E331" s="1" t="str">
        <f>TEXT(Table1[[#This Row],[Order_Date]],"YYYY")</f>
        <v>2025</v>
      </c>
      <c r="F331">
        <v>3461</v>
      </c>
      <c r="G331" t="s">
        <v>23</v>
      </c>
      <c r="H331" t="s">
        <v>24</v>
      </c>
      <c r="I331" t="s">
        <v>19</v>
      </c>
      <c r="J331" t="s">
        <v>27</v>
      </c>
      <c r="K331">
        <v>6</v>
      </c>
      <c r="L331" s="2">
        <v>35.770000000000003</v>
      </c>
      <c r="M331" s="3">
        <v>0</v>
      </c>
      <c r="N331" s="2">
        <v>214.62</v>
      </c>
      <c r="O331" s="2">
        <v>0</v>
      </c>
      <c r="P331" s="2">
        <v>214.62</v>
      </c>
      <c r="Q331" s="2">
        <v>63.16</v>
      </c>
      <c r="R331" s="2">
        <v>378.96</v>
      </c>
      <c r="S331" s="2">
        <v>-164.33999999999901</v>
      </c>
      <c r="T331" s="3">
        <v>-0.76572546826949905</v>
      </c>
      <c r="U331" s="2" t="str">
        <f>IF(Table1[[#This Row],[Net_Revenue]]&lt;Table1[[#This Row],[Total_Cost]], "Loss", "Gain")</f>
        <v>Loss</v>
      </c>
      <c r="V331" s="16">
        <f>IF(Table1[[#This Row],[Gain/Loss]]="Gain",Table1[[#This Row],[Quantity]], 0)</f>
        <v>0</v>
      </c>
      <c r="W331" s="16">
        <f>IF(Table1[[#This Row],[Gain/Loss]]="Loss",Table1[[#This Row],[Quantity]],0)</f>
        <v>6</v>
      </c>
      <c r="X331" s="16">
        <f>IF(OR(Table1[[#This Row],[Gain/Loss]]="Gain",Table1[[#This Row],[Gain/Loss]]="Loss"),Table1[[#This Row],[Quantity]],"")</f>
        <v>6</v>
      </c>
    </row>
    <row r="332" spans="1:24" x14ac:dyDescent="0.25">
      <c r="A332">
        <v>10331</v>
      </c>
      <c r="B332" s="1">
        <v>45988</v>
      </c>
      <c r="C332" s="1" t="str">
        <f>TEXT(Table1[[#This Row],[Order_Date]],"DD")</f>
        <v>27</v>
      </c>
      <c r="D332" s="1" t="str">
        <f>TEXT(Table1[[#This Row],[Order_Date]],"MMM")</f>
        <v>Nov</v>
      </c>
      <c r="E332" s="1" t="str">
        <f>TEXT(Table1[[#This Row],[Order_Date]],"YYYY")</f>
        <v>2025</v>
      </c>
      <c r="F332">
        <v>3211</v>
      </c>
      <c r="G332" t="s">
        <v>29</v>
      </c>
      <c r="H332" t="s">
        <v>18</v>
      </c>
      <c r="I332" t="s">
        <v>26</v>
      </c>
      <c r="J332" t="s">
        <v>31</v>
      </c>
      <c r="K332">
        <v>8</v>
      </c>
      <c r="L332" s="2">
        <v>191.73</v>
      </c>
      <c r="M332" s="3">
        <v>0</v>
      </c>
      <c r="N332" s="2">
        <v>1533.84</v>
      </c>
      <c r="O332" s="2">
        <v>0</v>
      </c>
      <c r="P332" s="2">
        <v>1533.84</v>
      </c>
      <c r="Q332" s="2">
        <v>104.8</v>
      </c>
      <c r="R332" s="2">
        <v>838.4</v>
      </c>
      <c r="S332" s="2">
        <v>695.43999999999903</v>
      </c>
      <c r="T332" s="3">
        <v>0.45339800761487503</v>
      </c>
      <c r="U332" s="2" t="str">
        <f>IF(Table1[[#This Row],[Net_Revenue]]&lt;Table1[[#This Row],[Total_Cost]], "Loss", "Gain")</f>
        <v>Gain</v>
      </c>
      <c r="V332" s="16">
        <f>IF(Table1[[#This Row],[Gain/Loss]]="Gain",Table1[[#This Row],[Quantity]], 0)</f>
        <v>8</v>
      </c>
      <c r="W332" s="16">
        <f>IF(Table1[[#This Row],[Gain/Loss]]="Loss",Table1[[#This Row],[Quantity]],0)</f>
        <v>0</v>
      </c>
      <c r="X332" s="16">
        <f>IF(OR(Table1[[#This Row],[Gain/Loss]]="Gain",Table1[[#This Row],[Gain/Loss]]="Loss"),Table1[[#This Row],[Quantity]],"")</f>
        <v>8</v>
      </c>
    </row>
    <row r="333" spans="1:24" x14ac:dyDescent="0.25">
      <c r="A333">
        <v>10332</v>
      </c>
      <c r="B333" s="1">
        <v>45989</v>
      </c>
      <c r="C333" s="1" t="str">
        <f>TEXT(Table1[[#This Row],[Order_Date]],"DD")</f>
        <v>28</v>
      </c>
      <c r="D333" s="1" t="str">
        <f>TEXT(Table1[[#This Row],[Order_Date]],"MMM")</f>
        <v>Nov</v>
      </c>
      <c r="E333" s="1" t="str">
        <f>TEXT(Table1[[#This Row],[Order_Date]],"YYYY")</f>
        <v>2025</v>
      </c>
      <c r="F333">
        <v>3105</v>
      </c>
      <c r="G333" t="s">
        <v>29</v>
      </c>
      <c r="H333" t="s">
        <v>18</v>
      </c>
      <c r="I333" t="s">
        <v>25</v>
      </c>
      <c r="J333" t="s">
        <v>32</v>
      </c>
      <c r="K333">
        <v>7</v>
      </c>
      <c r="L333" s="2">
        <v>21.08</v>
      </c>
      <c r="M333" s="3">
        <v>0.15</v>
      </c>
      <c r="N333" s="2">
        <v>147.56</v>
      </c>
      <c r="O333" s="2">
        <v>22.134</v>
      </c>
      <c r="P333" s="2">
        <v>125.426</v>
      </c>
      <c r="Q333" s="2">
        <v>43.84</v>
      </c>
      <c r="R333" s="2">
        <v>306.88</v>
      </c>
      <c r="S333" s="2">
        <v>-181.45400000000001</v>
      </c>
      <c r="T333" s="3">
        <v>-1.4467016408081199</v>
      </c>
      <c r="U333" s="2" t="str">
        <f>IF(Table1[[#This Row],[Net_Revenue]]&lt;Table1[[#This Row],[Total_Cost]], "Loss", "Gain")</f>
        <v>Loss</v>
      </c>
      <c r="V333" s="16">
        <f>IF(Table1[[#This Row],[Gain/Loss]]="Gain",Table1[[#This Row],[Quantity]], 0)</f>
        <v>0</v>
      </c>
      <c r="W333" s="16">
        <f>IF(Table1[[#This Row],[Gain/Loss]]="Loss",Table1[[#This Row],[Quantity]],0)</f>
        <v>7</v>
      </c>
      <c r="X333" s="16">
        <f>IF(OR(Table1[[#This Row],[Gain/Loss]]="Gain",Table1[[#This Row],[Gain/Loss]]="Loss"),Table1[[#This Row],[Quantity]],"")</f>
        <v>7</v>
      </c>
    </row>
    <row r="334" spans="1:24" x14ac:dyDescent="0.25">
      <c r="A334">
        <v>10333</v>
      </c>
      <c r="B334" s="1">
        <v>45990</v>
      </c>
      <c r="C334" s="1" t="str">
        <f>TEXT(Table1[[#This Row],[Order_Date]],"DD")</f>
        <v>29</v>
      </c>
      <c r="D334" s="1" t="str">
        <f>TEXT(Table1[[#This Row],[Order_Date]],"MMM")</f>
        <v>Nov</v>
      </c>
      <c r="E334" s="1" t="str">
        <f>TEXT(Table1[[#This Row],[Order_Date]],"YYYY")</f>
        <v>2025</v>
      </c>
      <c r="F334">
        <v>3077</v>
      </c>
      <c r="G334" t="s">
        <v>29</v>
      </c>
      <c r="H334" t="s">
        <v>24</v>
      </c>
      <c r="I334" t="s">
        <v>33</v>
      </c>
      <c r="J334" t="s">
        <v>20</v>
      </c>
      <c r="K334">
        <v>1</v>
      </c>
      <c r="L334" s="2">
        <v>126.12</v>
      </c>
      <c r="M334" s="3">
        <v>0.15</v>
      </c>
      <c r="N334" s="2">
        <v>126.12</v>
      </c>
      <c r="O334" s="2">
        <v>18.917999999999999</v>
      </c>
      <c r="P334" s="2">
        <v>107.202</v>
      </c>
      <c r="Q334" s="2">
        <v>135.80000000000001</v>
      </c>
      <c r="R334" s="2">
        <v>135.80000000000001</v>
      </c>
      <c r="S334" s="2">
        <v>-28.597999999999999</v>
      </c>
      <c r="T334" s="3">
        <v>-0.26676741105576401</v>
      </c>
      <c r="U334" s="2" t="str">
        <f>IF(Table1[[#This Row],[Net_Revenue]]&lt;Table1[[#This Row],[Total_Cost]], "Loss", "Gain")</f>
        <v>Loss</v>
      </c>
      <c r="V334" s="16">
        <f>IF(Table1[[#This Row],[Gain/Loss]]="Gain",Table1[[#This Row],[Quantity]], 0)</f>
        <v>0</v>
      </c>
      <c r="W334" s="16">
        <f>IF(Table1[[#This Row],[Gain/Loss]]="Loss",Table1[[#This Row],[Quantity]],0)</f>
        <v>1</v>
      </c>
      <c r="X334" s="16">
        <f>IF(OR(Table1[[#This Row],[Gain/Loss]]="Gain",Table1[[#This Row],[Gain/Loss]]="Loss"),Table1[[#This Row],[Quantity]],"")</f>
        <v>1</v>
      </c>
    </row>
    <row r="335" spans="1:24" x14ac:dyDescent="0.25">
      <c r="A335">
        <v>10334</v>
      </c>
      <c r="B335" s="1">
        <v>45991</v>
      </c>
      <c r="C335" s="1" t="str">
        <f>TEXT(Table1[[#This Row],[Order_Date]],"DD")</f>
        <v>30</v>
      </c>
      <c r="D335" s="1" t="str">
        <f>TEXT(Table1[[#This Row],[Order_Date]],"MMM")</f>
        <v>Nov</v>
      </c>
      <c r="E335" s="1" t="str">
        <f>TEXT(Table1[[#This Row],[Order_Date]],"YYYY")</f>
        <v>2025</v>
      </c>
      <c r="F335">
        <v>3536</v>
      </c>
      <c r="G335" t="s">
        <v>21</v>
      </c>
      <c r="H335" t="s">
        <v>24</v>
      </c>
      <c r="I335" t="s">
        <v>33</v>
      </c>
      <c r="J335" t="s">
        <v>20</v>
      </c>
      <c r="K335">
        <v>3</v>
      </c>
      <c r="L335" s="2">
        <v>151.97</v>
      </c>
      <c r="M335" s="3">
        <v>0.2</v>
      </c>
      <c r="N335" s="2">
        <v>455.909999999999</v>
      </c>
      <c r="O335" s="2">
        <v>91.182000000000002</v>
      </c>
      <c r="P335" s="2">
        <v>364.72799999999899</v>
      </c>
      <c r="Q335" s="2">
        <v>94.83</v>
      </c>
      <c r="R335" s="2">
        <v>284.49</v>
      </c>
      <c r="S335" s="2">
        <v>80.2379999999999</v>
      </c>
      <c r="T335" s="3">
        <v>0.21999407777850799</v>
      </c>
      <c r="U335" s="2" t="str">
        <f>IF(Table1[[#This Row],[Net_Revenue]]&lt;Table1[[#This Row],[Total_Cost]], "Loss", "Gain")</f>
        <v>Gain</v>
      </c>
      <c r="V335" s="16">
        <f>IF(Table1[[#This Row],[Gain/Loss]]="Gain",Table1[[#This Row],[Quantity]], 0)</f>
        <v>3</v>
      </c>
      <c r="W335" s="16">
        <f>IF(Table1[[#This Row],[Gain/Loss]]="Loss",Table1[[#This Row],[Quantity]],0)</f>
        <v>0</v>
      </c>
      <c r="X335" s="16">
        <f>IF(OR(Table1[[#This Row],[Gain/Loss]]="Gain",Table1[[#This Row],[Gain/Loss]]="Loss"),Table1[[#This Row],[Quantity]],"")</f>
        <v>3</v>
      </c>
    </row>
    <row r="336" spans="1:24" x14ac:dyDescent="0.25">
      <c r="A336">
        <v>10335</v>
      </c>
      <c r="B336" s="1">
        <v>45992</v>
      </c>
      <c r="C336" s="1" t="str">
        <f>TEXT(Table1[[#This Row],[Order_Date]],"DD")</f>
        <v>01</v>
      </c>
      <c r="D336" s="1" t="str">
        <f>TEXT(Table1[[#This Row],[Order_Date]],"MMM")</f>
        <v>Dec</v>
      </c>
      <c r="E336" s="1" t="str">
        <f>TEXT(Table1[[#This Row],[Order_Date]],"YYYY")</f>
        <v>2025</v>
      </c>
      <c r="F336">
        <v>3067</v>
      </c>
      <c r="G336" t="s">
        <v>29</v>
      </c>
      <c r="H336" t="s">
        <v>18</v>
      </c>
      <c r="I336" t="s">
        <v>26</v>
      </c>
      <c r="J336" t="s">
        <v>31</v>
      </c>
      <c r="K336">
        <v>1</v>
      </c>
      <c r="L336" s="2">
        <v>63.24</v>
      </c>
      <c r="M336" s="3">
        <v>0.15</v>
      </c>
      <c r="N336" s="2">
        <v>63.24</v>
      </c>
      <c r="O336" s="2">
        <v>9.4860000000000007</v>
      </c>
      <c r="P336" s="2">
        <v>53.753999999999998</v>
      </c>
      <c r="Q336" s="2">
        <v>71.010000000000005</v>
      </c>
      <c r="R336" s="2">
        <v>71.010000000000005</v>
      </c>
      <c r="S336" s="2">
        <v>-17.256</v>
      </c>
      <c r="T336" s="3">
        <v>-0.32101797075566402</v>
      </c>
      <c r="U336" s="2" t="str">
        <f>IF(Table1[[#This Row],[Net_Revenue]]&lt;Table1[[#This Row],[Total_Cost]], "Loss", "Gain")</f>
        <v>Loss</v>
      </c>
      <c r="V336" s="16">
        <f>IF(Table1[[#This Row],[Gain/Loss]]="Gain",Table1[[#This Row],[Quantity]], 0)</f>
        <v>0</v>
      </c>
      <c r="W336" s="16">
        <f>IF(Table1[[#This Row],[Gain/Loss]]="Loss",Table1[[#This Row],[Quantity]],0)</f>
        <v>1</v>
      </c>
      <c r="X336" s="16">
        <f>IF(OR(Table1[[#This Row],[Gain/Loss]]="Gain",Table1[[#This Row],[Gain/Loss]]="Loss"),Table1[[#This Row],[Quantity]],"")</f>
        <v>1</v>
      </c>
    </row>
    <row r="337" spans="1:24" x14ac:dyDescent="0.25">
      <c r="A337">
        <v>10336</v>
      </c>
      <c r="B337" s="1">
        <v>45993</v>
      </c>
      <c r="C337" s="1" t="str">
        <f>TEXT(Table1[[#This Row],[Order_Date]],"DD")</f>
        <v>02</v>
      </c>
      <c r="D337" s="1" t="str">
        <f>TEXT(Table1[[#This Row],[Order_Date]],"MMM")</f>
        <v>Dec</v>
      </c>
      <c r="E337" s="1" t="str">
        <f>TEXT(Table1[[#This Row],[Order_Date]],"YYYY")</f>
        <v>2025</v>
      </c>
      <c r="F337">
        <v>3903</v>
      </c>
      <c r="G337" t="s">
        <v>23</v>
      </c>
      <c r="H337" t="s">
        <v>18</v>
      </c>
      <c r="I337" t="s">
        <v>33</v>
      </c>
      <c r="J337" t="s">
        <v>20</v>
      </c>
      <c r="K337">
        <v>8</v>
      </c>
      <c r="L337" s="2">
        <v>17.940000000000001</v>
      </c>
      <c r="M337" s="3">
        <v>0.2</v>
      </c>
      <c r="N337" s="2">
        <v>143.52000000000001</v>
      </c>
      <c r="O337" s="2">
        <v>28.704000000000001</v>
      </c>
      <c r="P337" s="2">
        <v>114.816</v>
      </c>
      <c r="Q337" s="2">
        <v>114.43</v>
      </c>
      <c r="R337" s="2">
        <v>915.44</v>
      </c>
      <c r="S337" s="2">
        <v>-800.62400000000002</v>
      </c>
      <c r="T337" s="3">
        <v>-6.9731047937569599</v>
      </c>
      <c r="U337" s="2" t="str">
        <f>IF(Table1[[#This Row],[Net_Revenue]]&lt;Table1[[#This Row],[Total_Cost]], "Loss", "Gain")</f>
        <v>Loss</v>
      </c>
      <c r="V337" s="16">
        <f>IF(Table1[[#This Row],[Gain/Loss]]="Gain",Table1[[#This Row],[Quantity]], 0)</f>
        <v>0</v>
      </c>
      <c r="W337" s="16">
        <f>IF(Table1[[#This Row],[Gain/Loss]]="Loss",Table1[[#This Row],[Quantity]],0)</f>
        <v>8</v>
      </c>
      <c r="X337" s="16">
        <f>IF(OR(Table1[[#This Row],[Gain/Loss]]="Gain",Table1[[#This Row],[Gain/Loss]]="Loss"),Table1[[#This Row],[Quantity]],"")</f>
        <v>8</v>
      </c>
    </row>
    <row r="338" spans="1:24" x14ac:dyDescent="0.25">
      <c r="A338">
        <v>10337</v>
      </c>
      <c r="B338" s="1">
        <v>45994</v>
      </c>
      <c r="C338" s="1" t="str">
        <f>TEXT(Table1[[#This Row],[Order_Date]],"DD")</f>
        <v>03</v>
      </c>
      <c r="D338" s="1" t="str">
        <f>TEXT(Table1[[#This Row],[Order_Date]],"MMM")</f>
        <v>Dec</v>
      </c>
      <c r="E338" s="1" t="str">
        <f>TEXT(Table1[[#This Row],[Order_Date]],"YYYY")</f>
        <v>2025</v>
      </c>
      <c r="F338">
        <v>3561</v>
      </c>
      <c r="G338" t="s">
        <v>29</v>
      </c>
      <c r="H338" t="s">
        <v>24</v>
      </c>
      <c r="I338" t="s">
        <v>26</v>
      </c>
      <c r="J338" t="s">
        <v>30</v>
      </c>
      <c r="K338">
        <v>3</v>
      </c>
      <c r="L338" s="2">
        <v>179.45</v>
      </c>
      <c r="M338" s="3">
        <v>0</v>
      </c>
      <c r="N338" s="2">
        <v>538.349999999999</v>
      </c>
      <c r="O338" s="2">
        <v>0</v>
      </c>
      <c r="P338" s="2">
        <v>538.349999999999</v>
      </c>
      <c r="Q338" s="2">
        <v>48.45</v>
      </c>
      <c r="R338" s="2">
        <v>145.35</v>
      </c>
      <c r="S338" s="2">
        <v>392.99999999999898</v>
      </c>
      <c r="T338" s="3">
        <v>0.7300083588743379</v>
      </c>
      <c r="U338" s="2" t="str">
        <f>IF(Table1[[#This Row],[Net_Revenue]]&lt;Table1[[#This Row],[Total_Cost]], "Loss", "Gain")</f>
        <v>Gain</v>
      </c>
      <c r="V338" s="16">
        <f>IF(Table1[[#This Row],[Gain/Loss]]="Gain",Table1[[#This Row],[Quantity]], 0)</f>
        <v>3</v>
      </c>
      <c r="W338" s="16">
        <f>IF(Table1[[#This Row],[Gain/Loss]]="Loss",Table1[[#This Row],[Quantity]],0)</f>
        <v>0</v>
      </c>
      <c r="X338" s="16">
        <f>IF(OR(Table1[[#This Row],[Gain/Loss]]="Gain",Table1[[#This Row],[Gain/Loss]]="Loss"),Table1[[#This Row],[Quantity]],"")</f>
        <v>3</v>
      </c>
    </row>
    <row r="339" spans="1:24" x14ac:dyDescent="0.25">
      <c r="A339">
        <v>10338</v>
      </c>
      <c r="B339" s="1">
        <v>45995</v>
      </c>
      <c r="C339" s="1" t="str">
        <f>TEXT(Table1[[#This Row],[Order_Date]],"DD")</f>
        <v>04</v>
      </c>
      <c r="D339" s="1" t="str">
        <f>TEXT(Table1[[#This Row],[Order_Date]],"MMM")</f>
        <v>Dec</v>
      </c>
      <c r="E339" s="1" t="str">
        <f>TEXT(Table1[[#This Row],[Order_Date]],"YYYY")</f>
        <v>2025</v>
      </c>
      <c r="F339">
        <v>3490</v>
      </c>
      <c r="G339" t="s">
        <v>29</v>
      </c>
      <c r="H339" t="s">
        <v>18</v>
      </c>
      <c r="I339" t="s">
        <v>26</v>
      </c>
      <c r="J339" t="s">
        <v>28</v>
      </c>
      <c r="K339">
        <v>4</v>
      </c>
      <c r="L339" s="2">
        <v>176.51</v>
      </c>
      <c r="M339" s="3">
        <v>0.15</v>
      </c>
      <c r="N339" s="2">
        <v>706.04</v>
      </c>
      <c r="O339" s="2">
        <v>105.905999999999</v>
      </c>
      <c r="P339" s="2">
        <v>600.13400000000001</v>
      </c>
      <c r="Q339" s="2">
        <v>134.62</v>
      </c>
      <c r="R339" s="2">
        <v>538.48</v>
      </c>
      <c r="S339" s="2">
        <v>61.653999999999897</v>
      </c>
      <c r="T339" s="3">
        <v>0.102733722801907</v>
      </c>
      <c r="U339" s="2" t="str">
        <f>IF(Table1[[#This Row],[Net_Revenue]]&lt;Table1[[#This Row],[Total_Cost]], "Loss", "Gain")</f>
        <v>Gain</v>
      </c>
      <c r="V339" s="16">
        <f>IF(Table1[[#This Row],[Gain/Loss]]="Gain",Table1[[#This Row],[Quantity]], 0)</f>
        <v>4</v>
      </c>
      <c r="W339" s="16">
        <f>IF(Table1[[#This Row],[Gain/Loss]]="Loss",Table1[[#This Row],[Quantity]],0)</f>
        <v>0</v>
      </c>
      <c r="X339" s="16">
        <f>IF(OR(Table1[[#This Row],[Gain/Loss]]="Gain",Table1[[#This Row],[Gain/Loss]]="Loss"),Table1[[#This Row],[Quantity]],"")</f>
        <v>4</v>
      </c>
    </row>
    <row r="340" spans="1:24" x14ac:dyDescent="0.25">
      <c r="A340">
        <v>10339</v>
      </c>
      <c r="B340" s="1">
        <v>45996</v>
      </c>
      <c r="C340" s="1" t="str">
        <f>TEXT(Table1[[#This Row],[Order_Date]],"DD")</f>
        <v>05</v>
      </c>
      <c r="D340" s="1" t="str">
        <f>TEXT(Table1[[#This Row],[Order_Date]],"MMM")</f>
        <v>Dec</v>
      </c>
      <c r="E340" s="1" t="str">
        <f>TEXT(Table1[[#This Row],[Order_Date]],"YYYY")</f>
        <v>2025</v>
      </c>
      <c r="F340">
        <v>3416</v>
      </c>
      <c r="G340" t="s">
        <v>17</v>
      </c>
      <c r="H340" t="s">
        <v>18</v>
      </c>
      <c r="I340" t="s">
        <v>33</v>
      </c>
      <c r="J340" t="s">
        <v>20</v>
      </c>
      <c r="K340">
        <v>9</v>
      </c>
      <c r="L340" s="2">
        <v>17.13</v>
      </c>
      <c r="M340" s="3">
        <v>0.2</v>
      </c>
      <c r="N340" s="2">
        <v>154.16999999999999</v>
      </c>
      <c r="O340" s="2">
        <v>30.834</v>
      </c>
      <c r="P340" s="2">
        <v>123.335999999999</v>
      </c>
      <c r="Q340" s="2">
        <v>58.29</v>
      </c>
      <c r="R340" s="2">
        <v>524.61</v>
      </c>
      <c r="S340" s="2">
        <v>-401.274</v>
      </c>
      <c r="T340" s="3">
        <v>-3.2535026269702199</v>
      </c>
      <c r="U340" s="2" t="str">
        <f>IF(Table1[[#This Row],[Net_Revenue]]&lt;Table1[[#This Row],[Total_Cost]], "Loss", "Gain")</f>
        <v>Loss</v>
      </c>
      <c r="V340" s="16">
        <f>IF(Table1[[#This Row],[Gain/Loss]]="Gain",Table1[[#This Row],[Quantity]], 0)</f>
        <v>0</v>
      </c>
      <c r="W340" s="16">
        <f>IF(Table1[[#This Row],[Gain/Loss]]="Loss",Table1[[#This Row],[Quantity]],0)</f>
        <v>9</v>
      </c>
      <c r="X340" s="16">
        <f>IF(OR(Table1[[#This Row],[Gain/Loss]]="Gain",Table1[[#This Row],[Gain/Loss]]="Loss"),Table1[[#This Row],[Quantity]],"")</f>
        <v>9</v>
      </c>
    </row>
    <row r="341" spans="1:24" x14ac:dyDescent="0.25">
      <c r="A341">
        <v>10340</v>
      </c>
      <c r="B341" s="1">
        <v>45997</v>
      </c>
      <c r="C341" s="1" t="str">
        <f>TEXT(Table1[[#This Row],[Order_Date]],"DD")</f>
        <v>06</v>
      </c>
      <c r="D341" s="1" t="str">
        <f>TEXT(Table1[[#This Row],[Order_Date]],"MMM")</f>
        <v>Dec</v>
      </c>
      <c r="E341" s="1" t="str">
        <f>TEXT(Table1[[#This Row],[Order_Date]],"YYYY")</f>
        <v>2025</v>
      </c>
      <c r="F341">
        <v>3033</v>
      </c>
      <c r="G341" t="s">
        <v>23</v>
      </c>
      <c r="H341" t="s">
        <v>18</v>
      </c>
      <c r="I341" t="s">
        <v>33</v>
      </c>
      <c r="J341" t="s">
        <v>20</v>
      </c>
      <c r="K341">
        <v>9</v>
      </c>
      <c r="L341" s="2">
        <v>51.16</v>
      </c>
      <c r="M341" s="3">
        <v>0.1</v>
      </c>
      <c r="N341" s="2">
        <v>460.43999999999897</v>
      </c>
      <c r="O341" s="2">
        <v>46.043999999999997</v>
      </c>
      <c r="P341" s="2">
        <v>414.39599999999899</v>
      </c>
      <c r="Q341" s="2">
        <v>5.76</v>
      </c>
      <c r="R341" s="2">
        <v>51.839999999999897</v>
      </c>
      <c r="S341" s="2">
        <v>362.55599999999998</v>
      </c>
      <c r="T341" s="3">
        <v>0.87490226739640309</v>
      </c>
      <c r="U341" s="2" t="str">
        <f>IF(Table1[[#This Row],[Net_Revenue]]&lt;Table1[[#This Row],[Total_Cost]], "Loss", "Gain")</f>
        <v>Gain</v>
      </c>
      <c r="V341" s="16">
        <f>IF(Table1[[#This Row],[Gain/Loss]]="Gain",Table1[[#This Row],[Quantity]], 0)</f>
        <v>9</v>
      </c>
      <c r="W341" s="16">
        <f>IF(Table1[[#This Row],[Gain/Loss]]="Loss",Table1[[#This Row],[Quantity]],0)</f>
        <v>0</v>
      </c>
      <c r="X341" s="16">
        <f>IF(OR(Table1[[#This Row],[Gain/Loss]]="Gain",Table1[[#This Row],[Gain/Loss]]="Loss"),Table1[[#This Row],[Quantity]],"")</f>
        <v>9</v>
      </c>
    </row>
    <row r="342" spans="1:24" x14ac:dyDescent="0.25">
      <c r="A342">
        <v>10341</v>
      </c>
      <c r="B342" s="1">
        <v>45998</v>
      </c>
      <c r="C342" s="1" t="str">
        <f>TEXT(Table1[[#This Row],[Order_Date]],"DD")</f>
        <v>07</v>
      </c>
      <c r="D342" s="1" t="str">
        <f>TEXT(Table1[[#This Row],[Order_Date]],"MMM")</f>
        <v>Dec</v>
      </c>
      <c r="E342" s="1" t="str">
        <f>TEXT(Table1[[#This Row],[Order_Date]],"YYYY")</f>
        <v>2025</v>
      </c>
      <c r="F342">
        <v>3331</v>
      </c>
      <c r="G342" t="s">
        <v>29</v>
      </c>
      <c r="H342" t="s">
        <v>18</v>
      </c>
      <c r="I342" t="s">
        <v>19</v>
      </c>
      <c r="J342" t="s">
        <v>27</v>
      </c>
      <c r="K342">
        <v>4</v>
      </c>
      <c r="L342" s="2">
        <v>44.97</v>
      </c>
      <c r="M342" s="3">
        <v>0</v>
      </c>
      <c r="N342" s="2">
        <v>179.88</v>
      </c>
      <c r="O342" s="2">
        <v>0</v>
      </c>
      <c r="P342" s="2">
        <v>179.88</v>
      </c>
      <c r="Q342" s="2">
        <v>146.88999999999999</v>
      </c>
      <c r="R342" s="2">
        <v>587.55999999999995</v>
      </c>
      <c r="S342" s="2">
        <v>-407.67999999999898</v>
      </c>
      <c r="T342" s="3">
        <v>-2.2663998221036201</v>
      </c>
      <c r="U342" s="2" t="str">
        <f>IF(Table1[[#This Row],[Net_Revenue]]&lt;Table1[[#This Row],[Total_Cost]], "Loss", "Gain")</f>
        <v>Loss</v>
      </c>
      <c r="V342" s="16">
        <f>IF(Table1[[#This Row],[Gain/Loss]]="Gain",Table1[[#This Row],[Quantity]], 0)</f>
        <v>0</v>
      </c>
      <c r="W342" s="16">
        <f>IF(Table1[[#This Row],[Gain/Loss]]="Loss",Table1[[#This Row],[Quantity]],0)</f>
        <v>4</v>
      </c>
      <c r="X342" s="16">
        <f>IF(OR(Table1[[#This Row],[Gain/Loss]]="Gain",Table1[[#This Row],[Gain/Loss]]="Loss"),Table1[[#This Row],[Quantity]],"")</f>
        <v>4</v>
      </c>
    </row>
    <row r="343" spans="1:24" x14ac:dyDescent="0.25">
      <c r="A343">
        <v>10342</v>
      </c>
      <c r="B343" s="1">
        <v>45999</v>
      </c>
      <c r="C343" s="1" t="str">
        <f>TEXT(Table1[[#This Row],[Order_Date]],"DD")</f>
        <v>08</v>
      </c>
      <c r="D343" s="1" t="str">
        <f>TEXT(Table1[[#This Row],[Order_Date]],"MMM")</f>
        <v>Dec</v>
      </c>
      <c r="E343" s="1" t="str">
        <f>TEXT(Table1[[#This Row],[Order_Date]],"YYYY")</f>
        <v>2025</v>
      </c>
      <c r="F343">
        <v>3859</v>
      </c>
      <c r="G343" t="s">
        <v>23</v>
      </c>
      <c r="H343" t="s">
        <v>18</v>
      </c>
      <c r="I343" t="s">
        <v>19</v>
      </c>
      <c r="J343" t="s">
        <v>27</v>
      </c>
      <c r="K343">
        <v>8</v>
      </c>
      <c r="L343" s="2">
        <v>93.09</v>
      </c>
      <c r="M343" s="3">
        <v>0.2</v>
      </c>
      <c r="N343" s="2">
        <v>744.72</v>
      </c>
      <c r="O343" s="2">
        <v>148.94399999999999</v>
      </c>
      <c r="P343" s="2">
        <v>595.77599999999995</v>
      </c>
      <c r="Q343" s="2">
        <v>76.930000000000007</v>
      </c>
      <c r="R343" s="2">
        <v>615.44000000000005</v>
      </c>
      <c r="S343" s="2">
        <v>-19.663999999999898</v>
      </c>
      <c r="T343" s="3">
        <v>-3.3005693414974703E-2</v>
      </c>
      <c r="U343" s="2" t="str">
        <f>IF(Table1[[#This Row],[Net_Revenue]]&lt;Table1[[#This Row],[Total_Cost]], "Loss", "Gain")</f>
        <v>Loss</v>
      </c>
      <c r="V343" s="16">
        <f>IF(Table1[[#This Row],[Gain/Loss]]="Gain",Table1[[#This Row],[Quantity]], 0)</f>
        <v>0</v>
      </c>
      <c r="W343" s="16">
        <f>IF(Table1[[#This Row],[Gain/Loss]]="Loss",Table1[[#This Row],[Quantity]],0)</f>
        <v>8</v>
      </c>
      <c r="X343" s="16">
        <f>IF(OR(Table1[[#This Row],[Gain/Loss]]="Gain",Table1[[#This Row],[Gain/Loss]]="Loss"),Table1[[#This Row],[Quantity]],"")</f>
        <v>8</v>
      </c>
    </row>
    <row r="344" spans="1:24" x14ac:dyDescent="0.25">
      <c r="A344">
        <v>10343</v>
      </c>
      <c r="B344" s="1">
        <v>46000</v>
      </c>
      <c r="C344" s="1" t="str">
        <f>TEXT(Table1[[#This Row],[Order_Date]],"DD")</f>
        <v>09</v>
      </c>
      <c r="D344" s="1" t="str">
        <f>TEXT(Table1[[#This Row],[Order_Date]],"MMM")</f>
        <v>Dec</v>
      </c>
      <c r="E344" s="1" t="str">
        <f>TEXT(Table1[[#This Row],[Order_Date]],"YYYY")</f>
        <v>2025</v>
      </c>
      <c r="F344">
        <v>3068</v>
      </c>
      <c r="G344" t="s">
        <v>21</v>
      </c>
      <c r="H344" t="s">
        <v>24</v>
      </c>
      <c r="I344" t="s">
        <v>25</v>
      </c>
      <c r="J344" t="s">
        <v>22</v>
      </c>
      <c r="K344">
        <v>9</v>
      </c>
      <c r="L344" s="2">
        <v>48.35</v>
      </c>
      <c r="M344" s="3">
        <v>0.1</v>
      </c>
      <c r="N344" s="2">
        <v>435.15</v>
      </c>
      <c r="O344" s="2">
        <v>43.515000000000001</v>
      </c>
      <c r="P344" s="2">
        <v>391.63499999999999</v>
      </c>
      <c r="Q344" s="2">
        <v>136.02000000000001</v>
      </c>
      <c r="R344" s="2">
        <v>1224.18</v>
      </c>
      <c r="S344" s="2">
        <v>-832.54499999999996</v>
      </c>
      <c r="T344" s="3">
        <v>-2.12581868321268</v>
      </c>
      <c r="U344" s="2" t="str">
        <f>IF(Table1[[#This Row],[Net_Revenue]]&lt;Table1[[#This Row],[Total_Cost]], "Loss", "Gain")</f>
        <v>Loss</v>
      </c>
      <c r="V344" s="16">
        <f>IF(Table1[[#This Row],[Gain/Loss]]="Gain",Table1[[#This Row],[Quantity]], 0)</f>
        <v>0</v>
      </c>
      <c r="W344" s="16">
        <f>IF(Table1[[#This Row],[Gain/Loss]]="Loss",Table1[[#This Row],[Quantity]],0)</f>
        <v>9</v>
      </c>
      <c r="X344" s="16">
        <f>IF(OR(Table1[[#This Row],[Gain/Loss]]="Gain",Table1[[#This Row],[Gain/Loss]]="Loss"),Table1[[#This Row],[Quantity]],"")</f>
        <v>9</v>
      </c>
    </row>
    <row r="345" spans="1:24" x14ac:dyDescent="0.25">
      <c r="A345">
        <v>10344</v>
      </c>
      <c r="B345" s="1">
        <v>46001</v>
      </c>
      <c r="C345" s="1" t="str">
        <f>TEXT(Table1[[#This Row],[Order_Date]],"DD")</f>
        <v>10</v>
      </c>
      <c r="D345" s="1" t="str">
        <f>TEXT(Table1[[#This Row],[Order_Date]],"MMM")</f>
        <v>Dec</v>
      </c>
      <c r="E345" s="1" t="str">
        <f>TEXT(Table1[[#This Row],[Order_Date]],"YYYY")</f>
        <v>2025</v>
      </c>
      <c r="F345">
        <v>3230</v>
      </c>
      <c r="G345" t="s">
        <v>23</v>
      </c>
      <c r="H345" t="s">
        <v>24</v>
      </c>
      <c r="I345" t="s">
        <v>26</v>
      </c>
      <c r="J345" t="s">
        <v>30</v>
      </c>
      <c r="K345">
        <v>4</v>
      </c>
      <c r="L345" s="2">
        <v>113.77</v>
      </c>
      <c r="M345" s="3">
        <v>0.05</v>
      </c>
      <c r="N345" s="2">
        <v>455.08</v>
      </c>
      <c r="O345" s="2">
        <v>22.754000000000001</v>
      </c>
      <c r="P345" s="2">
        <v>432.325999999999</v>
      </c>
      <c r="Q345" s="2">
        <v>20.81</v>
      </c>
      <c r="R345" s="2">
        <v>83.24</v>
      </c>
      <c r="S345" s="2">
        <v>349.08599999999899</v>
      </c>
      <c r="T345" s="3">
        <v>0.80746011111984894</v>
      </c>
      <c r="U345" s="2" t="str">
        <f>IF(Table1[[#This Row],[Net_Revenue]]&lt;Table1[[#This Row],[Total_Cost]], "Loss", "Gain")</f>
        <v>Gain</v>
      </c>
      <c r="V345" s="16">
        <f>IF(Table1[[#This Row],[Gain/Loss]]="Gain",Table1[[#This Row],[Quantity]], 0)</f>
        <v>4</v>
      </c>
      <c r="W345" s="16">
        <f>IF(Table1[[#This Row],[Gain/Loss]]="Loss",Table1[[#This Row],[Quantity]],0)</f>
        <v>0</v>
      </c>
      <c r="X345" s="16">
        <f>IF(OR(Table1[[#This Row],[Gain/Loss]]="Gain",Table1[[#This Row],[Gain/Loss]]="Loss"),Table1[[#This Row],[Quantity]],"")</f>
        <v>4</v>
      </c>
    </row>
    <row r="346" spans="1:24" x14ac:dyDescent="0.25">
      <c r="A346">
        <v>10345</v>
      </c>
      <c r="B346" s="1">
        <v>46002</v>
      </c>
      <c r="C346" s="1" t="str">
        <f>TEXT(Table1[[#This Row],[Order_Date]],"DD")</f>
        <v>11</v>
      </c>
      <c r="D346" s="1" t="str">
        <f>TEXT(Table1[[#This Row],[Order_Date]],"MMM")</f>
        <v>Dec</v>
      </c>
      <c r="E346" s="1" t="str">
        <f>TEXT(Table1[[#This Row],[Order_Date]],"YYYY")</f>
        <v>2025</v>
      </c>
      <c r="F346">
        <v>3607</v>
      </c>
      <c r="G346" t="s">
        <v>29</v>
      </c>
      <c r="H346" t="s">
        <v>18</v>
      </c>
      <c r="I346" t="s">
        <v>26</v>
      </c>
      <c r="J346" t="s">
        <v>30</v>
      </c>
      <c r="K346">
        <v>3</v>
      </c>
      <c r="L346" s="2">
        <v>183.97</v>
      </c>
      <c r="M346" s="3">
        <v>0.05</v>
      </c>
      <c r="N346" s="2">
        <v>551.91</v>
      </c>
      <c r="O346" s="2">
        <v>27.595500000000001</v>
      </c>
      <c r="P346" s="2">
        <v>524.31449999999995</v>
      </c>
      <c r="Q346" s="2">
        <v>33.99</v>
      </c>
      <c r="R346" s="2">
        <v>101.97</v>
      </c>
      <c r="S346" s="2">
        <v>422.34449999999902</v>
      </c>
      <c r="T346" s="3">
        <v>0.80551748997977302</v>
      </c>
      <c r="U346" s="2" t="str">
        <f>IF(Table1[[#This Row],[Net_Revenue]]&lt;Table1[[#This Row],[Total_Cost]], "Loss", "Gain")</f>
        <v>Gain</v>
      </c>
      <c r="V346" s="16">
        <f>IF(Table1[[#This Row],[Gain/Loss]]="Gain",Table1[[#This Row],[Quantity]], 0)</f>
        <v>3</v>
      </c>
      <c r="W346" s="16">
        <f>IF(Table1[[#This Row],[Gain/Loss]]="Loss",Table1[[#This Row],[Quantity]],0)</f>
        <v>0</v>
      </c>
      <c r="X346" s="16">
        <f>IF(OR(Table1[[#This Row],[Gain/Loss]]="Gain",Table1[[#This Row],[Gain/Loss]]="Loss"),Table1[[#This Row],[Quantity]],"")</f>
        <v>3</v>
      </c>
    </row>
    <row r="347" spans="1:24" x14ac:dyDescent="0.25">
      <c r="A347">
        <v>10346</v>
      </c>
      <c r="B347" s="1">
        <v>46003</v>
      </c>
      <c r="C347" s="1" t="str">
        <f>TEXT(Table1[[#This Row],[Order_Date]],"DD")</f>
        <v>12</v>
      </c>
      <c r="D347" s="1" t="str">
        <f>TEXT(Table1[[#This Row],[Order_Date]],"MMM")</f>
        <v>Dec</v>
      </c>
      <c r="E347" s="1" t="str">
        <f>TEXT(Table1[[#This Row],[Order_Date]],"YYYY")</f>
        <v>2025</v>
      </c>
      <c r="F347">
        <v>3637</v>
      </c>
      <c r="G347" t="s">
        <v>23</v>
      </c>
      <c r="H347" t="s">
        <v>24</v>
      </c>
      <c r="I347" t="s">
        <v>26</v>
      </c>
      <c r="J347" t="s">
        <v>28</v>
      </c>
      <c r="K347">
        <v>1</v>
      </c>
      <c r="L347" s="2">
        <v>204.94</v>
      </c>
      <c r="M347" s="3">
        <v>0.2</v>
      </c>
      <c r="N347" s="2">
        <v>204.94</v>
      </c>
      <c r="O347" s="2">
        <v>40.988</v>
      </c>
      <c r="P347" s="2">
        <v>163.952</v>
      </c>
      <c r="Q347" s="2">
        <v>75.14</v>
      </c>
      <c r="R347" s="2">
        <v>75.14</v>
      </c>
      <c r="S347" s="2">
        <v>88.811999999999998</v>
      </c>
      <c r="T347" s="3">
        <v>0.54169513028203298</v>
      </c>
      <c r="U347" s="2" t="str">
        <f>IF(Table1[[#This Row],[Net_Revenue]]&lt;Table1[[#This Row],[Total_Cost]], "Loss", "Gain")</f>
        <v>Gain</v>
      </c>
      <c r="V347" s="16">
        <f>IF(Table1[[#This Row],[Gain/Loss]]="Gain",Table1[[#This Row],[Quantity]], 0)</f>
        <v>1</v>
      </c>
      <c r="W347" s="16">
        <f>IF(Table1[[#This Row],[Gain/Loss]]="Loss",Table1[[#This Row],[Quantity]],0)</f>
        <v>0</v>
      </c>
      <c r="X347" s="16">
        <f>IF(OR(Table1[[#This Row],[Gain/Loss]]="Gain",Table1[[#This Row],[Gain/Loss]]="Loss"),Table1[[#This Row],[Quantity]],"")</f>
        <v>1</v>
      </c>
    </row>
    <row r="348" spans="1:24" x14ac:dyDescent="0.25">
      <c r="A348">
        <v>10347</v>
      </c>
      <c r="B348" s="1">
        <v>46004</v>
      </c>
      <c r="C348" s="1" t="str">
        <f>TEXT(Table1[[#This Row],[Order_Date]],"DD")</f>
        <v>13</v>
      </c>
      <c r="D348" s="1" t="str">
        <f>TEXT(Table1[[#This Row],[Order_Date]],"MMM")</f>
        <v>Dec</v>
      </c>
      <c r="E348" s="1" t="str">
        <f>TEXT(Table1[[#This Row],[Order_Date]],"YYYY")</f>
        <v>2025</v>
      </c>
      <c r="F348">
        <v>3763</v>
      </c>
      <c r="G348" t="s">
        <v>17</v>
      </c>
      <c r="H348" t="s">
        <v>24</v>
      </c>
      <c r="I348" t="s">
        <v>25</v>
      </c>
      <c r="J348" t="s">
        <v>32</v>
      </c>
      <c r="K348">
        <v>6</v>
      </c>
      <c r="L348" s="2">
        <v>211.08</v>
      </c>
      <c r="M348" s="3">
        <v>0.05</v>
      </c>
      <c r="N348" s="2">
        <v>1266.48</v>
      </c>
      <c r="O348" s="2">
        <v>63.323999999999998</v>
      </c>
      <c r="P348" s="2">
        <v>1203.1559999999999</v>
      </c>
      <c r="Q348" s="2">
        <v>134.84</v>
      </c>
      <c r="R348" s="2">
        <v>809.04</v>
      </c>
      <c r="S348" s="2">
        <v>394.11599999999999</v>
      </c>
      <c r="T348" s="3">
        <v>0.32756849485852202</v>
      </c>
      <c r="U348" s="2" t="str">
        <f>IF(Table1[[#This Row],[Net_Revenue]]&lt;Table1[[#This Row],[Total_Cost]], "Loss", "Gain")</f>
        <v>Gain</v>
      </c>
      <c r="V348" s="16">
        <f>IF(Table1[[#This Row],[Gain/Loss]]="Gain",Table1[[#This Row],[Quantity]], 0)</f>
        <v>6</v>
      </c>
      <c r="W348" s="16">
        <f>IF(Table1[[#This Row],[Gain/Loss]]="Loss",Table1[[#This Row],[Quantity]],0)</f>
        <v>0</v>
      </c>
      <c r="X348" s="16">
        <f>IF(OR(Table1[[#This Row],[Gain/Loss]]="Gain",Table1[[#This Row],[Gain/Loss]]="Loss"),Table1[[#This Row],[Quantity]],"")</f>
        <v>6</v>
      </c>
    </row>
    <row r="349" spans="1:24" x14ac:dyDescent="0.25">
      <c r="A349">
        <v>10348</v>
      </c>
      <c r="B349" s="1">
        <v>46005</v>
      </c>
      <c r="C349" s="1" t="str">
        <f>TEXT(Table1[[#This Row],[Order_Date]],"DD")</f>
        <v>14</v>
      </c>
      <c r="D349" s="1" t="str">
        <f>TEXT(Table1[[#This Row],[Order_Date]],"MMM")</f>
        <v>Dec</v>
      </c>
      <c r="E349" s="1" t="str">
        <f>TEXT(Table1[[#This Row],[Order_Date]],"YYYY")</f>
        <v>2025</v>
      </c>
      <c r="F349">
        <v>3573</v>
      </c>
      <c r="G349" t="s">
        <v>29</v>
      </c>
      <c r="H349" t="s">
        <v>18</v>
      </c>
      <c r="I349" t="s">
        <v>33</v>
      </c>
      <c r="J349" t="s">
        <v>20</v>
      </c>
      <c r="K349">
        <v>1</v>
      </c>
      <c r="L349" s="2">
        <v>67.959999999999994</v>
      </c>
      <c r="M349" s="3">
        <v>0.2</v>
      </c>
      <c r="N349" s="2">
        <v>67.959999999999994</v>
      </c>
      <c r="O349" s="2">
        <v>13.591999999999899</v>
      </c>
      <c r="P349" s="2">
        <v>54.367999999999903</v>
      </c>
      <c r="Q349" s="2">
        <v>18.34</v>
      </c>
      <c r="R349" s="2">
        <v>18.34</v>
      </c>
      <c r="S349" s="2">
        <v>36.027999999999899</v>
      </c>
      <c r="T349" s="3">
        <v>0.66266921718658001</v>
      </c>
      <c r="U349" s="2" t="str">
        <f>IF(Table1[[#This Row],[Net_Revenue]]&lt;Table1[[#This Row],[Total_Cost]], "Loss", "Gain")</f>
        <v>Gain</v>
      </c>
      <c r="V349" s="16">
        <f>IF(Table1[[#This Row],[Gain/Loss]]="Gain",Table1[[#This Row],[Quantity]], 0)</f>
        <v>1</v>
      </c>
      <c r="W349" s="16">
        <f>IF(Table1[[#This Row],[Gain/Loss]]="Loss",Table1[[#This Row],[Quantity]],0)</f>
        <v>0</v>
      </c>
      <c r="X349" s="16">
        <f>IF(OR(Table1[[#This Row],[Gain/Loss]]="Gain",Table1[[#This Row],[Gain/Loss]]="Loss"),Table1[[#This Row],[Quantity]],"")</f>
        <v>1</v>
      </c>
    </row>
    <row r="350" spans="1:24" x14ac:dyDescent="0.25">
      <c r="A350">
        <v>10349</v>
      </c>
      <c r="B350" s="1">
        <v>46006</v>
      </c>
      <c r="C350" s="1" t="str">
        <f>TEXT(Table1[[#This Row],[Order_Date]],"DD")</f>
        <v>15</v>
      </c>
      <c r="D350" s="1" t="str">
        <f>TEXT(Table1[[#This Row],[Order_Date]],"MMM")</f>
        <v>Dec</v>
      </c>
      <c r="E350" s="1" t="str">
        <f>TEXT(Table1[[#This Row],[Order_Date]],"YYYY")</f>
        <v>2025</v>
      </c>
      <c r="F350">
        <v>3862</v>
      </c>
      <c r="G350" t="s">
        <v>23</v>
      </c>
      <c r="H350" t="s">
        <v>18</v>
      </c>
      <c r="I350" t="s">
        <v>26</v>
      </c>
      <c r="J350" t="s">
        <v>28</v>
      </c>
      <c r="K350">
        <v>4</v>
      </c>
      <c r="L350" s="2">
        <v>128.41999999999999</v>
      </c>
      <c r="M350" s="3">
        <v>0.05</v>
      </c>
      <c r="N350" s="2">
        <v>513.67999999999995</v>
      </c>
      <c r="O350" s="2">
        <v>25.683999999999902</v>
      </c>
      <c r="P350" s="2">
        <v>487.99599999999998</v>
      </c>
      <c r="Q350" s="2">
        <v>83.08</v>
      </c>
      <c r="R350" s="2">
        <v>332.32</v>
      </c>
      <c r="S350" s="2">
        <v>155.67599999999999</v>
      </c>
      <c r="T350" s="3">
        <v>0.319010811564029</v>
      </c>
      <c r="U350" s="2" t="str">
        <f>IF(Table1[[#This Row],[Net_Revenue]]&lt;Table1[[#This Row],[Total_Cost]], "Loss", "Gain")</f>
        <v>Gain</v>
      </c>
      <c r="V350" s="16">
        <f>IF(Table1[[#This Row],[Gain/Loss]]="Gain",Table1[[#This Row],[Quantity]], 0)</f>
        <v>4</v>
      </c>
      <c r="W350" s="16">
        <f>IF(Table1[[#This Row],[Gain/Loss]]="Loss",Table1[[#This Row],[Quantity]],0)</f>
        <v>0</v>
      </c>
      <c r="X350" s="16">
        <f>IF(OR(Table1[[#This Row],[Gain/Loss]]="Gain",Table1[[#This Row],[Gain/Loss]]="Loss"),Table1[[#This Row],[Quantity]],"")</f>
        <v>4</v>
      </c>
    </row>
    <row r="351" spans="1:24" x14ac:dyDescent="0.25">
      <c r="A351">
        <v>10350</v>
      </c>
      <c r="B351" s="1">
        <v>46007</v>
      </c>
      <c r="C351" s="1" t="str">
        <f>TEXT(Table1[[#This Row],[Order_Date]],"DD")</f>
        <v>16</v>
      </c>
      <c r="D351" s="1" t="str">
        <f>TEXT(Table1[[#This Row],[Order_Date]],"MMM")</f>
        <v>Dec</v>
      </c>
      <c r="E351" s="1" t="str">
        <f>TEXT(Table1[[#This Row],[Order_Date]],"YYYY")</f>
        <v>2025</v>
      </c>
      <c r="F351">
        <v>3078</v>
      </c>
      <c r="G351" t="s">
        <v>21</v>
      </c>
      <c r="H351" t="s">
        <v>24</v>
      </c>
      <c r="I351" t="s">
        <v>26</v>
      </c>
      <c r="J351" t="s">
        <v>30</v>
      </c>
      <c r="K351">
        <v>2</v>
      </c>
      <c r="L351" s="2">
        <v>209.46</v>
      </c>
      <c r="M351" s="3">
        <v>0.15</v>
      </c>
      <c r="N351" s="2">
        <v>418.92</v>
      </c>
      <c r="O351" s="2">
        <v>62.838000000000001</v>
      </c>
      <c r="P351" s="2">
        <v>356.08199999999999</v>
      </c>
      <c r="Q351" s="2">
        <v>114.93</v>
      </c>
      <c r="R351" s="2">
        <v>229.86</v>
      </c>
      <c r="S351" s="2">
        <v>126.221999999999</v>
      </c>
      <c r="T351" s="3">
        <v>0.35447453114731997</v>
      </c>
      <c r="U351" s="2" t="str">
        <f>IF(Table1[[#This Row],[Net_Revenue]]&lt;Table1[[#This Row],[Total_Cost]], "Loss", "Gain")</f>
        <v>Gain</v>
      </c>
      <c r="V351" s="16">
        <f>IF(Table1[[#This Row],[Gain/Loss]]="Gain",Table1[[#This Row],[Quantity]], 0)</f>
        <v>2</v>
      </c>
      <c r="W351" s="16">
        <f>IF(Table1[[#This Row],[Gain/Loss]]="Loss",Table1[[#This Row],[Quantity]],0)</f>
        <v>0</v>
      </c>
      <c r="X351" s="16">
        <f>IF(OR(Table1[[#This Row],[Gain/Loss]]="Gain",Table1[[#This Row],[Gain/Loss]]="Loss"),Table1[[#This Row],[Quantity]],"")</f>
        <v>2</v>
      </c>
    </row>
    <row r="352" spans="1:24" x14ac:dyDescent="0.25">
      <c r="A352">
        <v>10351</v>
      </c>
      <c r="B352" s="1">
        <v>46008</v>
      </c>
      <c r="C352" s="1" t="str">
        <f>TEXT(Table1[[#This Row],[Order_Date]],"DD")</f>
        <v>17</v>
      </c>
      <c r="D352" s="1" t="str">
        <f>TEXT(Table1[[#This Row],[Order_Date]],"MMM")</f>
        <v>Dec</v>
      </c>
      <c r="E352" s="1" t="str">
        <f>TEXT(Table1[[#This Row],[Order_Date]],"YYYY")</f>
        <v>2025</v>
      </c>
      <c r="F352">
        <v>3876</v>
      </c>
      <c r="G352" t="s">
        <v>17</v>
      </c>
      <c r="H352" t="s">
        <v>18</v>
      </c>
      <c r="I352" t="s">
        <v>26</v>
      </c>
      <c r="J352" t="s">
        <v>30</v>
      </c>
      <c r="K352">
        <v>5</v>
      </c>
      <c r="L352" s="2">
        <v>228.77</v>
      </c>
      <c r="M352" s="3">
        <v>0.2</v>
      </c>
      <c r="N352" s="2">
        <v>1143.8499999999999</v>
      </c>
      <c r="O352" s="2">
        <v>228.77</v>
      </c>
      <c r="P352" s="2">
        <v>915.08</v>
      </c>
      <c r="Q352" s="2">
        <v>61.61</v>
      </c>
      <c r="R352" s="2">
        <v>308.05</v>
      </c>
      <c r="S352" s="2">
        <v>607.03</v>
      </c>
      <c r="T352" s="3">
        <v>0.66336276609695299</v>
      </c>
      <c r="U352" s="2" t="str">
        <f>IF(Table1[[#This Row],[Net_Revenue]]&lt;Table1[[#This Row],[Total_Cost]], "Loss", "Gain")</f>
        <v>Gain</v>
      </c>
      <c r="V352" s="16">
        <f>IF(Table1[[#This Row],[Gain/Loss]]="Gain",Table1[[#This Row],[Quantity]], 0)</f>
        <v>5</v>
      </c>
      <c r="W352" s="16">
        <f>IF(Table1[[#This Row],[Gain/Loss]]="Loss",Table1[[#This Row],[Quantity]],0)</f>
        <v>0</v>
      </c>
      <c r="X352" s="16">
        <f>IF(OR(Table1[[#This Row],[Gain/Loss]]="Gain",Table1[[#This Row],[Gain/Loss]]="Loss"),Table1[[#This Row],[Quantity]],"")</f>
        <v>5</v>
      </c>
    </row>
    <row r="353" spans="1:24" x14ac:dyDescent="0.25">
      <c r="A353">
        <v>10352</v>
      </c>
      <c r="B353" s="1">
        <v>46009</v>
      </c>
      <c r="C353" s="1" t="str">
        <f>TEXT(Table1[[#This Row],[Order_Date]],"DD")</f>
        <v>18</v>
      </c>
      <c r="D353" s="1" t="str">
        <f>TEXT(Table1[[#This Row],[Order_Date]],"MMM")</f>
        <v>Dec</v>
      </c>
      <c r="E353" s="1" t="str">
        <f>TEXT(Table1[[#This Row],[Order_Date]],"YYYY")</f>
        <v>2025</v>
      </c>
      <c r="F353">
        <v>3427</v>
      </c>
      <c r="G353" t="s">
        <v>23</v>
      </c>
      <c r="H353" t="s">
        <v>24</v>
      </c>
      <c r="I353" t="s">
        <v>26</v>
      </c>
      <c r="J353" t="s">
        <v>28</v>
      </c>
      <c r="K353">
        <v>7</v>
      </c>
      <c r="L353" s="2">
        <v>183.76</v>
      </c>
      <c r="M353" s="3">
        <v>0.05</v>
      </c>
      <c r="N353" s="2">
        <v>1286.32</v>
      </c>
      <c r="O353" s="2">
        <v>64.316000000000003</v>
      </c>
      <c r="P353" s="2">
        <v>1222.0039999999999</v>
      </c>
      <c r="Q353" s="2">
        <v>69.569999999999993</v>
      </c>
      <c r="R353" s="2">
        <v>486.98999999999899</v>
      </c>
      <c r="S353" s="2">
        <v>735.01399999999899</v>
      </c>
      <c r="T353" s="3">
        <v>0.60148248287239603</v>
      </c>
      <c r="U353" s="2" t="str">
        <f>IF(Table1[[#This Row],[Net_Revenue]]&lt;Table1[[#This Row],[Total_Cost]], "Loss", "Gain")</f>
        <v>Gain</v>
      </c>
      <c r="V353" s="16">
        <f>IF(Table1[[#This Row],[Gain/Loss]]="Gain",Table1[[#This Row],[Quantity]], 0)</f>
        <v>7</v>
      </c>
      <c r="W353" s="16">
        <f>IF(Table1[[#This Row],[Gain/Loss]]="Loss",Table1[[#This Row],[Quantity]],0)</f>
        <v>0</v>
      </c>
      <c r="X353" s="16">
        <f>IF(OR(Table1[[#This Row],[Gain/Loss]]="Gain",Table1[[#This Row],[Gain/Loss]]="Loss"),Table1[[#This Row],[Quantity]],"")</f>
        <v>7</v>
      </c>
    </row>
    <row r="354" spans="1:24" x14ac:dyDescent="0.25">
      <c r="A354">
        <v>10353</v>
      </c>
      <c r="B354" s="1">
        <v>46010</v>
      </c>
      <c r="C354" s="1" t="str">
        <f>TEXT(Table1[[#This Row],[Order_Date]],"DD")</f>
        <v>19</v>
      </c>
      <c r="D354" s="1" t="str">
        <f>TEXT(Table1[[#This Row],[Order_Date]],"MMM")</f>
        <v>Dec</v>
      </c>
      <c r="E354" s="1" t="str">
        <f>TEXT(Table1[[#This Row],[Order_Date]],"YYYY")</f>
        <v>2025</v>
      </c>
      <c r="F354">
        <v>3588</v>
      </c>
      <c r="G354" t="s">
        <v>29</v>
      </c>
      <c r="H354" t="s">
        <v>24</v>
      </c>
      <c r="I354" t="s">
        <v>26</v>
      </c>
      <c r="J354" t="s">
        <v>28</v>
      </c>
      <c r="K354">
        <v>4</v>
      </c>
      <c r="L354" s="2">
        <v>124.8</v>
      </c>
      <c r="M354" s="3">
        <v>0.15</v>
      </c>
      <c r="N354" s="2">
        <v>499.2</v>
      </c>
      <c r="O354" s="2">
        <v>74.88</v>
      </c>
      <c r="P354" s="2">
        <v>424.32</v>
      </c>
      <c r="Q354" s="2">
        <v>140.38999999999999</v>
      </c>
      <c r="R354" s="2">
        <v>561.55999999999995</v>
      </c>
      <c r="S354" s="2">
        <v>-137.23999999999899</v>
      </c>
      <c r="T354" s="3">
        <v>-0.32343514328808404</v>
      </c>
      <c r="U354" s="2" t="str">
        <f>IF(Table1[[#This Row],[Net_Revenue]]&lt;Table1[[#This Row],[Total_Cost]], "Loss", "Gain")</f>
        <v>Loss</v>
      </c>
      <c r="V354" s="16">
        <f>IF(Table1[[#This Row],[Gain/Loss]]="Gain",Table1[[#This Row],[Quantity]], 0)</f>
        <v>0</v>
      </c>
      <c r="W354" s="16">
        <f>IF(Table1[[#This Row],[Gain/Loss]]="Loss",Table1[[#This Row],[Quantity]],0)</f>
        <v>4</v>
      </c>
      <c r="X354" s="16">
        <f>IF(OR(Table1[[#This Row],[Gain/Loss]]="Gain",Table1[[#This Row],[Gain/Loss]]="Loss"),Table1[[#This Row],[Quantity]],"")</f>
        <v>4</v>
      </c>
    </row>
    <row r="355" spans="1:24" x14ac:dyDescent="0.25">
      <c r="A355">
        <v>10354</v>
      </c>
      <c r="B355" s="1">
        <v>46011</v>
      </c>
      <c r="C355" s="1" t="str">
        <f>TEXT(Table1[[#This Row],[Order_Date]],"DD")</f>
        <v>20</v>
      </c>
      <c r="D355" s="1" t="str">
        <f>TEXT(Table1[[#This Row],[Order_Date]],"MMM")</f>
        <v>Dec</v>
      </c>
      <c r="E355" s="1" t="str">
        <f>TEXT(Table1[[#This Row],[Order_Date]],"YYYY")</f>
        <v>2025</v>
      </c>
      <c r="F355">
        <v>3400</v>
      </c>
      <c r="G355" t="s">
        <v>29</v>
      </c>
      <c r="H355" t="s">
        <v>18</v>
      </c>
      <c r="I355" t="s">
        <v>33</v>
      </c>
      <c r="J355" t="s">
        <v>20</v>
      </c>
      <c r="K355">
        <v>2</v>
      </c>
      <c r="L355" s="2">
        <v>48.98</v>
      </c>
      <c r="M355" s="3">
        <v>0</v>
      </c>
      <c r="N355" s="2">
        <v>97.96</v>
      </c>
      <c r="O355" s="2">
        <v>0</v>
      </c>
      <c r="P355" s="2">
        <v>97.96</v>
      </c>
      <c r="Q355" s="2">
        <v>82.87</v>
      </c>
      <c r="R355" s="2">
        <v>165.74</v>
      </c>
      <c r="S355" s="2">
        <v>-67.78</v>
      </c>
      <c r="T355" s="3">
        <v>-0.69191506737443798</v>
      </c>
      <c r="U355" s="2" t="str">
        <f>IF(Table1[[#This Row],[Net_Revenue]]&lt;Table1[[#This Row],[Total_Cost]], "Loss", "Gain")</f>
        <v>Loss</v>
      </c>
      <c r="V355" s="16">
        <f>IF(Table1[[#This Row],[Gain/Loss]]="Gain",Table1[[#This Row],[Quantity]], 0)</f>
        <v>0</v>
      </c>
      <c r="W355" s="16">
        <f>IF(Table1[[#This Row],[Gain/Loss]]="Loss",Table1[[#This Row],[Quantity]],0)</f>
        <v>2</v>
      </c>
      <c r="X355" s="16">
        <f>IF(OR(Table1[[#This Row],[Gain/Loss]]="Gain",Table1[[#This Row],[Gain/Loss]]="Loss"),Table1[[#This Row],[Quantity]],"")</f>
        <v>2</v>
      </c>
    </row>
    <row r="356" spans="1:24" x14ac:dyDescent="0.25">
      <c r="A356">
        <v>10355</v>
      </c>
      <c r="B356" s="1">
        <v>46012</v>
      </c>
      <c r="C356" s="1" t="str">
        <f>TEXT(Table1[[#This Row],[Order_Date]],"DD")</f>
        <v>21</v>
      </c>
      <c r="D356" s="1" t="str">
        <f>TEXT(Table1[[#This Row],[Order_Date]],"MMM")</f>
        <v>Dec</v>
      </c>
      <c r="E356" s="1" t="str">
        <f>TEXT(Table1[[#This Row],[Order_Date]],"YYYY")</f>
        <v>2025</v>
      </c>
      <c r="F356">
        <v>3369</v>
      </c>
      <c r="G356" t="s">
        <v>29</v>
      </c>
      <c r="H356" t="s">
        <v>24</v>
      </c>
      <c r="I356" t="s">
        <v>26</v>
      </c>
      <c r="J356" t="s">
        <v>28</v>
      </c>
      <c r="K356">
        <v>1</v>
      </c>
      <c r="L356" s="2">
        <v>199.85</v>
      </c>
      <c r="M356" s="3">
        <v>0.15</v>
      </c>
      <c r="N356" s="2">
        <v>199.85</v>
      </c>
      <c r="O356" s="2">
        <v>29.977499999999999</v>
      </c>
      <c r="P356" s="2">
        <v>169.8725</v>
      </c>
      <c r="Q356" s="2">
        <v>105.05</v>
      </c>
      <c r="R356" s="2">
        <v>105.05</v>
      </c>
      <c r="S356" s="2">
        <v>64.822500000000005</v>
      </c>
      <c r="T356" s="3">
        <v>0.38159501979425697</v>
      </c>
      <c r="U356" s="2" t="str">
        <f>IF(Table1[[#This Row],[Net_Revenue]]&lt;Table1[[#This Row],[Total_Cost]], "Loss", "Gain")</f>
        <v>Gain</v>
      </c>
      <c r="V356" s="16">
        <f>IF(Table1[[#This Row],[Gain/Loss]]="Gain",Table1[[#This Row],[Quantity]], 0)</f>
        <v>1</v>
      </c>
      <c r="W356" s="16">
        <f>IF(Table1[[#This Row],[Gain/Loss]]="Loss",Table1[[#This Row],[Quantity]],0)</f>
        <v>0</v>
      </c>
      <c r="X356" s="16">
        <f>IF(OR(Table1[[#This Row],[Gain/Loss]]="Gain",Table1[[#This Row],[Gain/Loss]]="Loss"),Table1[[#This Row],[Quantity]],"")</f>
        <v>1</v>
      </c>
    </row>
    <row r="357" spans="1:24" x14ac:dyDescent="0.25">
      <c r="A357">
        <v>10356</v>
      </c>
      <c r="B357" s="1">
        <v>46013</v>
      </c>
      <c r="C357" s="1" t="str">
        <f>TEXT(Table1[[#This Row],[Order_Date]],"DD")</f>
        <v>22</v>
      </c>
      <c r="D357" s="1" t="str">
        <f>TEXT(Table1[[#This Row],[Order_Date]],"MMM")</f>
        <v>Dec</v>
      </c>
      <c r="E357" s="1" t="str">
        <f>TEXT(Table1[[#This Row],[Order_Date]],"YYYY")</f>
        <v>2025</v>
      </c>
      <c r="F357">
        <v>3634</v>
      </c>
      <c r="G357" t="s">
        <v>21</v>
      </c>
      <c r="H357" t="s">
        <v>24</v>
      </c>
      <c r="I357" t="s">
        <v>25</v>
      </c>
      <c r="J357" t="s">
        <v>22</v>
      </c>
      <c r="K357">
        <v>6</v>
      </c>
      <c r="L357" s="2">
        <v>78.540000000000006</v>
      </c>
      <c r="M357" s="3">
        <v>0.15</v>
      </c>
      <c r="N357" s="2">
        <v>471.24</v>
      </c>
      <c r="O357" s="2">
        <v>70.685999999999893</v>
      </c>
      <c r="P357" s="2">
        <v>400.55399999999997</v>
      </c>
      <c r="Q357" s="2">
        <v>102.58</v>
      </c>
      <c r="R357" s="2">
        <v>615.48</v>
      </c>
      <c r="S357" s="2">
        <v>-214.92599999999999</v>
      </c>
      <c r="T357" s="3">
        <v>-0.53657184799053292</v>
      </c>
      <c r="U357" s="2" t="str">
        <f>IF(Table1[[#This Row],[Net_Revenue]]&lt;Table1[[#This Row],[Total_Cost]], "Loss", "Gain")</f>
        <v>Loss</v>
      </c>
      <c r="V357" s="16">
        <f>IF(Table1[[#This Row],[Gain/Loss]]="Gain",Table1[[#This Row],[Quantity]], 0)</f>
        <v>0</v>
      </c>
      <c r="W357" s="16">
        <f>IF(Table1[[#This Row],[Gain/Loss]]="Loss",Table1[[#This Row],[Quantity]],0)</f>
        <v>6</v>
      </c>
      <c r="X357" s="16">
        <f>IF(OR(Table1[[#This Row],[Gain/Loss]]="Gain",Table1[[#This Row],[Gain/Loss]]="Loss"),Table1[[#This Row],[Quantity]],"")</f>
        <v>6</v>
      </c>
    </row>
    <row r="358" spans="1:24" x14ac:dyDescent="0.25">
      <c r="A358">
        <v>10357</v>
      </c>
      <c r="B358" s="1">
        <v>46014</v>
      </c>
      <c r="C358" s="1" t="str">
        <f>TEXT(Table1[[#This Row],[Order_Date]],"DD")</f>
        <v>23</v>
      </c>
      <c r="D358" s="1" t="str">
        <f>TEXT(Table1[[#This Row],[Order_Date]],"MMM")</f>
        <v>Dec</v>
      </c>
      <c r="E358" s="1" t="str">
        <f>TEXT(Table1[[#This Row],[Order_Date]],"YYYY")</f>
        <v>2025</v>
      </c>
      <c r="F358">
        <v>3410</v>
      </c>
      <c r="G358" t="s">
        <v>21</v>
      </c>
      <c r="H358" t="s">
        <v>24</v>
      </c>
      <c r="I358" t="s">
        <v>25</v>
      </c>
      <c r="J358" t="s">
        <v>32</v>
      </c>
      <c r="K358">
        <v>5</v>
      </c>
      <c r="L358" s="2">
        <v>49.62</v>
      </c>
      <c r="M358" s="3">
        <v>0.05</v>
      </c>
      <c r="N358" s="2">
        <v>248.1</v>
      </c>
      <c r="O358" s="2">
        <v>12.404999999999999</v>
      </c>
      <c r="P358" s="2">
        <v>235.69499999999999</v>
      </c>
      <c r="Q358" s="2">
        <v>135.1</v>
      </c>
      <c r="R358" s="2">
        <v>675.5</v>
      </c>
      <c r="S358" s="2">
        <v>-439.80500000000001</v>
      </c>
      <c r="T358" s="3">
        <v>-1.86599206601752</v>
      </c>
      <c r="U358" s="2" t="str">
        <f>IF(Table1[[#This Row],[Net_Revenue]]&lt;Table1[[#This Row],[Total_Cost]], "Loss", "Gain")</f>
        <v>Loss</v>
      </c>
      <c r="V358" s="16">
        <f>IF(Table1[[#This Row],[Gain/Loss]]="Gain",Table1[[#This Row],[Quantity]], 0)</f>
        <v>0</v>
      </c>
      <c r="W358" s="16">
        <f>IF(Table1[[#This Row],[Gain/Loss]]="Loss",Table1[[#This Row],[Quantity]],0)</f>
        <v>5</v>
      </c>
      <c r="X358" s="16">
        <f>IF(OR(Table1[[#This Row],[Gain/Loss]]="Gain",Table1[[#This Row],[Gain/Loss]]="Loss"),Table1[[#This Row],[Quantity]],"")</f>
        <v>5</v>
      </c>
    </row>
    <row r="359" spans="1:24" x14ac:dyDescent="0.25">
      <c r="A359">
        <v>10358</v>
      </c>
      <c r="B359" s="1">
        <v>46015</v>
      </c>
      <c r="C359" s="1" t="str">
        <f>TEXT(Table1[[#This Row],[Order_Date]],"DD")</f>
        <v>24</v>
      </c>
      <c r="D359" s="1" t="str">
        <f>TEXT(Table1[[#This Row],[Order_Date]],"MMM")</f>
        <v>Dec</v>
      </c>
      <c r="E359" s="1" t="str">
        <f>TEXT(Table1[[#This Row],[Order_Date]],"YYYY")</f>
        <v>2025</v>
      </c>
      <c r="F359">
        <v>3992</v>
      </c>
      <c r="G359" t="s">
        <v>17</v>
      </c>
      <c r="H359" t="s">
        <v>18</v>
      </c>
      <c r="I359" t="s">
        <v>26</v>
      </c>
      <c r="J359" t="s">
        <v>28</v>
      </c>
      <c r="K359">
        <v>2</v>
      </c>
      <c r="L359" s="2">
        <v>53.83</v>
      </c>
      <c r="M359" s="3">
        <v>0.05</v>
      </c>
      <c r="N359" s="2">
        <v>107.66</v>
      </c>
      <c r="O359" s="2">
        <v>5.383</v>
      </c>
      <c r="P359" s="2">
        <v>102.277</v>
      </c>
      <c r="Q359" s="2">
        <v>54.51</v>
      </c>
      <c r="R359" s="2">
        <v>109.02</v>
      </c>
      <c r="S359" s="2">
        <v>-6.7429999999999897</v>
      </c>
      <c r="T359" s="3">
        <v>-6.5928801196749903E-2</v>
      </c>
      <c r="U359" s="2" t="str">
        <f>IF(Table1[[#This Row],[Net_Revenue]]&lt;Table1[[#This Row],[Total_Cost]], "Loss", "Gain")</f>
        <v>Loss</v>
      </c>
      <c r="V359" s="16">
        <f>IF(Table1[[#This Row],[Gain/Loss]]="Gain",Table1[[#This Row],[Quantity]], 0)</f>
        <v>0</v>
      </c>
      <c r="W359" s="16">
        <f>IF(Table1[[#This Row],[Gain/Loss]]="Loss",Table1[[#This Row],[Quantity]],0)</f>
        <v>2</v>
      </c>
      <c r="X359" s="16">
        <f>IF(OR(Table1[[#This Row],[Gain/Loss]]="Gain",Table1[[#This Row],[Gain/Loss]]="Loss"),Table1[[#This Row],[Quantity]],"")</f>
        <v>2</v>
      </c>
    </row>
    <row r="360" spans="1:24" x14ac:dyDescent="0.25">
      <c r="A360">
        <v>10359</v>
      </c>
      <c r="B360" s="1">
        <v>46016</v>
      </c>
      <c r="C360" s="1" t="str">
        <f>TEXT(Table1[[#This Row],[Order_Date]],"DD")</f>
        <v>25</v>
      </c>
      <c r="D360" s="1" t="str">
        <f>TEXT(Table1[[#This Row],[Order_Date]],"MMM")</f>
        <v>Dec</v>
      </c>
      <c r="E360" s="1" t="str">
        <f>TEXT(Table1[[#This Row],[Order_Date]],"YYYY")</f>
        <v>2025</v>
      </c>
      <c r="F360">
        <v>3380</v>
      </c>
      <c r="G360" t="s">
        <v>17</v>
      </c>
      <c r="H360" t="s">
        <v>18</v>
      </c>
      <c r="I360" t="s">
        <v>25</v>
      </c>
      <c r="J360" t="s">
        <v>32</v>
      </c>
      <c r="K360">
        <v>3</v>
      </c>
      <c r="L360" s="2">
        <v>178</v>
      </c>
      <c r="M360" s="3">
        <v>0.15</v>
      </c>
      <c r="N360" s="2">
        <v>534</v>
      </c>
      <c r="O360" s="2">
        <v>80.099999999999994</v>
      </c>
      <c r="P360" s="2">
        <v>453.9</v>
      </c>
      <c r="Q360" s="2">
        <v>84.34</v>
      </c>
      <c r="R360" s="2">
        <v>253.02</v>
      </c>
      <c r="S360" s="2">
        <v>200.879999999999</v>
      </c>
      <c r="T360" s="3">
        <v>0.44256444150693902</v>
      </c>
      <c r="U360" s="2" t="str">
        <f>IF(Table1[[#This Row],[Net_Revenue]]&lt;Table1[[#This Row],[Total_Cost]], "Loss", "Gain")</f>
        <v>Gain</v>
      </c>
      <c r="V360" s="16">
        <f>IF(Table1[[#This Row],[Gain/Loss]]="Gain",Table1[[#This Row],[Quantity]], 0)</f>
        <v>3</v>
      </c>
      <c r="W360" s="16">
        <f>IF(Table1[[#This Row],[Gain/Loss]]="Loss",Table1[[#This Row],[Quantity]],0)</f>
        <v>0</v>
      </c>
      <c r="X360" s="16">
        <f>IF(OR(Table1[[#This Row],[Gain/Loss]]="Gain",Table1[[#This Row],[Gain/Loss]]="Loss"),Table1[[#This Row],[Quantity]],"")</f>
        <v>3</v>
      </c>
    </row>
    <row r="361" spans="1:24" x14ac:dyDescent="0.25">
      <c r="A361">
        <v>10360</v>
      </c>
      <c r="B361" s="1">
        <v>46017</v>
      </c>
      <c r="C361" s="1" t="str">
        <f>TEXT(Table1[[#This Row],[Order_Date]],"DD")</f>
        <v>26</v>
      </c>
      <c r="D361" s="1" t="str">
        <f>TEXT(Table1[[#This Row],[Order_Date]],"MMM")</f>
        <v>Dec</v>
      </c>
      <c r="E361" s="1" t="str">
        <f>TEXT(Table1[[#This Row],[Order_Date]],"YYYY")</f>
        <v>2025</v>
      </c>
      <c r="F361">
        <v>3865</v>
      </c>
      <c r="G361" t="s">
        <v>21</v>
      </c>
      <c r="H361" t="s">
        <v>18</v>
      </c>
      <c r="I361" t="s">
        <v>33</v>
      </c>
      <c r="J361" t="s">
        <v>20</v>
      </c>
      <c r="K361">
        <v>4</v>
      </c>
      <c r="L361" s="2">
        <v>231.1</v>
      </c>
      <c r="M361" s="3">
        <v>0</v>
      </c>
      <c r="N361" s="2">
        <v>924.4</v>
      </c>
      <c r="O361" s="2">
        <v>0</v>
      </c>
      <c r="P361" s="2">
        <v>924.4</v>
      </c>
      <c r="Q361" s="2">
        <v>35.97</v>
      </c>
      <c r="R361" s="2">
        <v>143.88</v>
      </c>
      <c r="S361" s="2">
        <v>780.52</v>
      </c>
      <c r="T361" s="3">
        <v>0.84435309389874502</v>
      </c>
      <c r="U361" s="2" t="str">
        <f>IF(Table1[[#This Row],[Net_Revenue]]&lt;Table1[[#This Row],[Total_Cost]], "Loss", "Gain")</f>
        <v>Gain</v>
      </c>
      <c r="V361" s="16">
        <f>IF(Table1[[#This Row],[Gain/Loss]]="Gain",Table1[[#This Row],[Quantity]], 0)</f>
        <v>4</v>
      </c>
      <c r="W361" s="16">
        <f>IF(Table1[[#This Row],[Gain/Loss]]="Loss",Table1[[#This Row],[Quantity]],0)</f>
        <v>0</v>
      </c>
      <c r="X361" s="16">
        <f>IF(OR(Table1[[#This Row],[Gain/Loss]]="Gain",Table1[[#This Row],[Gain/Loss]]="Loss"),Table1[[#This Row],[Quantity]],"")</f>
        <v>4</v>
      </c>
    </row>
    <row r="362" spans="1:24" x14ac:dyDescent="0.25">
      <c r="A362">
        <v>10361</v>
      </c>
      <c r="B362" s="1">
        <v>46018</v>
      </c>
      <c r="C362" s="1" t="str">
        <f>TEXT(Table1[[#This Row],[Order_Date]],"DD")</f>
        <v>27</v>
      </c>
      <c r="D362" s="1" t="str">
        <f>TEXT(Table1[[#This Row],[Order_Date]],"MMM")</f>
        <v>Dec</v>
      </c>
      <c r="E362" s="1" t="str">
        <f>TEXT(Table1[[#This Row],[Order_Date]],"YYYY")</f>
        <v>2025</v>
      </c>
      <c r="F362">
        <v>3520</v>
      </c>
      <c r="G362" t="s">
        <v>29</v>
      </c>
      <c r="H362" t="s">
        <v>24</v>
      </c>
      <c r="I362" t="s">
        <v>19</v>
      </c>
      <c r="J362" t="s">
        <v>27</v>
      </c>
      <c r="K362">
        <v>9</v>
      </c>
      <c r="L362" s="2">
        <v>42.21</v>
      </c>
      <c r="M362" s="3">
        <v>0.05</v>
      </c>
      <c r="N362" s="2">
        <v>379.89</v>
      </c>
      <c r="O362" s="2">
        <v>18.994499999999999</v>
      </c>
      <c r="P362" s="2">
        <v>360.895499999999</v>
      </c>
      <c r="Q362" s="2">
        <v>53.26</v>
      </c>
      <c r="R362" s="2">
        <v>479.34</v>
      </c>
      <c r="S362" s="2">
        <v>-118.44450000000001</v>
      </c>
      <c r="T362" s="3">
        <v>-0.32819611217097405</v>
      </c>
      <c r="U362" s="2" t="str">
        <f>IF(Table1[[#This Row],[Net_Revenue]]&lt;Table1[[#This Row],[Total_Cost]], "Loss", "Gain")</f>
        <v>Loss</v>
      </c>
      <c r="V362" s="16">
        <f>IF(Table1[[#This Row],[Gain/Loss]]="Gain",Table1[[#This Row],[Quantity]], 0)</f>
        <v>0</v>
      </c>
      <c r="W362" s="16">
        <f>IF(Table1[[#This Row],[Gain/Loss]]="Loss",Table1[[#This Row],[Quantity]],0)</f>
        <v>9</v>
      </c>
      <c r="X362" s="16">
        <f>IF(OR(Table1[[#This Row],[Gain/Loss]]="Gain",Table1[[#This Row],[Gain/Loss]]="Loss"),Table1[[#This Row],[Quantity]],"")</f>
        <v>9</v>
      </c>
    </row>
    <row r="363" spans="1:24" x14ac:dyDescent="0.25">
      <c r="A363">
        <v>10362</v>
      </c>
      <c r="B363" s="1">
        <v>46019</v>
      </c>
      <c r="C363" s="1" t="str">
        <f>TEXT(Table1[[#This Row],[Order_Date]],"DD")</f>
        <v>28</v>
      </c>
      <c r="D363" s="1" t="str">
        <f>TEXT(Table1[[#This Row],[Order_Date]],"MMM")</f>
        <v>Dec</v>
      </c>
      <c r="E363" s="1" t="str">
        <f>TEXT(Table1[[#This Row],[Order_Date]],"YYYY")</f>
        <v>2025</v>
      </c>
      <c r="F363">
        <v>3692</v>
      </c>
      <c r="G363" t="s">
        <v>21</v>
      </c>
      <c r="H363" t="s">
        <v>24</v>
      </c>
      <c r="I363" t="s">
        <v>26</v>
      </c>
      <c r="J363" t="s">
        <v>28</v>
      </c>
      <c r="K363">
        <v>8</v>
      </c>
      <c r="L363" s="2">
        <v>245.22</v>
      </c>
      <c r="M363" s="3">
        <v>0.1</v>
      </c>
      <c r="N363" s="2">
        <v>1961.76</v>
      </c>
      <c r="O363" s="2">
        <v>196.17599999999999</v>
      </c>
      <c r="P363" s="2">
        <v>1765.5840000000001</v>
      </c>
      <c r="Q363" s="2">
        <v>124.17</v>
      </c>
      <c r="R363" s="2">
        <v>993.36</v>
      </c>
      <c r="S363" s="2">
        <v>772.22400000000005</v>
      </c>
      <c r="T363" s="3">
        <v>0.43737596172144699</v>
      </c>
      <c r="U363" s="2" t="str">
        <f>IF(Table1[[#This Row],[Net_Revenue]]&lt;Table1[[#This Row],[Total_Cost]], "Loss", "Gain")</f>
        <v>Gain</v>
      </c>
      <c r="V363" s="16">
        <f>IF(Table1[[#This Row],[Gain/Loss]]="Gain",Table1[[#This Row],[Quantity]], 0)</f>
        <v>8</v>
      </c>
      <c r="W363" s="16">
        <f>IF(Table1[[#This Row],[Gain/Loss]]="Loss",Table1[[#This Row],[Quantity]],0)</f>
        <v>0</v>
      </c>
      <c r="X363" s="16">
        <f>IF(OR(Table1[[#This Row],[Gain/Loss]]="Gain",Table1[[#This Row],[Gain/Loss]]="Loss"),Table1[[#This Row],[Quantity]],"")</f>
        <v>8</v>
      </c>
    </row>
    <row r="364" spans="1:24" x14ac:dyDescent="0.25">
      <c r="A364">
        <v>10363</v>
      </c>
      <c r="B364" s="1">
        <v>46020</v>
      </c>
      <c r="C364" s="1" t="str">
        <f>TEXT(Table1[[#This Row],[Order_Date]],"DD")</f>
        <v>29</v>
      </c>
      <c r="D364" s="1" t="str">
        <f>TEXT(Table1[[#This Row],[Order_Date]],"MMM")</f>
        <v>Dec</v>
      </c>
      <c r="E364" s="1" t="str">
        <f>TEXT(Table1[[#This Row],[Order_Date]],"YYYY")</f>
        <v>2025</v>
      </c>
      <c r="F364">
        <v>3606</v>
      </c>
      <c r="G364" t="s">
        <v>21</v>
      </c>
      <c r="H364" t="s">
        <v>18</v>
      </c>
      <c r="I364" t="s">
        <v>19</v>
      </c>
      <c r="J364" t="s">
        <v>27</v>
      </c>
      <c r="K364">
        <v>6</v>
      </c>
      <c r="L364" s="2">
        <v>195.28</v>
      </c>
      <c r="M364" s="3">
        <v>0.15</v>
      </c>
      <c r="N364" s="2">
        <v>1171.68</v>
      </c>
      <c r="O364" s="2">
        <v>175.75200000000001</v>
      </c>
      <c r="P364" s="2">
        <v>995.928</v>
      </c>
      <c r="Q364" s="2">
        <v>144.74</v>
      </c>
      <c r="R364" s="2">
        <v>868.44</v>
      </c>
      <c r="S364" s="2">
        <v>127.488</v>
      </c>
      <c r="T364" s="3">
        <v>0.128009253680989</v>
      </c>
      <c r="U364" s="2" t="str">
        <f>IF(Table1[[#This Row],[Net_Revenue]]&lt;Table1[[#This Row],[Total_Cost]], "Loss", "Gain")</f>
        <v>Gain</v>
      </c>
      <c r="V364" s="16">
        <f>IF(Table1[[#This Row],[Gain/Loss]]="Gain",Table1[[#This Row],[Quantity]], 0)</f>
        <v>6</v>
      </c>
      <c r="W364" s="16">
        <f>IF(Table1[[#This Row],[Gain/Loss]]="Loss",Table1[[#This Row],[Quantity]],0)</f>
        <v>0</v>
      </c>
      <c r="X364" s="16">
        <f>IF(OR(Table1[[#This Row],[Gain/Loss]]="Gain",Table1[[#This Row],[Gain/Loss]]="Loss"),Table1[[#This Row],[Quantity]],"")</f>
        <v>6</v>
      </c>
    </row>
    <row r="365" spans="1:24" x14ac:dyDescent="0.25">
      <c r="A365">
        <v>10364</v>
      </c>
      <c r="B365" s="1">
        <v>46021</v>
      </c>
      <c r="C365" s="1" t="str">
        <f>TEXT(Table1[[#This Row],[Order_Date]],"DD")</f>
        <v>30</v>
      </c>
      <c r="D365" s="1" t="str">
        <f>TEXT(Table1[[#This Row],[Order_Date]],"MMM")</f>
        <v>Dec</v>
      </c>
      <c r="E365" s="1" t="str">
        <f>TEXT(Table1[[#This Row],[Order_Date]],"YYYY")</f>
        <v>2025</v>
      </c>
      <c r="F365">
        <v>3865</v>
      </c>
      <c r="G365" t="s">
        <v>21</v>
      </c>
      <c r="H365" t="s">
        <v>18</v>
      </c>
      <c r="I365" t="s">
        <v>26</v>
      </c>
      <c r="J365" t="s">
        <v>28</v>
      </c>
      <c r="K365">
        <v>8</v>
      </c>
      <c r="L365" s="2">
        <v>93.85</v>
      </c>
      <c r="M365" s="3">
        <v>0.05</v>
      </c>
      <c r="N365" s="2">
        <v>750.8</v>
      </c>
      <c r="O365" s="2">
        <v>37.54</v>
      </c>
      <c r="P365" s="2">
        <v>713.26</v>
      </c>
      <c r="Q365" s="2">
        <v>52.55</v>
      </c>
      <c r="R365" s="2">
        <v>420.4</v>
      </c>
      <c r="S365" s="2">
        <v>292.86</v>
      </c>
      <c r="T365" s="3">
        <v>0.41059361242744502</v>
      </c>
      <c r="U365" s="2" t="str">
        <f>IF(Table1[[#This Row],[Net_Revenue]]&lt;Table1[[#This Row],[Total_Cost]], "Loss", "Gain")</f>
        <v>Gain</v>
      </c>
      <c r="V365" s="16">
        <f>IF(Table1[[#This Row],[Gain/Loss]]="Gain",Table1[[#This Row],[Quantity]], 0)</f>
        <v>8</v>
      </c>
      <c r="W365" s="16">
        <f>IF(Table1[[#This Row],[Gain/Loss]]="Loss",Table1[[#This Row],[Quantity]],0)</f>
        <v>0</v>
      </c>
      <c r="X365" s="16">
        <f>IF(OR(Table1[[#This Row],[Gain/Loss]]="Gain",Table1[[#This Row],[Gain/Loss]]="Loss"),Table1[[#This Row],[Quantity]],"")</f>
        <v>8</v>
      </c>
    </row>
    <row r="366" spans="1:24" x14ac:dyDescent="0.25">
      <c r="A366">
        <v>10365</v>
      </c>
      <c r="B366" s="1">
        <v>46022</v>
      </c>
      <c r="C366" s="1" t="str">
        <f>TEXT(Table1[[#This Row],[Order_Date]],"DD")</f>
        <v>31</v>
      </c>
      <c r="D366" s="1" t="str">
        <f>TEXT(Table1[[#This Row],[Order_Date]],"MMM")</f>
        <v>Dec</v>
      </c>
      <c r="E366" s="1" t="str">
        <f>TEXT(Table1[[#This Row],[Order_Date]],"YYYY")</f>
        <v>2025</v>
      </c>
      <c r="F366">
        <v>3719</v>
      </c>
      <c r="G366" t="s">
        <v>29</v>
      </c>
      <c r="H366" t="s">
        <v>18</v>
      </c>
      <c r="I366" t="s">
        <v>33</v>
      </c>
      <c r="J366" t="s">
        <v>20</v>
      </c>
      <c r="K366">
        <v>5</v>
      </c>
      <c r="L366" s="2">
        <v>25.78</v>
      </c>
      <c r="M366" s="3">
        <v>0.1</v>
      </c>
      <c r="N366" s="2">
        <v>128.9</v>
      </c>
      <c r="O366" s="2">
        <v>12.89</v>
      </c>
      <c r="P366" s="2">
        <v>116.01</v>
      </c>
      <c r="Q366" s="2">
        <v>115.45</v>
      </c>
      <c r="R366" s="2">
        <v>577.25</v>
      </c>
      <c r="S366" s="2">
        <v>-461.24</v>
      </c>
      <c r="T366" s="3">
        <v>-3.9758641496422702</v>
      </c>
      <c r="U366" s="2" t="str">
        <f>IF(Table1[[#This Row],[Net_Revenue]]&lt;Table1[[#This Row],[Total_Cost]], "Loss", "Gain")</f>
        <v>Loss</v>
      </c>
      <c r="V366" s="16">
        <f>IF(Table1[[#This Row],[Gain/Loss]]="Gain",Table1[[#This Row],[Quantity]], 0)</f>
        <v>0</v>
      </c>
      <c r="W366" s="16">
        <f>IF(Table1[[#This Row],[Gain/Loss]]="Loss",Table1[[#This Row],[Quantity]],0)</f>
        <v>5</v>
      </c>
      <c r="X366" s="16">
        <f>IF(OR(Table1[[#This Row],[Gain/Loss]]="Gain",Table1[[#This Row],[Gain/Loss]]="Loss"),Table1[[#This Row],[Quantity]],"")</f>
        <v>5</v>
      </c>
    </row>
    <row r="367" spans="1:24" x14ac:dyDescent="0.25">
      <c r="A367">
        <v>10366</v>
      </c>
      <c r="B367" s="1">
        <v>46023</v>
      </c>
      <c r="C367" s="1" t="str">
        <f>TEXT(Table1[[#This Row],[Order_Date]],"DD")</f>
        <v>01</v>
      </c>
      <c r="D367" s="1" t="str">
        <f>TEXT(Table1[[#This Row],[Order_Date]],"MMM")</f>
        <v>Jan</v>
      </c>
      <c r="E367" s="1" t="str">
        <f>TEXT(Table1[[#This Row],[Order_Date]],"YYYY")</f>
        <v>2026</v>
      </c>
      <c r="F367">
        <v>3406</v>
      </c>
      <c r="G367" t="s">
        <v>23</v>
      </c>
      <c r="H367" t="s">
        <v>24</v>
      </c>
      <c r="I367" t="s">
        <v>26</v>
      </c>
      <c r="J367" t="s">
        <v>28</v>
      </c>
      <c r="K367">
        <v>1</v>
      </c>
      <c r="L367" s="2">
        <v>109.46</v>
      </c>
      <c r="M367" s="3">
        <v>0</v>
      </c>
      <c r="N367" s="2">
        <v>109.46</v>
      </c>
      <c r="O367" s="2">
        <v>0</v>
      </c>
      <c r="P367" s="2">
        <v>109.46</v>
      </c>
      <c r="Q367" s="2">
        <v>82.96</v>
      </c>
      <c r="R367" s="2">
        <v>82.96</v>
      </c>
      <c r="S367" s="2">
        <v>26.5</v>
      </c>
      <c r="T367" s="3">
        <v>0.24209756988854297</v>
      </c>
      <c r="U367" s="2" t="str">
        <f>IF(Table1[[#This Row],[Net_Revenue]]&lt;Table1[[#This Row],[Total_Cost]], "Loss", "Gain")</f>
        <v>Gain</v>
      </c>
      <c r="V367" s="16">
        <f>IF(Table1[[#This Row],[Gain/Loss]]="Gain",Table1[[#This Row],[Quantity]], 0)</f>
        <v>1</v>
      </c>
      <c r="W367" s="16">
        <f>IF(Table1[[#This Row],[Gain/Loss]]="Loss",Table1[[#This Row],[Quantity]],0)</f>
        <v>0</v>
      </c>
      <c r="X367" s="16">
        <f>IF(OR(Table1[[#This Row],[Gain/Loss]]="Gain",Table1[[#This Row],[Gain/Loss]]="Loss"),Table1[[#This Row],[Quantity]],"")</f>
        <v>1</v>
      </c>
    </row>
    <row r="368" spans="1:24" x14ac:dyDescent="0.25">
      <c r="A368">
        <v>10367</v>
      </c>
      <c r="B368" s="1">
        <v>46024</v>
      </c>
      <c r="C368" s="1" t="str">
        <f>TEXT(Table1[[#This Row],[Order_Date]],"DD")</f>
        <v>02</v>
      </c>
      <c r="D368" s="1" t="str">
        <f>TEXT(Table1[[#This Row],[Order_Date]],"MMM")</f>
        <v>Jan</v>
      </c>
      <c r="E368" s="1" t="str">
        <f>TEXT(Table1[[#This Row],[Order_Date]],"YYYY")</f>
        <v>2026</v>
      </c>
      <c r="F368">
        <v>3184</v>
      </c>
      <c r="G368" t="s">
        <v>17</v>
      </c>
      <c r="H368" t="s">
        <v>18</v>
      </c>
      <c r="I368" t="s">
        <v>26</v>
      </c>
      <c r="J368" t="s">
        <v>31</v>
      </c>
      <c r="K368">
        <v>2</v>
      </c>
      <c r="L368" s="2">
        <v>140.09</v>
      </c>
      <c r="M368" s="3">
        <v>0.05</v>
      </c>
      <c r="N368" s="2">
        <v>280.18</v>
      </c>
      <c r="O368" s="2">
        <v>14.009</v>
      </c>
      <c r="P368" s="2">
        <v>266.17099999999999</v>
      </c>
      <c r="Q368" s="2">
        <v>105.43</v>
      </c>
      <c r="R368" s="2">
        <v>210.86</v>
      </c>
      <c r="S368" s="2">
        <v>55.3109999999999</v>
      </c>
      <c r="T368" s="3">
        <v>0.20780250290226898</v>
      </c>
      <c r="U368" s="2" t="str">
        <f>IF(Table1[[#This Row],[Net_Revenue]]&lt;Table1[[#This Row],[Total_Cost]], "Loss", "Gain")</f>
        <v>Gain</v>
      </c>
      <c r="V368" s="16">
        <f>IF(Table1[[#This Row],[Gain/Loss]]="Gain",Table1[[#This Row],[Quantity]], 0)</f>
        <v>2</v>
      </c>
      <c r="W368" s="16">
        <f>IF(Table1[[#This Row],[Gain/Loss]]="Loss",Table1[[#This Row],[Quantity]],0)</f>
        <v>0</v>
      </c>
      <c r="X368" s="16">
        <f>IF(OR(Table1[[#This Row],[Gain/Loss]]="Gain",Table1[[#This Row],[Gain/Loss]]="Loss"),Table1[[#This Row],[Quantity]],"")</f>
        <v>2</v>
      </c>
    </row>
    <row r="369" spans="1:24" x14ac:dyDescent="0.25">
      <c r="A369">
        <v>10368</v>
      </c>
      <c r="B369" s="1">
        <v>46025</v>
      </c>
      <c r="C369" s="1" t="str">
        <f>TEXT(Table1[[#This Row],[Order_Date]],"DD")</f>
        <v>03</v>
      </c>
      <c r="D369" s="1" t="str">
        <f>TEXT(Table1[[#This Row],[Order_Date]],"MMM")</f>
        <v>Jan</v>
      </c>
      <c r="E369" s="1" t="str">
        <f>TEXT(Table1[[#This Row],[Order_Date]],"YYYY")</f>
        <v>2026</v>
      </c>
      <c r="F369">
        <v>3181</v>
      </c>
      <c r="G369" t="s">
        <v>29</v>
      </c>
      <c r="H369" t="s">
        <v>24</v>
      </c>
      <c r="I369" t="s">
        <v>26</v>
      </c>
      <c r="J369" t="s">
        <v>31</v>
      </c>
      <c r="K369">
        <v>4</v>
      </c>
      <c r="L369" s="2">
        <v>93.98</v>
      </c>
      <c r="M369" s="3">
        <v>0.2</v>
      </c>
      <c r="N369" s="2">
        <v>375.92</v>
      </c>
      <c r="O369" s="2">
        <v>75.183999999999997</v>
      </c>
      <c r="P369" s="2">
        <v>300.73599999999999</v>
      </c>
      <c r="Q369" s="2">
        <v>58.13</v>
      </c>
      <c r="R369" s="2">
        <v>232.52</v>
      </c>
      <c r="S369" s="2">
        <v>68.215999999999894</v>
      </c>
      <c r="T369" s="3">
        <v>0.226830176633326</v>
      </c>
      <c r="U369" s="2" t="str">
        <f>IF(Table1[[#This Row],[Net_Revenue]]&lt;Table1[[#This Row],[Total_Cost]], "Loss", "Gain")</f>
        <v>Gain</v>
      </c>
      <c r="V369" s="16">
        <f>IF(Table1[[#This Row],[Gain/Loss]]="Gain",Table1[[#This Row],[Quantity]], 0)</f>
        <v>4</v>
      </c>
      <c r="W369" s="16">
        <f>IF(Table1[[#This Row],[Gain/Loss]]="Loss",Table1[[#This Row],[Quantity]],0)</f>
        <v>0</v>
      </c>
      <c r="X369" s="16">
        <f>IF(OR(Table1[[#This Row],[Gain/Loss]]="Gain",Table1[[#This Row],[Gain/Loss]]="Loss"),Table1[[#This Row],[Quantity]],"")</f>
        <v>4</v>
      </c>
    </row>
    <row r="370" spans="1:24" x14ac:dyDescent="0.25">
      <c r="A370">
        <v>10369</v>
      </c>
      <c r="B370" s="1">
        <v>46026</v>
      </c>
      <c r="C370" s="1" t="str">
        <f>TEXT(Table1[[#This Row],[Order_Date]],"DD")</f>
        <v>04</v>
      </c>
      <c r="D370" s="1" t="str">
        <f>TEXT(Table1[[#This Row],[Order_Date]],"MMM")</f>
        <v>Jan</v>
      </c>
      <c r="E370" s="1" t="str">
        <f>TEXT(Table1[[#This Row],[Order_Date]],"YYYY")</f>
        <v>2026</v>
      </c>
      <c r="F370">
        <v>3546</v>
      </c>
      <c r="G370" t="s">
        <v>23</v>
      </c>
      <c r="H370" t="s">
        <v>18</v>
      </c>
      <c r="I370" t="s">
        <v>19</v>
      </c>
      <c r="J370" t="s">
        <v>27</v>
      </c>
      <c r="K370">
        <v>9</v>
      </c>
      <c r="L370" s="2">
        <v>205.1</v>
      </c>
      <c r="M370" s="3">
        <v>0.2</v>
      </c>
      <c r="N370" s="2">
        <v>1845.8999999999901</v>
      </c>
      <c r="O370" s="2">
        <v>369.18</v>
      </c>
      <c r="P370" s="2">
        <v>1476.71999999999</v>
      </c>
      <c r="Q370" s="2">
        <v>56.24</v>
      </c>
      <c r="R370" s="2">
        <v>506.16</v>
      </c>
      <c r="S370" s="2">
        <v>970.55999999999904</v>
      </c>
      <c r="T370" s="3">
        <v>0.65724037055094997</v>
      </c>
      <c r="U370" s="2" t="str">
        <f>IF(Table1[[#This Row],[Net_Revenue]]&lt;Table1[[#This Row],[Total_Cost]], "Loss", "Gain")</f>
        <v>Gain</v>
      </c>
      <c r="V370" s="16">
        <f>IF(Table1[[#This Row],[Gain/Loss]]="Gain",Table1[[#This Row],[Quantity]], 0)</f>
        <v>9</v>
      </c>
      <c r="W370" s="16">
        <f>IF(Table1[[#This Row],[Gain/Loss]]="Loss",Table1[[#This Row],[Quantity]],0)</f>
        <v>0</v>
      </c>
      <c r="X370" s="16">
        <f>IF(OR(Table1[[#This Row],[Gain/Loss]]="Gain",Table1[[#This Row],[Gain/Loss]]="Loss"),Table1[[#This Row],[Quantity]],"")</f>
        <v>9</v>
      </c>
    </row>
    <row r="371" spans="1:24" x14ac:dyDescent="0.25">
      <c r="A371">
        <v>10370</v>
      </c>
      <c r="B371" s="1">
        <v>46027</v>
      </c>
      <c r="C371" s="1" t="str">
        <f>TEXT(Table1[[#This Row],[Order_Date]],"DD")</f>
        <v>05</v>
      </c>
      <c r="D371" s="1" t="str">
        <f>TEXT(Table1[[#This Row],[Order_Date]],"MMM")</f>
        <v>Jan</v>
      </c>
      <c r="E371" s="1" t="str">
        <f>TEXT(Table1[[#This Row],[Order_Date]],"YYYY")</f>
        <v>2026</v>
      </c>
      <c r="F371">
        <v>3780</v>
      </c>
      <c r="G371" t="s">
        <v>29</v>
      </c>
      <c r="H371" t="s">
        <v>24</v>
      </c>
      <c r="I371" t="s">
        <v>25</v>
      </c>
      <c r="J371" t="s">
        <v>32</v>
      </c>
      <c r="K371">
        <v>7</v>
      </c>
      <c r="L371" s="2">
        <v>100.57</v>
      </c>
      <c r="M371" s="3">
        <v>0.15</v>
      </c>
      <c r="N371" s="2">
        <v>703.99</v>
      </c>
      <c r="O371" s="2">
        <v>105.5985</v>
      </c>
      <c r="P371" s="2">
        <v>598.39149999999995</v>
      </c>
      <c r="Q371" s="2">
        <v>34.9</v>
      </c>
      <c r="R371" s="2">
        <v>244.29999999999899</v>
      </c>
      <c r="S371" s="2">
        <v>354.0915</v>
      </c>
      <c r="T371" s="3">
        <v>0.59173885324239994</v>
      </c>
      <c r="U371" s="2" t="str">
        <f>IF(Table1[[#This Row],[Net_Revenue]]&lt;Table1[[#This Row],[Total_Cost]], "Loss", "Gain")</f>
        <v>Gain</v>
      </c>
      <c r="V371" s="16">
        <f>IF(Table1[[#This Row],[Gain/Loss]]="Gain",Table1[[#This Row],[Quantity]], 0)</f>
        <v>7</v>
      </c>
      <c r="W371" s="16">
        <f>IF(Table1[[#This Row],[Gain/Loss]]="Loss",Table1[[#This Row],[Quantity]],0)</f>
        <v>0</v>
      </c>
      <c r="X371" s="16">
        <f>IF(OR(Table1[[#This Row],[Gain/Loss]]="Gain",Table1[[#This Row],[Gain/Loss]]="Loss"),Table1[[#This Row],[Quantity]],"")</f>
        <v>7</v>
      </c>
    </row>
    <row r="372" spans="1:24" x14ac:dyDescent="0.25">
      <c r="A372">
        <v>10371</v>
      </c>
      <c r="B372" s="1">
        <v>46028</v>
      </c>
      <c r="C372" s="1" t="str">
        <f>TEXT(Table1[[#This Row],[Order_Date]],"DD")</f>
        <v>06</v>
      </c>
      <c r="D372" s="1" t="str">
        <f>TEXT(Table1[[#This Row],[Order_Date]],"MMM")</f>
        <v>Jan</v>
      </c>
      <c r="E372" s="1" t="str">
        <f>TEXT(Table1[[#This Row],[Order_Date]],"YYYY")</f>
        <v>2026</v>
      </c>
      <c r="F372">
        <v>3260</v>
      </c>
      <c r="G372" t="s">
        <v>23</v>
      </c>
      <c r="H372" t="s">
        <v>18</v>
      </c>
      <c r="I372" t="s">
        <v>25</v>
      </c>
      <c r="J372" t="s">
        <v>22</v>
      </c>
      <c r="K372">
        <v>1</v>
      </c>
      <c r="L372" s="2">
        <v>137.51</v>
      </c>
      <c r="M372" s="3">
        <v>0.2</v>
      </c>
      <c r="N372" s="2">
        <v>137.51</v>
      </c>
      <c r="O372" s="2">
        <v>27.501999999999999</v>
      </c>
      <c r="P372" s="2">
        <v>110.008</v>
      </c>
      <c r="Q372" s="2">
        <v>77.709999999999994</v>
      </c>
      <c r="R372" s="2">
        <v>77.709999999999994</v>
      </c>
      <c r="S372" s="2">
        <v>32.298000000000002</v>
      </c>
      <c r="T372" s="3">
        <v>0.29359682932150299</v>
      </c>
      <c r="U372" s="2" t="str">
        <f>IF(Table1[[#This Row],[Net_Revenue]]&lt;Table1[[#This Row],[Total_Cost]], "Loss", "Gain")</f>
        <v>Gain</v>
      </c>
      <c r="V372" s="16">
        <f>IF(Table1[[#This Row],[Gain/Loss]]="Gain",Table1[[#This Row],[Quantity]], 0)</f>
        <v>1</v>
      </c>
      <c r="W372" s="16">
        <f>IF(Table1[[#This Row],[Gain/Loss]]="Loss",Table1[[#This Row],[Quantity]],0)</f>
        <v>0</v>
      </c>
      <c r="X372" s="16">
        <f>IF(OR(Table1[[#This Row],[Gain/Loss]]="Gain",Table1[[#This Row],[Gain/Loss]]="Loss"),Table1[[#This Row],[Quantity]],"")</f>
        <v>1</v>
      </c>
    </row>
    <row r="373" spans="1:24" x14ac:dyDescent="0.25">
      <c r="A373">
        <v>10372</v>
      </c>
      <c r="B373" s="1">
        <v>46029</v>
      </c>
      <c r="C373" s="1" t="str">
        <f>TEXT(Table1[[#This Row],[Order_Date]],"DD")</f>
        <v>07</v>
      </c>
      <c r="D373" s="1" t="str">
        <f>TEXT(Table1[[#This Row],[Order_Date]],"MMM")</f>
        <v>Jan</v>
      </c>
      <c r="E373" s="1" t="str">
        <f>TEXT(Table1[[#This Row],[Order_Date]],"YYYY")</f>
        <v>2026</v>
      </c>
      <c r="F373">
        <v>3044</v>
      </c>
      <c r="G373" t="s">
        <v>23</v>
      </c>
      <c r="H373" t="s">
        <v>24</v>
      </c>
      <c r="I373" t="s">
        <v>25</v>
      </c>
      <c r="J373" t="s">
        <v>22</v>
      </c>
      <c r="K373">
        <v>3</v>
      </c>
      <c r="L373" s="2">
        <v>148.61000000000001</v>
      </c>
      <c r="M373" s="3">
        <v>0.1</v>
      </c>
      <c r="N373" s="2">
        <v>445.83</v>
      </c>
      <c r="O373" s="2">
        <v>44.582999999999998</v>
      </c>
      <c r="P373" s="2">
        <v>401.24700000000001</v>
      </c>
      <c r="Q373" s="2">
        <v>13.09</v>
      </c>
      <c r="R373" s="2">
        <v>39.269999999999897</v>
      </c>
      <c r="S373" s="2">
        <v>361.97699999999998</v>
      </c>
      <c r="T373" s="3">
        <v>0.90213010938399507</v>
      </c>
      <c r="U373" s="2" t="str">
        <f>IF(Table1[[#This Row],[Net_Revenue]]&lt;Table1[[#This Row],[Total_Cost]], "Loss", "Gain")</f>
        <v>Gain</v>
      </c>
      <c r="V373" s="16">
        <f>IF(Table1[[#This Row],[Gain/Loss]]="Gain",Table1[[#This Row],[Quantity]], 0)</f>
        <v>3</v>
      </c>
      <c r="W373" s="16">
        <f>IF(Table1[[#This Row],[Gain/Loss]]="Loss",Table1[[#This Row],[Quantity]],0)</f>
        <v>0</v>
      </c>
      <c r="X373" s="16">
        <f>IF(OR(Table1[[#This Row],[Gain/Loss]]="Gain",Table1[[#This Row],[Gain/Loss]]="Loss"),Table1[[#This Row],[Quantity]],"")</f>
        <v>3</v>
      </c>
    </row>
    <row r="374" spans="1:24" x14ac:dyDescent="0.25">
      <c r="A374">
        <v>10373</v>
      </c>
      <c r="B374" s="1">
        <v>46030</v>
      </c>
      <c r="C374" s="1" t="str">
        <f>TEXT(Table1[[#This Row],[Order_Date]],"DD")</f>
        <v>08</v>
      </c>
      <c r="D374" s="1" t="str">
        <f>TEXT(Table1[[#This Row],[Order_Date]],"MMM")</f>
        <v>Jan</v>
      </c>
      <c r="E374" s="1" t="str">
        <f>TEXT(Table1[[#This Row],[Order_Date]],"YYYY")</f>
        <v>2026</v>
      </c>
      <c r="F374">
        <v>3311</v>
      </c>
      <c r="G374" t="s">
        <v>17</v>
      </c>
      <c r="H374" t="s">
        <v>18</v>
      </c>
      <c r="I374" t="s">
        <v>26</v>
      </c>
      <c r="J374" t="s">
        <v>28</v>
      </c>
      <c r="K374">
        <v>6</v>
      </c>
      <c r="L374" s="2">
        <v>198.51</v>
      </c>
      <c r="M374" s="3">
        <v>0</v>
      </c>
      <c r="N374" s="2">
        <v>1191.06</v>
      </c>
      <c r="O374" s="2">
        <v>0</v>
      </c>
      <c r="P374" s="2">
        <v>1191.06</v>
      </c>
      <c r="Q374" s="2">
        <v>129.75</v>
      </c>
      <c r="R374" s="2">
        <v>778.5</v>
      </c>
      <c r="S374" s="2">
        <v>412.55999999999898</v>
      </c>
      <c r="T374" s="3">
        <v>0.34638053498564297</v>
      </c>
      <c r="U374" s="2" t="str">
        <f>IF(Table1[[#This Row],[Net_Revenue]]&lt;Table1[[#This Row],[Total_Cost]], "Loss", "Gain")</f>
        <v>Gain</v>
      </c>
      <c r="V374" s="16">
        <f>IF(Table1[[#This Row],[Gain/Loss]]="Gain",Table1[[#This Row],[Quantity]], 0)</f>
        <v>6</v>
      </c>
      <c r="W374" s="16">
        <f>IF(Table1[[#This Row],[Gain/Loss]]="Loss",Table1[[#This Row],[Quantity]],0)</f>
        <v>0</v>
      </c>
      <c r="X374" s="16">
        <f>IF(OR(Table1[[#This Row],[Gain/Loss]]="Gain",Table1[[#This Row],[Gain/Loss]]="Loss"),Table1[[#This Row],[Quantity]],"")</f>
        <v>6</v>
      </c>
    </row>
    <row r="375" spans="1:24" x14ac:dyDescent="0.25">
      <c r="A375">
        <v>10374</v>
      </c>
      <c r="B375" s="1">
        <v>46031</v>
      </c>
      <c r="C375" s="1" t="str">
        <f>TEXT(Table1[[#This Row],[Order_Date]],"DD")</f>
        <v>09</v>
      </c>
      <c r="D375" s="1" t="str">
        <f>TEXT(Table1[[#This Row],[Order_Date]],"MMM")</f>
        <v>Jan</v>
      </c>
      <c r="E375" s="1" t="str">
        <f>TEXT(Table1[[#This Row],[Order_Date]],"YYYY")</f>
        <v>2026</v>
      </c>
      <c r="F375">
        <v>3276</v>
      </c>
      <c r="G375" t="s">
        <v>29</v>
      </c>
      <c r="H375" t="s">
        <v>18</v>
      </c>
      <c r="I375" t="s">
        <v>26</v>
      </c>
      <c r="J375" t="s">
        <v>30</v>
      </c>
      <c r="K375">
        <v>5</v>
      </c>
      <c r="L375" s="2">
        <v>32.909999999999997</v>
      </c>
      <c r="M375" s="3">
        <v>0.2</v>
      </c>
      <c r="N375" s="2">
        <v>164.54999999999899</v>
      </c>
      <c r="O375" s="2">
        <v>32.909999999999997</v>
      </c>
      <c r="P375" s="2">
        <v>131.63999999999999</v>
      </c>
      <c r="Q375" s="2">
        <v>40.380000000000003</v>
      </c>
      <c r="R375" s="2">
        <v>201.9</v>
      </c>
      <c r="S375" s="2">
        <v>-70.260000000000005</v>
      </c>
      <c r="T375" s="3">
        <v>-0.53372835004557895</v>
      </c>
      <c r="U375" s="2" t="str">
        <f>IF(Table1[[#This Row],[Net_Revenue]]&lt;Table1[[#This Row],[Total_Cost]], "Loss", "Gain")</f>
        <v>Loss</v>
      </c>
      <c r="V375" s="16">
        <f>IF(Table1[[#This Row],[Gain/Loss]]="Gain",Table1[[#This Row],[Quantity]], 0)</f>
        <v>0</v>
      </c>
      <c r="W375" s="16">
        <f>IF(Table1[[#This Row],[Gain/Loss]]="Loss",Table1[[#This Row],[Quantity]],0)</f>
        <v>5</v>
      </c>
      <c r="X375" s="16">
        <f>IF(OR(Table1[[#This Row],[Gain/Loss]]="Gain",Table1[[#This Row],[Gain/Loss]]="Loss"),Table1[[#This Row],[Quantity]],"")</f>
        <v>5</v>
      </c>
    </row>
    <row r="376" spans="1:24" x14ac:dyDescent="0.25">
      <c r="A376">
        <v>10375</v>
      </c>
      <c r="B376" s="1">
        <v>46032</v>
      </c>
      <c r="C376" s="1" t="str">
        <f>TEXT(Table1[[#This Row],[Order_Date]],"DD")</f>
        <v>10</v>
      </c>
      <c r="D376" s="1" t="str">
        <f>TEXT(Table1[[#This Row],[Order_Date]],"MMM")</f>
        <v>Jan</v>
      </c>
      <c r="E376" s="1" t="str">
        <f>TEXT(Table1[[#This Row],[Order_Date]],"YYYY")</f>
        <v>2026</v>
      </c>
      <c r="F376">
        <v>3811</v>
      </c>
      <c r="G376" t="s">
        <v>17</v>
      </c>
      <c r="H376" t="s">
        <v>24</v>
      </c>
      <c r="I376" t="s">
        <v>25</v>
      </c>
      <c r="J376" t="s">
        <v>32</v>
      </c>
      <c r="K376">
        <v>5</v>
      </c>
      <c r="L376" s="2">
        <v>210.52</v>
      </c>
      <c r="M376" s="3">
        <v>0</v>
      </c>
      <c r="N376" s="2">
        <v>1052.5999999999999</v>
      </c>
      <c r="O376" s="2">
        <v>0</v>
      </c>
      <c r="P376" s="2">
        <v>1052.5999999999999</v>
      </c>
      <c r="Q376" s="2">
        <v>96.89</v>
      </c>
      <c r="R376" s="2">
        <v>484.45</v>
      </c>
      <c r="S376" s="2">
        <v>568.15</v>
      </c>
      <c r="T376" s="3">
        <v>0.53975869276078203</v>
      </c>
      <c r="U376" s="2" t="str">
        <f>IF(Table1[[#This Row],[Net_Revenue]]&lt;Table1[[#This Row],[Total_Cost]], "Loss", "Gain")</f>
        <v>Gain</v>
      </c>
      <c r="V376" s="16">
        <f>IF(Table1[[#This Row],[Gain/Loss]]="Gain",Table1[[#This Row],[Quantity]], 0)</f>
        <v>5</v>
      </c>
      <c r="W376" s="16">
        <f>IF(Table1[[#This Row],[Gain/Loss]]="Loss",Table1[[#This Row],[Quantity]],0)</f>
        <v>0</v>
      </c>
      <c r="X376" s="16">
        <f>IF(OR(Table1[[#This Row],[Gain/Loss]]="Gain",Table1[[#This Row],[Gain/Loss]]="Loss"),Table1[[#This Row],[Quantity]],"")</f>
        <v>5</v>
      </c>
    </row>
    <row r="377" spans="1:24" x14ac:dyDescent="0.25">
      <c r="A377">
        <v>10376</v>
      </c>
      <c r="B377" s="1">
        <v>46033</v>
      </c>
      <c r="C377" s="1" t="str">
        <f>TEXT(Table1[[#This Row],[Order_Date]],"DD")</f>
        <v>11</v>
      </c>
      <c r="D377" s="1" t="str">
        <f>TEXT(Table1[[#This Row],[Order_Date]],"MMM")</f>
        <v>Jan</v>
      </c>
      <c r="E377" s="1" t="str">
        <f>TEXT(Table1[[#This Row],[Order_Date]],"YYYY")</f>
        <v>2026</v>
      </c>
      <c r="F377">
        <v>3433</v>
      </c>
      <c r="G377" t="s">
        <v>17</v>
      </c>
      <c r="H377" t="s">
        <v>18</v>
      </c>
      <c r="I377" t="s">
        <v>25</v>
      </c>
      <c r="J377" t="s">
        <v>32</v>
      </c>
      <c r="K377">
        <v>8</v>
      </c>
      <c r="L377" s="2">
        <v>150.9</v>
      </c>
      <c r="M377" s="3">
        <v>0.15</v>
      </c>
      <c r="N377" s="2">
        <v>1207.2</v>
      </c>
      <c r="O377" s="2">
        <v>181.08</v>
      </c>
      <c r="P377" s="2">
        <v>1026.1199999999999</v>
      </c>
      <c r="Q377" s="2">
        <v>78.36</v>
      </c>
      <c r="R377" s="2">
        <v>626.88</v>
      </c>
      <c r="S377" s="2">
        <v>399.24</v>
      </c>
      <c r="T377" s="3">
        <v>0.38907730090047898</v>
      </c>
      <c r="U377" s="2" t="str">
        <f>IF(Table1[[#This Row],[Net_Revenue]]&lt;Table1[[#This Row],[Total_Cost]], "Loss", "Gain")</f>
        <v>Gain</v>
      </c>
      <c r="V377" s="16">
        <f>IF(Table1[[#This Row],[Gain/Loss]]="Gain",Table1[[#This Row],[Quantity]], 0)</f>
        <v>8</v>
      </c>
      <c r="W377" s="16">
        <f>IF(Table1[[#This Row],[Gain/Loss]]="Loss",Table1[[#This Row],[Quantity]],0)</f>
        <v>0</v>
      </c>
      <c r="X377" s="16">
        <f>IF(OR(Table1[[#This Row],[Gain/Loss]]="Gain",Table1[[#This Row],[Gain/Loss]]="Loss"),Table1[[#This Row],[Quantity]],"")</f>
        <v>8</v>
      </c>
    </row>
    <row r="378" spans="1:24" x14ac:dyDescent="0.25">
      <c r="A378">
        <v>10377</v>
      </c>
      <c r="B378" s="1">
        <v>46034</v>
      </c>
      <c r="C378" s="1" t="str">
        <f>TEXT(Table1[[#This Row],[Order_Date]],"DD")</f>
        <v>12</v>
      </c>
      <c r="D378" s="1" t="str">
        <f>TEXT(Table1[[#This Row],[Order_Date]],"MMM")</f>
        <v>Jan</v>
      </c>
      <c r="E378" s="1" t="str">
        <f>TEXT(Table1[[#This Row],[Order_Date]],"YYYY")</f>
        <v>2026</v>
      </c>
      <c r="F378">
        <v>3274</v>
      </c>
      <c r="G378" t="s">
        <v>21</v>
      </c>
      <c r="H378" t="s">
        <v>18</v>
      </c>
      <c r="I378" t="s">
        <v>26</v>
      </c>
      <c r="J378" t="s">
        <v>31</v>
      </c>
      <c r="K378">
        <v>5</v>
      </c>
      <c r="L378" s="2">
        <v>209.63</v>
      </c>
      <c r="M378" s="3">
        <v>0.2</v>
      </c>
      <c r="N378" s="2">
        <v>1048.1500000000001</v>
      </c>
      <c r="O378" s="2">
        <v>209.63</v>
      </c>
      <c r="P378" s="2">
        <v>838.52</v>
      </c>
      <c r="Q378" s="2">
        <v>55.38</v>
      </c>
      <c r="R378" s="2">
        <v>276.89999999999998</v>
      </c>
      <c r="S378" s="2">
        <v>561.62</v>
      </c>
      <c r="T378" s="3">
        <v>0.66977531841816496</v>
      </c>
      <c r="U378" s="2" t="str">
        <f>IF(Table1[[#This Row],[Net_Revenue]]&lt;Table1[[#This Row],[Total_Cost]], "Loss", "Gain")</f>
        <v>Gain</v>
      </c>
      <c r="V378" s="16">
        <f>IF(Table1[[#This Row],[Gain/Loss]]="Gain",Table1[[#This Row],[Quantity]], 0)</f>
        <v>5</v>
      </c>
      <c r="W378" s="16">
        <f>IF(Table1[[#This Row],[Gain/Loss]]="Loss",Table1[[#This Row],[Quantity]],0)</f>
        <v>0</v>
      </c>
      <c r="X378" s="16">
        <f>IF(OR(Table1[[#This Row],[Gain/Loss]]="Gain",Table1[[#This Row],[Gain/Loss]]="Loss"),Table1[[#This Row],[Quantity]],"")</f>
        <v>5</v>
      </c>
    </row>
    <row r="379" spans="1:24" x14ac:dyDescent="0.25">
      <c r="A379">
        <v>10378</v>
      </c>
      <c r="B379" s="1">
        <v>46035</v>
      </c>
      <c r="C379" s="1" t="str">
        <f>TEXT(Table1[[#This Row],[Order_Date]],"DD")</f>
        <v>13</v>
      </c>
      <c r="D379" s="1" t="str">
        <f>TEXT(Table1[[#This Row],[Order_Date]],"MMM")</f>
        <v>Jan</v>
      </c>
      <c r="E379" s="1" t="str">
        <f>TEXT(Table1[[#This Row],[Order_Date]],"YYYY")</f>
        <v>2026</v>
      </c>
      <c r="F379">
        <v>3184</v>
      </c>
      <c r="G379" t="s">
        <v>23</v>
      </c>
      <c r="H379" t="s">
        <v>24</v>
      </c>
      <c r="I379" t="s">
        <v>25</v>
      </c>
      <c r="J379" t="s">
        <v>32</v>
      </c>
      <c r="K379">
        <v>2</v>
      </c>
      <c r="L379" s="2">
        <v>129.81</v>
      </c>
      <c r="M379" s="3">
        <v>0.15</v>
      </c>
      <c r="N379" s="2">
        <v>259.62</v>
      </c>
      <c r="O379" s="2">
        <v>38.942999999999998</v>
      </c>
      <c r="P379" s="2">
        <v>220.67699999999999</v>
      </c>
      <c r="Q379" s="2">
        <v>141.85</v>
      </c>
      <c r="R379" s="2">
        <v>283.7</v>
      </c>
      <c r="S379" s="2">
        <v>-63.022999999999897</v>
      </c>
      <c r="T379" s="3">
        <v>-0.28558934551403103</v>
      </c>
      <c r="U379" s="2" t="str">
        <f>IF(Table1[[#This Row],[Net_Revenue]]&lt;Table1[[#This Row],[Total_Cost]], "Loss", "Gain")</f>
        <v>Loss</v>
      </c>
      <c r="V379" s="16">
        <f>IF(Table1[[#This Row],[Gain/Loss]]="Gain",Table1[[#This Row],[Quantity]], 0)</f>
        <v>0</v>
      </c>
      <c r="W379" s="16">
        <f>IF(Table1[[#This Row],[Gain/Loss]]="Loss",Table1[[#This Row],[Quantity]],0)</f>
        <v>2</v>
      </c>
      <c r="X379" s="16">
        <f>IF(OR(Table1[[#This Row],[Gain/Loss]]="Gain",Table1[[#This Row],[Gain/Loss]]="Loss"),Table1[[#This Row],[Quantity]],"")</f>
        <v>2</v>
      </c>
    </row>
    <row r="380" spans="1:24" x14ac:dyDescent="0.25">
      <c r="A380">
        <v>10379</v>
      </c>
      <c r="B380" s="1">
        <v>46036</v>
      </c>
      <c r="C380" s="1" t="str">
        <f>TEXT(Table1[[#This Row],[Order_Date]],"DD")</f>
        <v>14</v>
      </c>
      <c r="D380" s="1" t="str">
        <f>TEXT(Table1[[#This Row],[Order_Date]],"MMM")</f>
        <v>Jan</v>
      </c>
      <c r="E380" s="1" t="str">
        <f>TEXT(Table1[[#This Row],[Order_Date]],"YYYY")</f>
        <v>2026</v>
      </c>
      <c r="F380">
        <v>3661</v>
      </c>
      <c r="G380" t="s">
        <v>21</v>
      </c>
      <c r="H380" t="s">
        <v>18</v>
      </c>
      <c r="I380" t="s">
        <v>26</v>
      </c>
      <c r="J380" t="s">
        <v>31</v>
      </c>
      <c r="K380">
        <v>3</v>
      </c>
      <c r="L380" s="2">
        <v>145</v>
      </c>
      <c r="M380" s="3">
        <v>0.15</v>
      </c>
      <c r="N380" s="2">
        <v>435</v>
      </c>
      <c r="O380" s="2">
        <v>65.25</v>
      </c>
      <c r="P380" s="2">
        <v>369.75</v>
      </c>
      <c r="Q380" s="2">
        <v>128.1</v>
      </c>
      <c r="R380" s="2">
        <v>384.29999999999899</v>
      </c>
      <c r="S380" s="2">
        <v>-14.549999999999899</v>
      </c>
      <c r="T380" s="3">
        <v>-3.9350912778904498E-2</v>
      </c>
      <c r="U380" s="2" t="str">
        <f>IF(Table1[[#This Row],[Net_Revenue]]&lt;Table1[[#This Row],[Total_Cost]], "Loss", "Gain")</f>
        <v>Loss</v>
      </c>
      <c r="V380" s="16">
        <f>IF(Table1[[#This Row],[Gain/Loss]]="Gain",Table1[[#This Row],[Quantity]], 0)</f>
        <v>0</v>
      </c>
      <c r="W380" s="16">
        <f>IF(Table1[[#This Row],[Gain/Loss]]="Loss",Table1[[#This Row],[Quantity]],0)</f>
        <v>3</v>
      </c>
      <c r="X380" s="16">
        <f>IF(OR(Table1[[#This Row],[Gain/Loss]]="Gain",Table1[[#This Row],[Gain/Loss]]="Loss"),Table1[[#This Row],[Quantity]],"")</f>
        <v>3</v>
      </c>
    </row>
    <row r="381" spans="1:24" x14ac:dyDescent="0.25">
      <c r="A381">
        <v>10380</v>
      </c>
      <c r="B381" s="1">
        <v>46037</v>
      </c>
      <c r="C381" s="1" t="str">
        <f>TEXT(Table1[[#This Row],[Order_Date]],"DD")</f>
        <v>15</v>
      </c>
      <c r="D381" s="1" t="str">
        <f>TEXT(Table1[[#This Row],[Order_Date]],"MMM")</f>
        <v>Jan</v>
      </c>
      <c r="E381" s="1" t="str">
        <f>TEXT(Table1[[#This Row],[Order_Date]],"YYYY")</f>
        <v>2026</v>
      </c>
      <c r="F381">
        <v>3946</v>
      </c>
      <c r="G381" t="s">
        <v>17</v>
      </c>
      <c r="H381" t="s">
        <v>24</v>
      </c>
      <c r="I381" t="s">
        <v>33</v>
      </c>
      <c r="J381" t="s">
        <v>20</v>
      </c>
      <c r="K381">
        <v>8</v>
      </c>
      <c r="L381" s="2">
        <v>233.82</v>
      </c>
      <c r="M381" s="3">
        <v>0</v>
      </c>
      <c r="N381" s="2">
        <v>1870.56</v>
      </c>
      <c r="O381" s="2">
        <v>0</v>
      </c>
      <c r="P381" s="2">
        <v>1870.56</v>
      </c>
      <c r="Q381" s="2">
        <v>111.63</v>
      </c>
      <c r="R381" s="2">
        <v>893.04</v>
      </c>
      <c r="S381" s="2">
        <v>977.52</v>
      </c>
      <c r="T381" s="3">
        <v>0.52258147292789303</v>
      </c>
      <c r="U381" s="2" t="str">
        <f>IF(Table1[[#This Row],[Net_Revenue]]&lt;Table1[[#This Row],[Total_Cost]], "Loss", "Gain")</f>
        <v>Gain</v>
      </c>
      <c r="V381" s="16">
        <f>IF(Table1[[#This Row],[Gain/Loss]]="Gain",Table1[[#This Row],[Quantity]], 0)</f>
        <v>8</v>
      </c>
      <c r="W381" s="16">
        <f>IF(Table1[[#This Row],[Gain/Loss]]="Loss",Table1[[#This Row],[Quantity]],0)</f>
        <v>0</v>
      </c>
      <c r="X381" s="16">
        <f>IF(OR(Table1[[#This Row],[Gain/Loss]]="Gain",Table1[[#This Row],[Gain/Loss]]="Loss"),Table1[[#This Row],[Quantity]],"")</f>
        <v>8</v>
      </c>
    </row>
    <row r="382" spans="1:24" x14ac:dyDescent="0.25">
      <c r="A382">
        <v>10381</v>
      </c>
      <c r="B382" s="1">
        <v>46038</v>
      </c>
      <c r="C382" s="1" t="str">
        <f>TEXT(Table1[[#This Row],[Order_Date]],"DD")</f>
        <v>16</v>
      </c>
      <c r="D382" s="1" t="str">
        <f>TEXT(Table1[[#This Row],[Order_Date]],"MMM")</f>
        <v>Jan</v>
      </c>
      <c r="E382" s="1" t="str">
        <f>TEXT(Table1[[#This Row],[Order_Date]],"YYYY")</f>
        <v>2026</v>
      </c>
      <c r="F382">
        <v>3121</v>
      </c>
      <c r="G382" t="s">
        <v>17</v>
      </c>
      <c r="H382" t="s">
        <v>18</v>
      </c>
      <c r="I382" t="s">
        <v>26</v>
      </c>
      <c r="J382" t="s">
        <v>31</v>
      </c>
      <c r="K382">
        <v>9</v>
      </c>
      <c r="L382" s="2">
        <v>159.38999999999999</v>
      </c>
      <c r="M382" s="3">
        <v>0.05</v>
      </c>
      <c r="N382" s="2">
        <v>1434.50999999999</v>
      </c>
      <c r="O382" s="2">
        <v>71.725499999999997</v>
      </c>
      <c r="P382" s="2">
        <v>1362.78449999999</v>
      </c>
      <c r="Q382" s="2">
        <v>22.16</v>
      </c>
      <c r="R382" s="2">
        <v>199.44</v>
      </c>
      <c r="S382" s="2">
        <v>1163.3444999999899</v>
      </c>
      <c r="T382" s="3">
        <v>0.85365257676470407</v>
      </c>
      <c r="U382" s="2" t="str">
        <f>IF(Table1[[#This Row],[Net_Revenue]]&lt;Table1[[#This Row],[Total_Cost]], "Loss", "Gain")</f>
        <v>Gain</v>
      </c>
      <c r="V382" s="16">
        <f>IF(Table1[[#This Row],[Gain/Loss]]="Gain",Table1[[#This Row],[Quantity]], 0)</f>
        <v>9</v>
      </c>
      <c r="W382" s="16">
        <f>IF(Table1[[#This Row],[Gain/Loss]]="Loss",Table1[[#This Row],[Quantity]],0)</f>
        <v>0</v>
      </c>
      <c r="X382" s="16">
        <f>IF(OR(Table1[[#This Row],[Gain/Loss]]="Gain",Table1[[#This Row],[Gain/Loss]]="Loss"),Table1[[#This Row],[Quantity]],"")</f>
        <v>9</v>
      </c>
    </row>
    <row r="383" spans="1:24" x14ac:dyDescent="0.25">
      <c r="A383">
        <v>10382</v>
      </c>
      <c r="B383" s="1">
        <v>46039</v>
      </c>
      <c r="C383" s="1" t="str">
        <f>TEXT(Table1[[#This Row],[Order_Date]],"DD")</f>
        <v>17</v>
      </c>
      <c r="D383" s="1" t="str">
        <f>TEXT(Table1[[#This Row],[Order_Date]],"MMM")</f>
        <v>Jan</v>
      </c>
      <c r="E383" s="1" t="str">
        <f>TEXT(Table1[[#This Row],[Order_Date]],"YYYY")</f>
        <v>2026</v>
      </c>
      <c r="F383">
        <v>3406</v>
      </c>
      <c r="G383" t="s">
        <v>17</v>
      </c>
      <c r="H383" t="s">
        <v>18</v>
      </c>
      <c r="I383" t="s">
        <v>26</v>
      </c>
      <c r="J383" t="s">
        <v>30</v>
      </c>
      <c r="K383">
        <v>7</v>
      </c>
      <c r="L383" s="2">
        <v>164.88</v>
      </c>
      <c r="M383" s="3">
        <v>0</v>
      </c>
      <c r="N383" s="2">
        <v>1154.1599999999901</v>
      </c>
      <c r="O383" s="2">
        <v>0</v>
      </c>
      <c r="P383" s="2">
        <v>1154.1599999999901</v>
      </c>
      <c r="Q383" s="2">
        <v>72.040000000000006</v>
      </c>
      <c r="R383" s="2">
        <v>504.28</v>
      </c>
      <c r="S383" s="2">
        <v>649.87999999999897</v>
      </c>
      <c r="T383" s="3">
        <v>0.56307617661329401</v>
      </c>
      <c r="U383" s="2" t="str">
        <f>IF(Table1[[#This Row],[Net_Revenue]]&lt;Table1[[#This Row],[Total_Cost]], "Loss", "Gain")</f>
        <v>Gain</v>
      </c>
      <c r="V383" s="16">
        <f>IF(Table1[[#This Row],[Gain/Loss]]="Gain",Table1[[#This Row],[Quantity]], 0)</f>
        <v>7</v>
      </c>
      <c r="W383" s="16">
        <f>IF(Table1[[#This Row],[Gain/Loss]]="Loss",Table1[[#This Row],[Quantity]],0)</f>
        <v>0</v>
      </c>
      <c r="X383" s="16">
        <f>IF(OR(Table1[[#This Row],[Gain/Loss]]="Gain",Table1[[#This Row],[Gain/Loss]]="Loss"),Table1[[#This Row],[Quantity]],"")</f>
        <v>7</v>
      </c>
    </row>
    <row r="384" spans="1:24" x14ac:dyDescent="0.25">
      <c r="A384">
        <v>10383</v>
      </c>
      <c r="B384" s="1">
        <v>46040</v>
      </c>
      <c r="C384" s="1" t="str">
        <f>TEXT(Table1[[#This Row],[Order_Date]],"DD")</f>
        <v>18</v>
      </c>
      <c r="D384" s="1" t="str">
        <f>TEXT(Table1[[#This Row],[Order_Date]],"MMM")</f>
        <v>Jan</v>
      </c>
      <c r="E384" s="1" t="str">
        <f>TEXT(Table1[[#This Row],[Order_Date]],"YYYY")</f>
        <v>2026</v>
      </c>
      <c r="F384">
        <v>3018</v>
      </c>
      <c r="G384" t="s">
        <v>21</v>
      </c>
      <c r="H384" t="s">
        <v>24</v>
      </c>
      <c r="I384" t="s">
        <v>26</v>
      </c>
      <c r="J384" t="s">
        <v>31</v>
      </c>
      <c r="K384">
        <v>6</v>
      </c>
      <c r="L384" s="2">
        <v>210.98</v>
      </c>
      <c r="M384" s="3">
        <v>0</v>
      </c>
      <c r="N384" s="2">
        <v>1265.8799999999901</v>
      </c>
      <c r="O384" s="2">
        <v>0</v>
      </c>
      <c r="P384" s="2">
        <v>1265.8799999999901</v>
      </c>
      <c r="Q384" s="2">
        <v>99.41</v>
      </c>
      <c r="R384" s="2">
        <v>596.46</v>
      </c>
      <c r="S384" s="2">
        <v>669.41999999999905</v>
      </c>
      <c r="T384" s="3">
        <v>0.52881789743103602</v>
      </c>
      <c r="U384" s="2" t="str">
        <f>IF(Table1[[#This Row],[Net_Revenue]]&lt;Table1[[#This Row],[Total_Cost]], "Loss", "Gain")</f>
        <v>Gain</v>
      </c>
      <c r="V384" s="16">
        <f>IF(Table1[[#This Row],[Gain/Loss]]="Gain",Table1[[#This Row],[Quantity]], 0)</f>
        <v>6</v>
      </c>
      <c r="W384" s="16">
        <f>IF(Table1[[#This Row],[Gain/Loss]]="Loss",Table1[[#This Row],[Quantity]],0)</f>
        <v>0</v>
      </c>
      <c r="X384" s="16">
        <f>IF(OR(Table1[[#This Row],[Gain/Loss]]="Gain",Table1[[#This Row],[Gain/Loss]]="Loss"),Table1[[#This Row],[Quantity]],"")</f>
        <v>6</v>
      </c>
    </row>
    <row r="385" spans="1:24" x14ac:dyDescent="0.25">
      <c r="A385">
        <v>10384</v>
      </c>
      <c r="B385" s="1">
        <v>46041</v>
      </c>
      <c r="C385" s="1" t="str">
        <f>TEXT(Table1[[#This Row],[Order_Date]],"DD")</f>
        <v>19</v>
      </c>
      <c r="D385" s="1" t="str">
        <f>TEXT(Table1[[#This Row],[Order_Date]],"MMM")</f>
        <v>Jan</v>
      </c>
      <c r="E385" s="1" t="str">
        <f>TEXT(Table1[[#This Row],[Order_Date]],"YYYY")</f>
        <v>2026</v>
      </c>
      <c r="F385">
        <v>3965</v>
      </c>
      <c r="G385" t="s">
        <v>17</v>
      </c>
      <c r="H385" t="s">
        <v>18</v>
      </c>
      <c r="I385" t="s">
        <v>19</v>
      </c>
      <c r="J385" t="s">
        <v>27</v>
      </c>
      <c r="K385">
        <v>4</v>
      </c>
      <c r="L385" s="2">
        <v>227.99</v>
      </c>
      <c r="M385" s="3">
        <v>0.1</v>
      </c>
      <c r="N385" s="2">
        <v>911.96</v>
      </c>
      <c r="O385" s="2">
        <v>91.195999999999998</v>
      </c>
      <c r="P385" s="2">
        <v>820.76400000000001</v>
      </c>
      <c r="Q385" s="2">
        <v>18.829999999999998</v>
      </c>
      <c r="R385" s="2">
        <v>75.319999999999993</v>
      </c>
      <c r="S385" s="2">
        <v>745.44399999999996</v>
      </c>
      <c r="T385" s="3">
        <v>0.9082318425272059</v>
      </c>
      <c r="U385" s="2" t="str">
        <f>IF(Table1[[#This Row],[Net_Revenue]]&lt;Table1[[#This Row],[Total_Cost]], "Loss", "Gain")</f>
        <v>Gain</v>
      </c>
      <c r="V385" s="16">
        <f>IF(Table1[[#This Row],[Gain/Loss]]="Gain",Table1[[#This Row],[Quantity]], 0)</f>
        <v>4</v>
      </c>
      <c r="W385" s="16">
        <f>IF(Table1[[#This Row],[Gain/Loss]]="Loss",Table1[[#This Row],[Quantity]],0)</f>
        <v>0</v>
      </c>
      <c r="X385" s="16">
        <f>IF(OR(Table1[[#This Row],[Gain/Loss]]="Gain",Table1[[#This Row],[Gain/Loss]]="Loss"),Table1[[#This Row],[Quantity]],"")</f>
        <v>4</v>
      </c>
    </row>
    <row r="386" spans="1:24" x14ac:dyDescent="0.25">
      <c r="A386">
        <v>10385</v>
      </c>
      <c r="B386" s="1">
        <v>46042</v>
      </c>
      <c r="C386" s="1" t="str">
        <f>TEXT(Table1[[#This Row],[Order_Date]],"DD")</f>
        <v>20</v>
      </c>
      <c r="D386" s="1" t="str">
        <f>TEXT(Table1[[#This Row],[Order_Date]],"MMM")</f>
        <v>Jan</v>
      </c>
      <c r="E386" s="1" t="str">
        <f>TEXT(Table1[[#This Row],[Order_Date]],"YYYY")</f>
        <v>2026</v>
      </c>
      <c r="F386">
        <v>3871</v>
      </c>
      <c r="G386" t="s">
        <v>17</v>
      </c>
      <c r="H386" t="s">
        <v>24</v>
      </c>
      <c r="I386" t="s">
        <v>26</v>
      </c>
      <c r="J386" t="s">
        <v>28</v>
      </c>
      <c r="K386">
        <v>7</v>
      </c>
      <c r="L386" s="2">
        <v>68.47</v>
      </c>
      <c r="M386" s="3">
        <v>0.15</v>
      </c>
      <c r="N386" s="2">
        <v>479.289999999999</v>
      </c>
      <c r="O386" s="2">
        <v>71.893499999999904</v>
      </c>
      <c r="P386" s="2">
        <v>407.39649999999898</v>
      </c>
      <c r="Q386" s="2">
        <v>105.89</v>
      </c>
      <c r="R386" s="2">
        <v>741.23</v>
      </c>
      <c r="S386" s="2">
        <v>-333.83350000000002</v>
      </c>
      <c r="T386" s="3">
        <v>-0.8194314384144189</v>
      </c>
      <c r="U386" s="2" t="str">
        <f>IF(Table1[[#This Row],[Net_Revenue]]&lt;Table1[[#This Row],[Total_Cost]], "Loss", "Gain")</f>
        <v>Loss</v>
      </c>
      <c r="V386" s="16">
        <f>IF(Table1[[#This Row],[Gain/Loss]]="Gain",Table1[[#This Row],[Quantity]], 0)</f>
        <v>0</v>
      </c>
      <c r="W386" s="16">
        <f>IF(Table1[[#This Row],[Gain/Loss]]="Loss",Table1[[#This Row],[Quantity]],0)</f>
        <v>7</v>
      </c>
      <c r="X386" s="16">
        <f>IF(OR(Table1[[#This Row],[Gain/Loss]]="Gain",Table1[[#This Row],[Gain/Loss]]="Loss"),Table1[[#This Row],[Quantity]],"")</f>
        <v>7</v>
      </c>
    </row>
    <row r="387" spans="1:24" x14ac:dyDescent="0.25">
      <c r="A387">
        <v>10386</v>
      </c>
      <c r="B387" s="1">
        <v>46043</v>
      </c>
      <c r="C387" s="1" t="str">
        <f>TEXT(Table1[[#This Row],[Order_Date]],"DD")</f>
        <v>21</v>
      </c>
      <c r="D387" s="1" t="str">
        <f>TEXT(Table1[[#This Row],[Order_Date]],"MMM")</f>
        <v>Jan</v>
      </c>
      <c r="E387" s="1" t="str">
        <f>TEXT(Table1[[#This Row],[Order_Date]],"YYYY")</f>
        <v>2026</v>
      </c>
      <c r="F387">
        <v>3247</v>
      </c>
      <c r="G387" t="s">
        <v>17</v>
      </c>
      <c r="H387" t="s">
        <v>24</v>
      </c>
      <c r="I387" t="s">
        <v>25</v>
      </c>
      <c r="J387" t="s">
        <v>22</v>
      </c>
      <c r="K387">
        <v>1</v>
      </c>
      <c r="L387" s="2">
        <v>168.91</v>
      </c>
      <c r="M387" s="3">
        <v>0.15</v>
      </c>
      <c r="N387" s="2">
        <v>168.91</v>
      </c>
      <c r="O387" s="2">
        <v>25.336499999999901</v>
      </c>
      <c r="P387" s="2">
        <v>143.5735</v>
      </c>
      <c r="Q387" s="2">
        <v>123.38</v>
      </c>
      <c r="R387" s="2">
        <v>123.38</v>
      </c>
      <c r="S387" s="2">
        <v>20.1935</v>
      </c>
      <c r="T387" s="3">
        <v>0.14064921451382001</v>
      </c>
      <c r="U387" s="2" t="str">
        <f>IF(Table1[[#This Row],[Net_Revenue]]&lt;Table1[[#This Row],[Total_Cost]], "Loss", "Gain")</f>
        <v>Gain</v>
      </c>
      <c r="V387" s="16">
        <f>IF(Table1[[#This Row],[Gain/Loss]]="Gain",Table1[[#This Row],[Quantity]], 0)</f>
        <v>1</v>
      </c>
      <c r="W387" s="16">
        <f>IF(Table1[[#This Row],[Gain/Loss]]="Loss",Table1[[#This Row],[Quantity]],0)</f>
        <v>0</v>
      </c>
      <c r="X387" s="16">
        <f>IF(OR(Table1[[#This Row],[Gain/Loss]]="Gain",Table1[[#This Row],[Gain/Loss]]="Loss"),Table1[[#This Row],[Quantity]],"")</f>
        <v>1</v>
      </c>
    </row>
    <row r="388" spans="1:24" x14ac:dyDescent="0.25">
      <c r="A388">
        <v>10387</v>
      </c>
      <c r="B388" s="1">
        <v>46044</v>
      </c>
      <c r="C388" s="1" t="str">
        <f>TEXT(Table1[[#This Row],[Order_Date]],"DD")</f>
        <v>22</v>
      </c>
      <c r="D388" s="1" t="str">
        <f>TEXT(Table1[[#This Row],[Order_Date]],"MMM")</f>
        <v>Jan</v>
      </c>
      <c r="E388" s="1" t="str">
        <f>TEXT(Table1[[#This Row],[Order_Date]],"YYYY")</f>
        <v>2026</v>
      </c>
      <c r="F388">
        <v>3005</v>
      </c>
      <c r="G388" t="s">
        <v>17</v>
      </c>
      <c r="H388" t="s">
        <v>24</v>
      </c>
      <c r="I388" t="s">
        <v>25</v>
      </c>
      <c r="J388" t="s">
        <v>22</v>
      </c>
      <c r="K388">
        <v>7</v>
      </c>
      <c r="L388" s="2">
        <v>38.89</v>
      </c>
      <c r="M388" s="3">
        <v>0</v>
      </c>
      <c r="N388" s="2">
        <v>272.23</v>
      </c>
      <c r="O388" s="2">
        <v>0</v>
      </c>
      <c r="P388" s="2">
        <v>272.23</v>
      </c>
      <c r="Q388" s="2">
        <v>142.63</v>
      </c>
      <c r="R388" s="2">
        <v>998.41</v>
      </c>
      <c r="S388" s="2">
        <v>-726.18</v>
      </c>
      <c r="T388" s="3">
        <v>-2.6675237850347098</v>
      </c>
      <c r="U388" s="2" t="str">
        <f>IF(Table1[[#This Row],[Net_Revenue]]&lt;Table1[[#This Row],[Total_Cost]], "Loss", "Gain")</f>
        <v>Loss</v>
      </c>
      <c r="V388" s="16">
        <f>IF(Table1[[#This Row],[Gain/Loss]]="Gain",Table1[[#This Row],[Quantity]], 0)</f>
        <v>0</v>
      </c>
      <c r="W388" s="16">
        <f>IF(Table1[[#This Row],[Gain/Loss]]="Loss",Table1[[#This Row],[Quantity]],0)</f>
        <v>7</v>
      </c>
      <c r="X388" s="16">
        <f>IF(OR(Table1[[#This Row],[Gain/Loss]]="Gain",Table1[[#This Row],[Gain/Loss]]="Loss"),Table1[[#This Row],[Quantity]],"")</f>
        <v>7</v>
      </c>
    </row>
    <row r="389" spans="1:24" x14ac:dyDescent="0.25">
      <c r="A389">
        <v>10388</v>
      </c>
      <c r="B389" s="1">
        <v>46045</v>
      </c>
      <c r="C389" s="1" t="str">
        <f>TEXT(Table1[[#This Row],[Order_Date]],"DD")</f>
        <v>23</v>
      </c>
      <c r="D389" s="1" t="str">
        <f>TEXT(Table1[[#This Row],[Order_Date]],"MMM")</f>
        <v>Jan</v>
      </c>
      <c r="E389" s="1" t="str">
        <f>TEXT(Table1[[#This Row],[Order_Date]],"YYYY")</f>
        <v>2026</v>
      </c>
      <c r="F389">
        <v>3645</v>
      </c>
      <c r="G389" t="s">
        <v>21</v>
      </c>
      <c r="H389" t="s">
        <v>18</v>
      </c>
      <c r="I389" t="s">
        <v>19</v>
      </c>
      <c r="J389" t="s">
        <v>27</v>
      </c>
      <c r="K389">
        <v>1</v>
      </c>
      <c r="L389" s="2">
        <v>25.67</v>
      </c>
      <c r="M389" s="3">
        <v>0.1</v>
      </c>
      <c r="N389" s="2">
        <v>25.67</v>
      </c>
      <c r="O389" s="2">
        <v>2.5670000000000002</v>
      </c>
      <c r="P389" s="2">
        <v>23.103000000000002</v>
      </c>
      <c r="Q389" s="2">
        <v>77.8</v>
      </c>
      <c r="R389" s="2">
        <v>77.8</v>
      </c>
      <c r="S389" s="2">
        <v>-54.696999999999903</v>
      </c>
      <c r="T389" s="3">
        <v>-2.3675280266632002</v>
      </c>
      <c r="U389" s="2" t="str">
        <f>IF(Table1[[#This Row],[Net_Revenue]]&lt;Table1[[#This Row],[Total_Cost]], "Loss", "Gain")</f>
        <v>Loss</v>
      </c>
      <c r="V389" s="16">
        <f>IF(Table1[[#This Row],[Gain/Loss]]="Gain",Table1[[#This Row],[Quantity]], 0)</f>
        <v>0</v>
      </c>
      <c r="W389" s="16">
        <f>IF(Table1[[#This Row],[Gain/Loss]]="Loss",Table1[[#This Row],[Quantity]],0)</f>
        <v>1</v>
      </c>
      <c r="X389" s="16">
        <f>IF(OR(Table1[[#This Row],[Gain/Loss]]="Gain",Table1[[#This Row],[Gain/Loss]]="Loss"),Table1[[#This Row],[Quantity]],"")</f>
        <v>1</v>
      </c>
    </row>
    <row r="390" spans="1:24" x14ac:dyDescent="0.25">
      <c r="A390">
        <v>10389</v>
      </c>
      <c r="B390" s="1">
        <v>46046</v>
      </c>
      <c r="C390" s="1" t="str">
        <f>TEXT(Table1[[#This Row],[Order_Date]],"DD")</f>
        <v>24</v>
      </c>
      <c r="D390" s="1" t="str">
        <f>TEXT(Table1[[#This Row],[Order_Date]],"MMM")</f>
        <v>Jan</v>
      </c>
      <c r="E390" s="1" t="str">
        <f>TEXT(Table1[[#This Row],[Order_Date]],"YYYY")</f>
        <v>2026</v>
      </c>
      <c r="F390">
        <v>3838</v>
      </c>
      <c r="G390" t="s">
        <v>21</v>
      </c>
      <c r="H390" t="s">
        <v>24</v>
      </c>
      <c r="I390" t="s">
        <v>19</v>
      </c>
      <c r="J390" t="s">
        <v>27</v>
      </c>
      <c r="K390">
        <v>7</v>
      </c>
      <c r="L390" s="2">
        <v>162.94</v>
      </c>
      <c r="M390" s="3">
        <v>0.15</v>
      </c>
      <c r="N390" s="2">
        <v>1140.58</v>
      </c>
      <c r="O390" s="2">
        <v>171.08699999999999</v>
      </c>
      <c r="P390" s="2">
        <v>969.49299999999903</v>
      </c>
      <c r="Q390" s="2">
        <v>9.16</v>
      </c>
      <c r="R390" s="2">
        <v>64.12</v>
      </c>
      <c r="S390" s="2">
        <v>905.37299999999902</v>
      </c>
      <c r="T390" s="3">
        <v>0.933862338356233</v>
      </c>
      <c r="U390" s="2" t="str">
        <f>IF(Table1[[#This Row],[Net_Revenue]]&lt;Table1[[#This Row],[Total_Cost]], "Loss", "Gain")</f>
        <v>Gain</v>
      </c>
      <c r="V390" s="16">
        <f>IF(Table1[[#This Row],[Gain/Loss]]="Gain",Table1[[#This Row],[Quantity]], 0)</f>
        <v>7</v>
      </c>
      <c r="W390" s="16">
        <f>IF(Table1[[#This Row],[Gain/Loss]]="Loss",Table1[[#This Row],[Quantity]],0)</f>
        <v>0</v>
      </c>
      <c r="X390" s="16">
        <f>IF(OR(Table1[[#This Row],[Gain/Loss]]="Gain",Table1[[#This Row],[Gain/Loss]]="Loss"),Table1[[#This Row],[Quantity]],"")</f>
        <v>7</v>
      </c>
    </row>
    <row r="391" spans="1:24" x14ac:dyDescent="0.25">
      <c r="A391">
        <v>10390</v>
      </c>
      <c r="B391" s="1">
        <v>46047</v>
      </c>
      <c r="C391" s="1" t="str">
        <f>TEXT(Table1[[#This Row],[Order_Date]],"DD")</f>
        <v>25</v>
      </c>
      <c r="D391" s="1" t="str">
        <f>TEXT(Table1[[#This Row],[Order_Date]],"MMM")</f>
        <v>Jan</v>
      </c>
      <c r="E391" s="1" t="str">
        <f>TEXT(Table1[[#This Row],[Order_Date]],"YYYY")</f>
        <v>2026</v>
      </c>
      <c r="F391">
        <v>3479</v>
      </c>
      <c r="G391" t="s">
        <v>23</v>
      </c>
      <c r="H391" t="s">
        <v>24</v>
      </c>
      <c r="I391" t="s">
        <v>25</v>
      </c>
      <c r="J391" t="s">
        <v>22</v>
      </c>
      <c r="K391">
        <v>6</v>
      </c>
      <c r="L391" s="2">
        <v>127.65</v>
      </c>
      <c r="M391" s="3">
        <v>0.1</v>
      </c>
      <c r="N391" s="2">
        <v>765.9</v>
      </c>
      <c r="O391" s="2">
        <v>76.59</v>
      </c>
      <c r="P391" s="2">
        <v>689.31</v>
      </c>
      <c r="Q391" s="2">
        <v>35.159999999999997</v>
      </c>
      <c r="R391" s="2">
        <v>210.95999999999901</v>
      </c>
      <c r="S391" s="2">
        <v>478.35</v>
      </c>
      <c r="T391" s="3">
        <v>0.69395482438960698</v>
      </c>
      <c r="U391" s="2" t="str">
        <f>IF(Table1[[#This Row],[Net_Revenue]]&lt;Table1[[#This Row],[Total_Cost]], "Loss", "Gain")</f>
        <v>Gain</v>
      </c>
      <c r="V391" s="16">
        <f>IF(Table1[[#This Row],[Gain/Loss]]="Gain",Table1[[#This Row],[Quantity]], 0)</f>
        <v>6</v>
      </c>
      <c r="W391" s="16">
        <f>IF(Table1[[#This Row],[Gain/Loss]]="Loss",Table1[[#This Row],[Quantity]],0)</f>
        <v>0</v>
      </c>
      <c r="X391" s="16">
        <f>IF(OR(Table1[[#This Row],[Gain/Loss]]="Gain",Table1[[#This Row],[Gain/Loss]]="Loss"),Table1[[#This Row],[Quantity]],"")</f>
        <v>6</v>
      </c>
    </row>
    <row r="392" spans="1:24" x14ac:dyDescent="0.25">
      <c r="A392">
        <v>10391</v>
      </c>
      <c r="B392" s="1">
        <v>46048</v>
      </c>
      <c r="C392" s="1" t="str">
        <f>TEXT(Table1[[#This Row],[Order_Date]],"DD")</f>
        <v>26</v>
      </c>
      <c r="D392" s="1" t="str">
        <f>TEXT(Table1[[#This Row],[Order_Date]],"MMM")</f>
        <v>Jan</v>
      </c>
      <c r="E392" s="1" t="str">
        <f>TEXT(Table1[[#This Row],[Order_Date]],"YYYY")</f>
        <v>2026</v>
      </c>
      <c r="F392">
        <v>3157</v>
      </c>
      <c r="G392" t="s">
        <v>17</v>
      </c>
      <c r="H392" t="s">
        <v>18</v>
      </c>
      <c r="I392" t="s">
        <v>26</v>
      </c>
      <c r="J392" t="s">
        <v>30</v>
      </c>
      <c r="K392">
        <v>2</v>
      </c>
      <c r="L392" s="2">
        <v>221.52</v>
      </c>
      <c r="M392" s="3">
        <v>0.05</v>
      </c>
      <c r="N392" s="2">
        <v>443.04</v>
      </c>
      <c r="O392" s="2">
        <v>22.152000000000001</v>
      </c>
      <c r="P392" s="2">
        <v>420.88799999999998</v>
      </c>
      <c r="Q392" s="2">
        <v>121.76</v>
      </c>
      <c r="R392" s="2">
        <v>243.52</v>
      </c>
      <c r="S392" s="2">
        <v>177.36799999999999</v>
      </c>
      <c r="T392" s="3">
        <v>0.42141377278515896</v>
      </c>
      <c r="U392" s="2" t="str">
        <f>IF(Table1[[#This Row],[Net_Revenue]]&lt;Table1[[#This Row],[Total_Cost]], "Loss", "Gain")</f>
        <v>Gain</v>
      </c>
      <c r="V392" s="16">
        <f>IF(Table1[[#This Row],[Gain/Loss]]="Gain",Table1[[#This Row],[Quantity]], 0)</f>
        <v>2</v>
      </c>
      <c r="W392" s="16">
        <f>IF(Table1[[#This Row],[Gain/Loss]]="Loss",Table1[[#This Row],[Quantity]],0)</f>
        <v>0</v>
      </c>
      <c r="X392" s="16">
        <f>IF(OR(Table1[[#This Row],[Gain/Loss]]="Gain",Table1[[#This Row],[Gain/Loss]]="Loss"),Table1[[#This Row],[Quantity]],"")</f>
        <v>2</v>
      </c>
    </row>
    <row r="393" spans="1:24" x14ac:dyDescent="0.25">
      <c r="A393">
        <v>10392</v>
      </c>
      <c r="B393" s="1">
        <v>46049</v>
      </c>
      <c r="C393" s="1" t="str">
        <f>TEXT(Table1[[#This Row],[Order_Date]],"DD")</f>
        <v>27</v>
      </c>
      <c r="D393" s="1" t="str">
        <f>TEXT(Table1[[#This Row],[Order_Date]],"MMM")</f>
        <v>Jan</v>
      </c>
      <c r="E393" s="1" t="str">
        <f>TEXT(Table1[[#This Row],[Order_Date]],"YYYY")</f>
        <v>2026</v>
      </c>
      <c r="F393">
        <v>3400</v>
      </c>
      <c r="G393" t="s">
        <v>29</v>
      </c>
      <c r="H393" t="s">
        <v>18</v>
      </c>
      <c r="I393" t="s">
        <v>26</v>
      </c>
      <c r="J393" t="s">
        <v>31</v>
      </c>
      <c r="K393">
        <v>2</v>
      </c>
      <c r="L393" s="2">
        <v>98.54</v>
      </c>
      <c r="M393" s="3">
        <v>0.15</v>
      </c>
      <c r="N393" s="2">
        <v>197.08</v>
      </c>
      <c r="O393" s="2">
        <v>29.562000000000001</v>
      </c>
      <c r="P393" s="2">
        <v>167.518</v>
      </c>
      <c r="Q393" s="2">
        <v>26.51</v>
      </c>
      <c r="R393" s="2">
        <v>53.02</v>
      </c>
      <c r="S393" s="2">
        <v>114.497999999999</v>
      </c>
      <c r="T393" s="3">
        <v>0.68349669886221098</v>
      </c>
      <c r="U393" s="2" t="str">
        <f>IF(Table1[[#This Row],[Net_Revenue]]&lt;Table1[[#This Row],[Total_Cost]], "Loss", "Gain")</f>
        <v>Gain</v>
      </c>
      <c r="V393" s="16">
        <f>IF(Table1[[#This Row],[Gain/Loss]]="Gain",Table1[[#This Row],[Quantity]], 0)</f>
        <v>2</v>
      </c>
      <c r="W393" s="16">
        <f>IF(Table1[[#This Row],[Gain/Loss]]="Loss",Table1[[#This Row],[Quantity]],0)</f>
        <v>0</v>
      </c>
      <c r="X393" s="16">
        <f>IF(OR(Table1[[#This Row],[Gain/Loss]]="Gain",Table1[[#This Row],[Gain/Loss]]="Loss"),Table1[[#This Row],[Quantity]],"")</f>
        <v>2</v>
      </c>
    </row>
    <row r="394" spans="1:24" x14ac:dyDescent="0.25">
      <c r="A394">
        <v>10393</v>
      </c>
      <c r="B394" s="1">
        <v>46050</v>
      </c>
      <c r="C394" s="1" t="str">
        <f>TEXT(Table1[[#This Row],[Order_Date]],"DD")</f>
        <v>28</v>
      </c>
      <c r="D394" s="1" t="str">
        <f>TEXT(Table1[[#This Row],[Order_Date]],"MMM")</f>
        <v>Jan</v>
      </c>
      <c r="E394" s="1" t="str">
        <f>TEXT(Table1[[#This Row],[Order_Date]],"YYYY")</f>
        <v>2026</v>
      </c>
      <c r="F394">
        <v>3938</v>
      </c>
      <c r="G394" t="s">
        <v>21</v>
      </c>
      <c r="H394" t="s">
        <v>24</v>
      </c>
      <c r="I394" t="s">
        <v>19</v>
      </c>
      <c r="J394" t="s">
        <v>27</v>
      </c>
      <c r="K394">
        <v>5</v>
      </c>
      <c r="L394" s="2">
        <v>215.07</v>
      </c>
      <c r="M394" s="3">
        <v>0.2</v>
      </c>
      <c r="N394" s="2">
        <v>1075.3499999999999</v>
      </c>
      <c r="O394" s="2">
        <v>215.07</v>
      </c>
      <c r="P394" s="2">
        <v>860.28</v>
      </c>
      <c r="Q394" s="2">
        <v>95.23</v>
      </c>
      <c r="R394" s="2">
        <v>476.15</v>
      </c>
      <c r="S394" s="2">
        <v>384.12999999999897</v>
      </c>
      <c r="T394" s="3">
        <v>0.44651741293532299</v>
      </c>
      <c r="U394" s="2" t="str">
        <f>IF(Table1[[#This Row],[Net_Revenue]]&lt;Table1[[#This Row],[Total_Cost]], "Loss", "Gain")</f>
        <v>Gain</v>
      </c>
      <c r="V394" s="16">
        <f>IF(Table1[[#This Row],[Gain/Loss]]="Gain",Table1[[#This Row],[Quantity]], 0)</f>
        <v>5</v>
      </c>
      <c r="W394" s="16">
        <f>IF(Table1[[#This Row],[Gain/Loss]]="Loss",Table1[[#This Row],[Quantity]],0)</f>
        <v>0</v>
      </c>
      <c r="X394" s="16">
        <f>IF(OR(Table1[[#This Row],[Gain/Loss]]="Gain",Table1[[#This Row],[Gain/Loss]]="Loss"),Table1[[#This Row],[Quantity]],"")</f>
        <v>5</v>
      </c>
    </row>
    <row r="395" spans="1:24" x14ac:dyDescent="0.25">
      <c r="A395">
        <v>10394</v>
      </c>
      <c r="B395" s="1">
        <v>46051</v>
      </c>
      <c r="C395" s="1" t="str">
        <f>TEXT(Table1[[#This Row],[Order_Date]],"DD")</f>
        <v>29</v>
      </c>
      <c r="D395" s="1" t="str">
        <f>TEXT(Table1[[#This Row],[Order_Date]],"MMM")</f>
        <v>Jan</v>
      </c>
      <c r="E395" s="1" t="str">
        <f>TEXT(Table1[[#This Row],[Order_Date]],"YYYY")</f>
        <v>2026</v>
      </c>
      <c r="F395">
        <v>3246</v>
      </c>
      <c r="G395" t="s">
        <v>21</v>
      </c>
      <c r="H395" t="s">
        <v>24</v>
      </c>
      <c r="I395" t="s">
        <v>33</v>
      </c>
      <c r="J395" t="s">
        <v>20</v>
      </c>
      <c r="K395">
        <v>6</v>
      </c>
      <c r="L395" s="2">
        <v>193.14</v>
      </c>
      <c r="M395" s="3">
        <v>0.1</v>
      </c>
      <c r="N395" s="2">
        <v>1158.8399999999999</v>
      </c>
      <c r="O395" s="2">
        <v>115.884</v>
      </c>
      <c r="P395" s="2">
        <v>1042.9559999999999</v>
      </c>
      <c r="Q395" s="2">
        <v>99.71</v>
      </c>
      <c r="R395" s="2">
        <v>598.26</v>
      </c>
      <c r="S395" s="2">
        <v>444.695999999999</v>
      </c>
      <c r="T395" s="3">
        <v>0.42638040339189698</v>
      </c>
      <c r="U395" s="2" t="str">
        <f>IF(Table1[[#This Row],[Net_Revenue]]&lt;Table1[[#This Row],[Total_Cost]], "Loss", "Gain")</f>
        <v>Gain</v>
      </c>
      <c r="V395" s="16">
        <f>IF(Table1[[#This Row],[Gain/Loss]]="Gain",Table1[[#This Row],[Quantity]], 0)</f>
        <v>6</v>
      </c>
      <c r="W395" s="16">
        <f>IF(Table1[[#This Row],[Gain/Loss]]="Loss",Table1[[#This Row],[Quantity]],0)</f>
        <v>0</v>
      </c>
      <c r="X395" s="16">
        <f>IF(OR(Table1[[#This Row],[Gain/Loss]]="Gain",Table1[[#This Row],[Gain/Loss]]="Loss"),Table1[[#This Row],[Quantity]],"")</f>
        <v>6</v>
      </c>
    </row>
    <row r="396" spans="1:24" x14ac:dyDescent="0.25">
      <c r="A396">
        <v>10395</v>
      </c>
      <c r="B396" s="1">
        <v>46052</v>
      </c>
      <c r="C396" s="1" t="str">
        <f>TEXT(Table1[[#This Row],[Order_Date]],"DD")</f>
        <v>30</v>
      </c>
      <c r="D396" s="1" t="str">
        <f>TEXT(Table1[[#This Row],[Order_Date]],"MMM")</f>
        <v>Jan</v>
      </c>
      <c r="E396" s="1" t="str">
        <f>TEXT(Table1[[#This Row],[Order_Date]],"YYYY")</f>
        <v>2026</v>
      </c>
      <c r="F396">
        <v>3942</v>
      </c>
      <c r="G396" t="s">
        <v>23</v>
      </c>
      <c r="H396" t="s">
        <v>18</v>
      </c>
      <c r="I396" t="s">
        <v>19</v>
      </c>
      <c r="J396" t="s">
        <v>27</v>
      </c>
      <c r="K396">
        <v>6</v>
      </c>
      <c r="L396" s="2">
        <v>88.09</v>
      </c>
      <c r="M396" s="3">
        <v>0.15</v>
      </c>
      <c r="N396" s="2">
        <v>528.54</v>
      </c>
      <c r="O396" s="2">
        <v>79.280999999999906</v>
      </c>
      <c r="P396" s="2">
        <v>449.25899999999899</v>
      </c>
      <c r="Q396" s="2">
        <v>69.459999999999994</v>
      </c>
      <c r="R396" s="2">
        <v>416.76</v>
      </c>
      <c r="S396" s="2">
        <v>32.498999999999903</v>
      </c>
      <c r="T396" s="3">
        <v>7.2339118414989897E-2</v>
      </c>
      <c r="U396" s="2" t="str">
        <f>IF(Table1[[#This Row],[Net_Revenue]]&lt;Table1[[#This Row],[Total_Cost]], "Loss", "Gain")</f>
        <v>Gain</v>
      </c>
      <c r="V396" s="16">
        <f>IF(Table1[[#This Row],[Gain/Loss]]="Gain",Table1[[#This Row],[Quantity]], 0)</f>
        <v>6</v>
      </c>
      <c r="W396" s="16">
        <f>IF(Table1[[#This Row],[Gain/Loss]]="Loss",Table1[[#This Row],[Quantity]],0)</f>
        <v>0</v>
      </c>
      <c r="X396" s="16">
        <f>IF(OR(Table1[[#This Row],[Gain/Loss]]="Gain",Table1[[#This Row],[Gain/Loss]]="Loss"),Table1[[#This Row],[Quantity]],"")</f>
        <v>6</v>
      </c>
    </row>
    <row r="397" spans="1:24" x14ac:dyDescent="0.25">
      <c r="A397">
        <v>10396</v>
      </c>
      <c r="B397" s="1">
        <v>46053</v>
      </c>
      <c r="C397" s="1" t="str">
        <f>TEXT(Table1[[#This Row],[Order_Date]],"DD")</f>
        <v>31</v>
      </c>
      <c r="D397" s="1" t="str">
        <f>TEXT(Table1[[#This Row],[Order_Date]],"MMM")</f>
        <v>Jan</v>
      </c>
      <c r="E397" s="1" t="str">
        <f>TEXT(Table1[[#This Row],[Order_Date]],"YYYY")</f>
        <v>2026</v>
      </c>
      <c r="F397">
        <v>3068</v>
      </c>
      <c r="G397" t="s">
        <v>17</v>
      </c>
      <c r="H397" t="s">
        <v>24</v>
      </c>
      <c r="I397" t="s">
        <v>26</v>
      </c>
      <c r="J397" t="s">
        <v>31</v>
      </c>
      <c r="K397">
        <v>1</v>
      </c>
      <c r="L397" s="2">
        <v>76.790000000000006</v>
      </c>
      <c r="M397" s="3">
        <v>0</v>
      </c>
      <c r="N397" s="2">
        <v>76.790000000000006</v>
      </c>
      <c r="O397" s="2">
        <v>0</v>
      </c>
      <c r="P397" s="2">
        <v>76.790000000000006</v>
      </c>
      <c r="Q397" s="2">
        <v>118.85</v>
      </c>
      <c r="R397" s="2">
        <v>118.85</v>
      </c>
      <c r="S397" s="2">
        <v>-42.059999999999903</v>
      </c>
      <c r="T397" s="3">
        <v>-0.54772756869383998</v>
      </c>
      <c r="U397" s="2" t="str">
        <f>IF(Table1[[#This Row],[Net_Revenue]]&lt;Table1[[#This Row],[Total_Cost]], "Loss", "Gain")</f>
        <v>Loss</v>
      </c>
      <c r="V397" s="16">
        <f>IF(Table1[[#This Row],[Gain/Loss]]="Gain",Table1[[#This Row],[Quantity]], 0)</f>
        <v>0</v>
      </c>
      <c r="W397" s="16">
        <f>IF(Table1[[#This Row],[Gain/Loss]]="Loss",Table1[[#This Row],[Quantity]],0)</f>
        <v>1</v>
      </c>
      <c r="X397" s="16">
        <f>IF(OR(Table1[[#This Row],[Gain/Loss]]="Gain",Table1[[#This Row],[Gain/Loss]]="Loss"),Table1[[#This Row],[Quantity]],"")</f>
        <v>1</v>
      </c>
    </row>
    <row r="398" spans="1:24" x14ac:dyDescent="0.25">
      <c r="A398">
        <v>10397</v>
      </c>
      <c r="B398" s="1">
        <v>46054</v>
      </c>
      <c r="C398" s="1" t="str">
        <f>TEXT(Table1[[#This Row],[Order_Date]],"DD")</f>
        <v>01</v>
      </c>
      <c r="D398" s="1" t="str">
        <f>TEXT(Table1[[#This Row],[Order_Date]],"MMM")</f>
        <v>Feb</v>
      </c>
      <c r="E398" s="1" t="str">
        <f>TEXT(Table1[[#This Row],[Order_Date]],"YYYY")</f>
        <v>2026</v>
      </c>
      <c r="F398">
        <v>3238</v>
      </c>
      <c r="G398" t="s">
        <v>21</v>
      </c>
      <c r="H398" t="s">
        <v>18</v>
      </c>
      <c r="I398" t="s">
        <v>25</v>
      </c>
      <c r="J398" t="s">
        <v>32</v>
      </c>
      <c r="K398">
        <v>9</v>
      </c>
      <c r="L398" s="2">
        <v>180.27</v>
      </c>
      <c r="M398" s="3">
        <v>0</v>
      </c>
      <c r="N398" s="2">
        <v>1622.43</v>
      </c>
      <c r="O398" s="2">
        <v>0</v>
      </c>
      <c r="P398" s="2">
        <v>1622.43</v>
      </c>
      <c r="Q398" s="2">
        <v>22.82</v>
      </c>
      <c r="R398" s="2">
        <v>205.38</v>
      </c>
      <c r="S398" s="2">
        <v>1417.05</v>
      </c>
      <c r="T398" s="3">
        <v>0.87341210406612302</v>
      </c>
      <c r="U398" s="2" t="str">
        <f>IF(Table1[[#This Row],[Net_Revenue]]&lt;Table1[[#This Row],[Total_Cost]], "Loss", "Gain")</f>
        <v>Gain</v>
      </c>
      <c r="V398" s="16">
        <f>IF(Table1[[#This Row],[Gain/Loss]]="Gain",Table1[[#This Row],[Quantity]], 0)</f>
        <v>9</v>
      </c>
      <c r="W398" s="16">
        <f>IF(Table1[[#This Row],[Gain/Loss]]="Loss",Table1[[#This Row],[Quantity]],0)</f>
        <v>0</v>
      </c>
      <c r="X398" s="16">
        <f>IF(OR(Table1[[#This Row],[Gain/Loss]]="Gain",Table1[[#This Row],[Gain/Loss]]="Loss"),Table1[[#This Row],[Quantity]],"")</f>
        <v>9</v>
      </c>
    </row>
    <row r="399" spans="1:24" x14ac:dyDescent="0.25">
      <c r="A399">
        <v>10398</v>
      </c>
      <c r="B399" s="1">
        <v>46055</v>
      </c>
      <c r="C399" s="1" t="str">
        <f>TEXT(Table1[[#This Row],[Order_Date]],"DD")</f>
        <v>02</v>
      </c>
      <c r="D399" s="1" t="str">
        <f>TEXT(Table1[[#This Row],[Order_Date]],"MMM")</f>
        <v>Feb</v>
      </c>
      <c r="E399" s="1" t="str">
        <f>TEXT(Table1[[#This Row],[Order_Date]],"YYYY")</f>
        <v>2026</v>
      </c>
      <c r="F399">
        <v>3102</v>
      </c>
      <c r="G399" t="s">
        <v>23</v>
      </c>
      <c r="H399" t="s">
        <v>18</v>
      </c>
      <c r="I399" t="s">
        <v>25</v>
      </c>
      <c r="J399" t="s">
        <v>32</v>
      </c>
      <c r="K399">
        <v>6</v>
      </c>
      <c r="L399" s="2">
        <v>196.2</v>
      </c>
      <c r="M399" s="3">
        <v>0.2</v>
      </c>
      <c r="N399" s="2">
        <v>1177.19999999999</v>
      </c>
      <c r="O399" s="2">
        <v>235.439999999999</v>
      </c>
      <c r="P399" s="2">
        <v>941.75999999999897</v>
      </c>
      <c r="Q399" s="2">
        <v>94.91</v>
      </c>
      <c r="R399" s="2">
        <v>569.46</v>
      </c>
      <c r="S399" s="2">
        <v>372.29999999999899</v>
      </c>
      <c r="T399" s="3">
        <v>0.39532364933740999</v>
      </c>
      <c r="U399" s="2" t="str">
        <f>IF(Table1[[#This Row],[Net_Revenue]]&lt;Table1[[#This Row],[Total_Cost]], "Loss", "Gain")</f>
        <v>Gain</v>
      </c>
      <c r="V399" s="16">
        <f>IF(Table1[[#This Row],[Gain/Loss]]="Gain",Table1[[#This Row],[Quantity]], 0)</f>
        <v>6</v>
      </c>
      <c r="W399" s="16">
        <f>IF(Table1[[#This Row],[Gain/Loss]]="Loss",Table1[[#This Row],[Quantity]],0)</f>
        <v>0</v>
      </c>
      <c r="X399" s="16">
        <f>IF(OR(Table1[[#This Row],[Gain/Loss]]="Gain",Table1[[#This Row],[Gain/Loss]]="Loss"),Table1[[#This Row],[Quantity]],"")</f>
        <v>6</v>
      </c>
    </row>
    <row r="400" spans="1:24" x14ac:dyDescent="0.25">
      <c r="A400">
        <v>10399</v>
      </c>
      <c r="B400" s="1">
        <v>46056</v>
      </c>
      <c r="C400" s="1" t="str">
        <f>TEXT(Table1[[#This Row],[Order_Date]],"DD")</f>
        <v>03</v>
      </c>
      <c r="D400" s="1" t="str">
        <f>TEXT(Table1[[#This Row],[Order_Date]],"MMM")</f>
        <v>Feb</v>
      </c>
      <c r="E400" s="1" t="str">
        <f>TEXT(Table1[[#This Row],[Order_Date]],"YYYY")</f>
        <v>2026</v>
      </c>
      <c r="F400">
        <v>3717</v>
      </c>
      <c r="G400" t="s">
        <v>29</v>
      </c>
      <c r="H400" t="s">
        <v>24</v>
      </c>
      <c r="I400" t="s">
        <v>26</v>
      </c>
      <c r="J400" t="s">
        <v>31</v>
      </c>
      <c r="K400">
        <v>9</v>
      </c>
      <c r="L400" s="2">
        <v>148.32</v>
      </c>
      <c r="M400" s="3">
        <v>0.1</v>
      </c>
      <c r="N400" s="2">
        <v>1334.8799999999901</v>
      </c>
      <c r="O400" s="2">
        <v>133.488</v>
      </c>
      <c r="P400" s="2">
        <v>1201.39199999999</v>
      </c>
      <c r="Q400" s="2">
        <v>60.17</v>
      </c>
      <c r="R400" s="2">
        <v>541.53</v>
      </c>
      <c r="S400" s="2">
        <v>659.86199999999894</v>
      </c>
      <c r="T400" s="3">
        <v>0.54924787246793694</v>
      </c>
      <c r="U400" s="2" t="str">
        <f>IF(Table1[[#This Row],[Net_Revenue]]&lt;Table1[[#This Row],[Total_Cost]], "Loss", "Gain")</f>
        <v>Gain</v>
      </c>
      <c r="V400" s="16">
        <f>IF(Table1[[#This Row],[Gain/Loss]]="Gain",Table1[[#This Row],[Quantity]], 0)</f>
        <v>9</v>
      </c>
      <c r="W400" s="16">
        <f>IF(Table1[[#This Row],[Gain/Loss]]="Loss",Table1[[#This Row],[Quantity]],0)</f>
        <v>0</v>
      </c>
      <c r="X400" s="16">
        <f>IF(OR(Table1[[#This Row],[Gain/Loss]]="Gain",Table1[[#This Row],[Gain/Loss]]="Loss"),Table1[[#This Row],[Quantity]],"")</f>
        <v>9</v>
      </c>
    </row>
    <row r="401" spans="1:24" x14ac:dyDescent="0.25">
      <c r="A401">
        <v>10400</v>
      </c>
      <c r="B401" s="1">
        <v>46057</v>
      </c>
      <c r="C401" s="1" t="str">
        <f>TEXT(Table1[[#This Row],[Order_Date]],"DD")</f>
        <v>04</v>
      </c>
      <c r="D401" s="1" t="str">
        <f>TEXT(Table1[[#This Row],[Order_Date]],"MMM")</f>
        <v>Feb</v>
      </c>
      <c r="E401" s="1" t="str">
        <f>TEXT(Table1[[#This Row],[Order_Date]],"YYYY")</f>
        <v>2026</v>
      </c>
      <c r="F401">
        <v>3450</v>
      </c>
      <c r="G401" t="s">
        <v>29</v>
      </c>
      <c r="H401" t="s">
        <v>18</v>
      </c>
      <c r="I401" t="s">
        <v>33</v>
      </c>
      <c r="J401" t="s">
        <v>20</v>
      </c>
      <c r="K401">
        <v>4</v>
      </c>
      <c r="L401" s="2">
        <v>42.86</v>
      </c>
      <c r="M401" s="3">
        <v>0.1</v>
      </c>
      <c r="N401" s="2">
        <v>171.44</v>
      </c>
      <c r="O401" s="2">
        <v>17.143999999999998</v>
      </c>
      <c r="P401" s="2">
        <v>154.29599999999999</v>
      </c>
      <c r="Q401" s="2">
        <v>129.34</v>
      </c>
      <c r="R401" s="2">
        <v>517.36</v>
      </c>
      <c r="S401" s="2">
        <v>-363.06400000000002</v>
      </c>
      <c r="T401" s="3">
        <v>-2.35303572354435</v>
      </c>
      <c r="U401" s="2" t="str">
        <f>IF(Table1[[#This Row],[Net_Revenue]]&lt;Table1[[#This Row],[Total_Cost]], "Loss", "Gain")</f>
        <v>Loss</v>
      </c>
      <c r="V401" s="16">
        <f>IF(Table1[[#This Row],[Gain/Loss]]="Gain",Table1[[#This Row],[Quantity]], 0)</f>
        <v>0</v>
      </c>
      <c r="W401" s="16">
        <f>IF(Table1[[#This Row],[Gain/Loss]]="Loss",Table1[[#This Row],[Quantity]],0)</f>
        <v>4</v>
      </c>
      <c r="X401" s="16">
        <f>IF(OR(Table1[[#This Row],[Gain/Loss]]="Gain",Table1[[#This Row],[Gain/Loss]]="Loss"),Table1[[#This Row],[Quantity]],"")</f>
        <v>4</v>
      </c>
    </row>
    <row r="402" spans="1:24" x14ac:dyDescent="0.25">
      <c r="A402">
        <v>10401</v>
      </c>
      <c r="B402" s="1">
        <v>46058</v>
      </c>
      <c r="C402" s="1" t="str">
        <f>TEXT(Table1[[#This Row],[Order_Date]],"DD")</f>
        <v>05</v>
      </c>
      <c r="D402" s="1" t="str">
        <f>TEXT(Table1[[#This Row],[Order_Date]],"MMM")</f>
        <v>Feb</v>
      </c>
      <c r="E402" s="1" t="str">
        <f>TEXT(Table1[[#This Row],[Order_Date]],"YYYY")</f>
        <v>2026</v>
      </c>
      <c r="F402">
        <v>3908</v>
      </c>
      <c r="G402" t="s">
        <v>29</v>
      </c>
      <c r="H402" t="s">
        <v>18</v>
      </c>
      <c r="I402" t="s">
        <v>25</v>
      </c>
      <c r="J402" t="s">
        <v>22</v>
      </c>
      <c r="K402">
        <v>2</v>
      </c>
      <c r="L402" s="2">
        <v>201.66</v>
      </c>
      <c r="M402" s="3">
        <v>0</v>
      </c>
      <c r="N402" s="2">
        <v>403.32</v>
      </c>
      <c r="O402" s="2">
        <v>0</v>
      </c>
      <c r="P402" s="2">
        <v>403.32</v>
      </c>
      <c r="Q402" s="2">
        <v>62.46</v>
      </c>
      <c r="R402" s="2">
        <v>124.92</v>
      </c>
      <c r="S402" s="2">
        <v>278.39999999999998</v>
      </c>
      <c r="T402" s="3">
        <v>0.69027075275215699</v>
      </c>
      <c r="U402" s="2" t="str">
        <f>IF(Table1[[#This Row],[Net_Revenue]]&lt;Table1[[#This Row],[Total_Cost]], "Loss", "Gain")</f>
        <v>Gain</v>
      </c>
      <c r="V402" s="16">
        <f>IF(Table1[[#This Row],[Gain/Loss]]="Gain",Table1[[#This Row],[Quantity]], 0)</f>
        <v>2</v>
      </c>
      <c r="W402" s="16">
        <f>IF(Table1[[#This Row],[Gain/Loss]]="Loss",Table1[[#This Row],[Quantity]],0)</f>
        <v>0</v>
      </c>
      <c r="X402" s="16">
        <f>IF(OR(Table1[[#This Row],[Gain/Loss]]="Gain",Table1[[#This Row],[Gain/Loss]]="Loss"),Table1[[#This Row],[Quantity]],"")</f>
        <v>2</v>
      </c>
    </row>
    <row r="403" spans="1:24" x14ac:dyDescent="0.25">
      <c r="A403">
        <v>10402</v>
      </c>
      <c r="B403" s="1">
        <v>46059</v>
      </c>
      <c r="C403" s="1" t="str">
        <f>TEXT(Table1[[#This Row],[Order_Date]],"DD")</f>
        <v>06</v>
      </c>
      <c r="D403" s="1" t="str">
        <f>TEXT(Table1[[#This Row],[Order_Date]],"MMM")</f>
        <v>Feb</v>
      </c>
      <c r="E403" s="1" t="str">
        <f>TEXT(Table1[[#This Row],[Order_Date]],"YYYY")</f>
        <v>2026</v>
      </c>
      <c r="F403">
        <v>3822</v>
      </c>
      <c r="G403" t="s">
        <v>17</v>
      </c>
      <c r="H403" t="s">
        <v>24</v>
      </c>
      <c r="I403" t="s">
        <v>26</v>
      </c>
      <c r="J403" t="s">
        <v>30</v>
      </c>
      <c r="K403">
        <v>7</v>
      </c>
      <c r="L403" s="2">
        <v>160.79</v>
      </c>
      <c r="M403" s="3">
        <v>0.2</v>
      </c>
      <c r="N403" s="2">
        <v>1125.53</v>
      </c>
      <c r="O403" s="2">
        <v>225.10599999999999</v>
      </c>
      <c r="P403" s="2">
        <v>900.42399999999998</v>
      </c>
      <c r="Q403" s="2">
        <v>32.380000000000003</v>
      </c>
      <c r="R403" s="2">
        <v>226.66</v>
      </c>
      <c r="S403" s="2">
        <v>673.76399999999899</v>
      </c>
      <c r="T403" s="3">
        <v>0.74827414640213907</v>
      </c>
      <c r="U403" s="2" t="str">
        <f>IF(Table1[[#This Row],[Net_Revenue]]&lt;Table1[[#This Row],[Total_Cost]], "Loss", "Gain")</f>
        <v>Gain</v>
      </c>
      <c r="V403" s="16">
        <f>IF(Table1[[#This Row],[Gain/Loss]]="Gain",Table1[[#This Row],[Quantity]], 0)</f>
        <v>7</v>
      </c>
      <c r="W403" s="16">
        <f>IF(Table1[[#This Row],[Gain/Loss]]="Loss",Table1[[#This Row],[Quantity]],0)</f>
        <v>0</v>
      </c>
      <c r="X403" s="16">
        <f>IF(OR(Table1[[#This Row],[Gain/Loss]]="Gain",Table1[[#This Row],[Gain/Loss]]="Loss"),Table1[[#This Row],[Quantity]],"")</f>
        <v>7</v>
      </c>
    </row>
    <row r="404" spans="1:24" x14ac:dyDescent="0.25">
      <c r="A404">
        <v>10403</v>
      </c>
      <c r="B404" s="1">
        <v>46060</v>
      </c>
      <c r="C404" s="1" t="str">
        <f>TEXT(Table1[[#This Row],[Order_Date]],"DD")</f>
        <v>07</v>
      </c>
      <c r="D404" s="1" t="str">
        <f>TEXT(Table1[[#This Row],[Order_Date]],"MMM")</f>
        <v>Feb</v>
      </c>
      <c r="E404" s="1" t="str">
        <f>TEXT(Table1[[#This Row],[Order_Date]],"YYYY")</f>
        <v>2026</v>
      </c>
      <c r="F404">
        <v>3088</v>
      </c>
      <c r="G404" t="s">
        <v>21</v>
      </c>
      <c r="H404" t="s">
        <v>24</v>
      </c>
      <c r="I404" t="s">
        <v>25</v>
      </c>
      <c r="J404" t="s">
        <v>32</v>
      </c>
      <c r="K404">
        <v>8</v>
      </c>
      <c r="L404" s="2">
        <v>164.16</v>
      </c>
      <c r="M404" s="3">
        <v>0.05</v>
      </c>
      <c r="N404" s="2">
        <v>1313.28</v>
      </c>
      <c r="O404" s="2">
        <v>65.664000000000001</v>
      </c>
      <c r="P404" s="2">
        <v>1247.616</v>
      </c>
      <c r="Q404" s="2">
        <v>54.95</v>
      </c>
      <c r="R404" s="2">
        <v>439.6</v>
      </c>
      <c r="S404" s="2">
        <v>808.01599999999996</v>
      </c>
      <c r="T404" s="3">
        <v>0.64764799425464203</v>
      </c>
      <c r="U404" s="2" t="str">
        <f>IF(Table1[[#This Row],[Net_Revenue]]&lt;Table1[[#This Row],[Total_Cost]], "Loss", "Gain")</f>
        <v>Gain</v>
      </c>
      <c r="V404" s="16">
        <f>IF(Table1[[#This Row],[Gain/Loss]]="Gain",Table1[[#This Row],[Quantity]], 0)</f>
        <v>8</v>
      </c>
      <c r="W404" s="16">
        <f>IF(Table1[[#This Row],[Gain/Loss]]="Loss",Table1[[#This Row],[Quantity]],0)</f>
        <v>0</v>
      </c>
      <c r="X404" s="16">
        <f>IF(OR(Table1[[#This Row],[Gain/Loss]]="Gain",Table1[[#This Row],[Gain/Loss]]="Loss"),Table1[[#This Row],[Quantity]],"")</f>
        <v>8</v>
      </c>
    </row>
    <row r="405" spans="1:24" x14ac:dyDescent="0.25">
      <c r="A405">
        <v>10404</v>
      </c>
      <c r="B405" s="1">
        <v>46061</v>
      </c>
      <c r="C405" s="1" t="str">
        <f>TEXT(Table1[[#This Row],[Order_Date]],"DD")</f>
        <v>08</v>
      </c>
      <c r="D405" s="1" t="str">
        <f>TEXT(Table1[[#This Row],[Order_Date]],"MMM")</f>
        <v>Feb</v>
      </c>
      <c r="E405" s="1" t="str">
        <f>TEXT(Table1[[#This Row],[Order_Date]],"YYYY")</f>
        <v>2026</v>
      </c>
      <c r="F405">
        <v>3091</v>
      </c>
      <c r="G405" t="s">
        <v>21</v>
      </c>
      <c r="H405" t="s">
        <v>18</v>
      </c>
      <c r="I405" t="s">
        <v>33</v>
      </c>
      <c r="J405" t="s">
        <v>20</v>
      </c>
      <c r="K405">
        <v>8</v>
      </c>
      <c r="L405" s="2">
        <v>138.32</v>
      </c>
      <c r="M405" s="3">
        <v>0.1</v>
      </c>
      <c r="N405" s="2">
        <v>1106.56</v>
      </c>
      <c r="O405" s="2">
        <v>110.65600000000001</v>
      </c>
      <c r="P405" s="2">
        <v>995.904</v>
      </c>
      <c r="Q405" s="2">
        <v>81.12</v>
      </c>
      <c r="R405" s="2">
        <v>648.96</v>
      </c>
      <c r="S405" s="2">
        <v>346.94399999999899</v>
      </c>
      <c r="T405" s="3">
        <v>0.348370927318295</v>
      </c>
      <c r="U405" s="2" t="str">
        <f>IF(Table1[[#This Row],[Net_Revenue]]&lt;Table1[[#This Row],[Total_Cost]], "Loss", "Gain")</f>
        <v>Gain</v>
      </c>
      <c r="V405" s="16">
        <f>IF(Table1[[#This Row],[Gain/Loss]]="Gain",Table1[[#This Row],[Quantity]], 0)</f>
        <v>8</v>
      </c>
      <c r="W405" s="16">
        <f>IF(Table1[[#This Row],[Gain/Loss]]="Loss",Table1[[#This Row],[Quantity]],0)</f>
        <v>0</v>
      </c>
      <c r="X405" s="16">
        <f>IF(OR(Table1[[#This Row],[Gain/Loss]]="Gain",Table1[[#This Row],[Gain/Loss]]="Loss"),Table1[[#This Row],[Quantity]],"")</f>
        <v>8</v>
      </c>
    </row>
    <row r="406" spans="1:24" x14ac:dyDescent="0.25">
      <c r="A406">
        <v>10405</v>
      </c>
      <c r="B406" s="1">
        <v>46062</v>
      </c>
      <c r="C406" s="1" t="str">
        <f>TEXT(Table1[[#This Row],[Order_Date]],"DD")</f>
        <v>09</v>
      </c>
      <c r="D406" s="1" t="str">
        <f>TEXT(Table1[[#This Row],[Order_Date]],"MMM")</f>
        <v>Feb</v>
      </c>
      <c r="E406" s="1" t="str">
        <f>TEXT(Table1[[#This Row],[Order_Date]],"YYYY")</f>
        <v>2026</v>
      </c>
      <c r="F406">
        <v>3439</v>
      </c>
      <c r="G406" t="s">
        <v>29</v>
      </c>
      <c r="H406" t="s">
        <v>24</v>
      </c>
      <c r="I406" t="s">
        <v>33</v>
      </c>
      <c r="J406" t="s">
        <v>20</v>
      </c>
      <c r="K406">
        <v>8</v>
      </c>
      <c r="L406" s="2">
        <v>106.67</v>
      </c>
      <c r="M406" s="3">
        <v>0.05</v>
      </c>
      <c r="N406" s="2">
        <v>853.36</v>
      </c>
      <c r="O406" s="2">
        <v>42.667999999999999</v>
      </c>
      <c r="P406" s="2">
        <v>810.69200000000001</v>
      </c>
      <c r="Q406" s="2">
        <v>16.62</v>
      </c>
      <c r="R406" s="2">
        <v>132.96</v>
      </c>
      <c r="S406" s="2">
        <v>677.73199999999997</v>
      </c>
      <c r="T406" s="3">
        <v>0.83599196735628301</v>
      </c>
      <c r="U406" s="2" t="str">
        <f>IF(Table1[[#This Row],[Net_Revenue]]&lt;Table1[[#This Row],[Total_Cost]], "Loss", "Gain")</f>
        <v>Gain</v>
      </c>
      <c r="V406" s="16">
        <f>IF(Table1[[#This Row],[Gain/Loss]]="Gain",Table1[[#This Row],[Quantity]], 0)</f>
        <v>8</v>
      </c>
      <c r="W406" s="16">
        <f>IF(Table1[[#This Row],[Gain/Loss]]="Loss",Table1[[#This Row],[Quantity]],0)</f>
        <v>0</v>
      </c>
      <c r="X406" s="16">
        <f>IF(OR(Table1[[#This Row],[Gain/Loss]]="Gain",Table1[[#This Row],[Gain/Loss]]="Loss"),Table1[[#This Row],[Quantity]],"")</f>
        <v>8</v>
      </c>
    </row>
    <row r="407" spans="1:24" x14ac:dyDescent="0.25">
      <c r="A407">
        <v>10406</v>
      </c>
      <c r="B407" s="1">
        <v>46063</v>
      </c>
      <c r="C407" s="1" t="str">
        <f>TEXT(Table1[[#This Row],[Order_Date]],"DD")</f>
        <v>10</v>
      </c>
      <c r="D407" s="1" t="str">
        <f>TEXT(Table1[[#This Row],[Order_Date]],"MMM")</f>
        <v>Feb</v>
      </c>
      <c r="E407" s="1" t="str">
        <f>TEXT(Table1[[#This Row],[Order_Date]],"YYYY")</f>
        <v>2026</v>
      </c>
      <c r="F407">
        <v>3016</v>
      </c>
      <c r="G407" t="s">
        <v>17</v>
      </c>
      <c r="H407" t="s">
        <v>18</v>
      </c>
      <c r="I407" t="s">
        <v>26</v>
      </c>
      <c r="J407" t="s">
        <v>30</v>
      </c>
      <c r="K407">
        <v>9</v>
      </c>
      <c r="L407" s="2">
        <v>205.32</v>
      </c>
      <c r="M407" s="3">
        <v>0.1</v>
      </c>
      <c r="N407" s="2">
        <v>1847.8799999999901</v>
      </c>
      <c r="O407" s="2">
        <v>184.78800000000001</v>
      </c>
      <c r="P407" s="2">
        <v>1663.0919999999901</v>
      </c>
      <c r="Q407" s="2">
        <v>130.25</v>
      </c>
      <c r="R407" s="2">
        <v>1172.25</v>
      </c>
      <c r="S407" s="2">
        <v>490.84199999999902</v>
      </c>
      <c r="T407" s="3">
        <v>0.29513821243803701</v>
      </c>
      <c r="U407" s="2" t="str">
        <f>IF(Table1[[#This Row],[Net_Revenue]]&lt;Table1[[#This Row],[Total_Cost]], "Loss", "Gain")</f>
        <v>Gain</v>
      </c>
      <c r="V407" s="16">
        <f>IF(Table1[[#This Row],[Gain/Loss]]="Gain",Table1[[#This Row],[Quantity]], 0)</f>
        <v>9</v>
      </c>
      <c r="W407" s="16">
        <f>IF(Table1[[#This Row],[Gain/Loss]]="Loss",Table1[[#This Row],[Quantity]],0)</f>
        <v>0</v>
      </c>
      <c r="X407" s="16">
        <f>IF(OR(Table1[[#This Row],[Gain/Loss]]="Gain",Table1[[#This Row],[Gain/Loss]]="Loss"),Table1[[#This Row],[Quantity]],"")</f>
        <v>9</v>
      </c>
    </row>
    <row r="408" spans="1:24" x14ac:dyDescent="0.25">
      <c r="A408">
        <v>10407</v>
      </c>
      <c r="B408" s="1">
        <v>46064</v>
      </c>
      <c r="C408" s="1" t="str">
        <f>TEXT(Table1[[#This Row],[Order_Date]],"DD")</f>
        <v>11</v>
      </c>
      <c r="D408" s="1" t="str">
        <f>TEXT(Table1[[#This Row],[Order_Date]],"MMM")</f>
        <v>Feb</v>
      </c>
      <c r="E408" s="1" t="str">
        <f>TEXT(Table1[[#This Row],[Order_Date]],"YYYY")</f>
        <v>2026</v>
      </c>
      <c r="F408">
        <v>3494</v>
      </c>
      <c r="G408" t="s">
        <v>17</v>
      </c>
      <c r="H408" t="s">
        <v>18</v>
      </c>
      <c r="I408" t="s">
        <v>19</v>
      </c>
      <c r="J408" t="s">
        <v>27</v>
      </c>
      <c r="K408">
        <v>9</v>
      </c>
      <c r="L408" s="2">
        <v>136.41</v>
      </c>
      <c r="M408" s="3">
        <v>0</v>
      </c>
      <c r="N408" s="2">
        <v>1227.69</v>
      </c>
      <c r="O408" s="2">
        <v>0</v>
      </c>
      <c r="P408" s="2">
        <v>1227.69</v>
      </c>
      <c r="Q408" s="2">
        <v>99.43</v>
      </c>
      <c r="R408" s="2">
        <v>894.87</v>
      </c>
      <c r="S408" s="2">
        <v>332.81999999999903</v>
      </c>
      <c r="T408" s="3">
        <v>0.27109449453852297</v>
      </c>
      <c r="U408" s="2" t="str">
        <f>IF(Table1[[#This Row],[Net_Revenue]]&lt;Table1[[#This Row],[Total_Cost]], "Loss", "Gain")</f>
        <v>Gain</v>
      </c>
      <c r="V408" s="16">
        <f>IF(Table1[[#This Row],[Gain/Loss]]="Gain",Table1[[#This Row],[Quantity]], 0)</f>
        <v>9</v>
      </c>
      <c r="W408" s="16">
        <f>IF(Table1[[#This Row],[Gain/Loss]]="Loss",Table1[[#This Row],[Quantity]],0)</f>
        <v>0</v>
      </c>
      <c r="X408" s="16">
        <f>IF(OR(Table1[[#This Row],[Gain/Loss]]="Gain",Table1[[#This Row],[Gain/Loss]]="Loss"),Table1[[#This Row],[Quantity]],"")</f>
        <v>9</v>
      </c>
    </row>
    <row r="409" spans="1:24" x14ac:dyDescent="0.25">
      <c r="A409">
        <v>10408</v>
      </c>
      <c r="B409" s="1">
        <v>46065</v>
      </c>
      <c r="C409" s="1" t="str">
        <f>TEXT(Table1[[#This Row],[Order_Date]],"DD")</f>
        <v>12</v>
      </c>
      <c r="D409" s="1" t="str">
        <f>TEXT(Table1[[#This Row],[Order_Date]],"MMM")</f>
        <v>Feb</v>
      </c>
      <c r="E409" s="1" t="str">
        <f>TEXT(Table1[[#This Row],[Order_Date]],"YYYY")</f>
        <v>2026</v>
      </c>
      <c r="F409">
        <v>3380</v>
      </c>
      <c r="G409" t="s">
        <v>17</v>
      </c>
      <c r="H409" t="s">
        <v>18</v>
      </c>
      <c r="I409" t="s">
        <v>25</v>
      </c>
      <c r="J409" t="s">
        <v>22</v>
      </c>
      <c r="K409">
        <v>2</v>
      </c>
      <c r="L409" s="2">
        <v>189.57</v>
      </c>
      <c r="M409" s="3">
        <v>0.2</v>
      </c>
      <c r="N409" s="2">
        <v>379.14</v>
      </c>
      <c r="O409" s="2">
        <v>75.828000000000003</v>
      </c>
      <c r="P409" s="2">
        <v>303.31200000000001</v>
      </c>
      <c r="Q409" s="2">
        <v>50.35</v>
      </c>
      <c r="R409" s="2">
        <v>100.7</v>
      </c>
      <c r="S409" s="2">
        <v>202.61199999999999</v>
      </c>
      <c r="T409" s="3">
        <v>0.66799862847496894</v>
      </c>
      <c r="U409" s="2" t="str">
        <f>IF(Table1[[#This Row],[Net_Revenue]]&lt;Table1[[#This Row],[Total_Cost]], "Loss", "Gain")</f>
        <v>Gain</v>
      </c>
      <c r="V409" s="16">
        <f>IF(Table1[[#This Row],[Gain/Loss]]="Gain",Table1[[#This Row],[Quantity]], 0)</f>
        <v>2</v>
      </c>
      <c r="W409" s="16">
        <f>IF(Table1[[#This Row],[Gain/Loss]]="Loss",Table1[[#This Row],[Quantity]],0)</f>
        <v>0</v>
      </c>
      <c r="X409" s="16">
        <f>IF(OR(Table1[[#This Row],[Gain/Loss]]="Gain",Table1[[#This Row],[Gain/Loss]]="Loss"),Table1[[#This Row],[Quantity]],"")</f>
        <v>2</v>
      </c>
    </row>
    <row r="410" spans="1:24" x14ac:dyDescent="0.25">
      <c r="A410">
        <v>10409</v>
      </c>
      <c r="B410" s="1">
        <v>46066</v>
      </c>
      <c r="C410" s="1" t="str">
        <f>TEXT(Table1[[#This Row],[Order_Date]],"DD")</f>
        <v>13</v>
      </c>
      <c r="D410" s="1" t="str">
        <f>TEXT(Table1[[#This Row],[Order_Date]],"MMM")</f>
        <v>Feb</v>
      </c>
      <c r="E410" s="1" t="str">
        <f>TEXT(Table1[[#This Row],[Order_Date]],"YYYY")</f>
        <v>2026</v>
      </c>
      <c r="F410">
        <v>3645</v>
      </c>
      <c r="G410" t="s">
        <v>23</v>
      </c>
      <c r="H410" t="s">
        <v>24</v>
      </c>
      <c r="I410" t="s">
        <v>25</v>
      </c>
      <c r="J410" t="s">
        <v>22</v>
      </c>
      <c r="K410">
        <v>2</v>
      </c>
      <c r="L410" s="2">
        <v>133.97999999999999</v>
      </c>
      <c r="M410" s="3">
        <v>0</v>
      </c>
      <c r="N410" s="2">
        <v>267.95999999999998</v>
      </c>
      <c r="O410" s="2">
        <v>0</v>
      </c>
      <c r="P410" s="2">
        <v>267.95999999999998</v>
      </c>
      <c r="Q410" s="2">
        <v>93.17</v>
      </c>
      <c r="R410" s="2">
        <v>186.34</v>
      </c>
      <c r="S410" s="2">
        <v>81.619999999999905</v>
      </c>
      <c r="T410" s="3">
        <v>0.30459770114942503</v>
      </c>
      <c r="U410" s="2" t="str">
        <f>IF(Table1[[#This Row],[Net_Revenue]]&lt;Table1[[#This Row],[Total_Cost]], "Loss", "Gain")</f>
        <v>Gain</v>
      </c>
      <c r="V410" s="16">
        <f>IF(Table1[[#This Row],[Gain/Loss]]="Gain",Table1[[#This Row],[Quantity]], 0)</f>
        <v>2</v>
      </c>
      <c r="W410" s="16">
        <f>IF(Table1[[#This Row],[Gain/Loss]]="Loss",Table1[[#This Row],[Quantity]],0)</f>
        <v>0</v>
      </c>
      <c r="X410" s="16">
        <f>IF(OR(Table1[[#This Row],[Gain/Loss]]="Gain",Table1[[#This Row],[Gain/Loss]]="Loss"),Table1[[#This Row],[Quantity]],"")</f>
        <v>2</v>
      </c>
    </row>
    <row r="411" spans="1:24" x14ac:dyDescent="0.25">
      <c r="A411">
        <v>10410</v>
      </c>
      <c r="B411" s="1">
        <v>46067</v>
      </c>
      <c r="C411" s="1" t="str">
        <f>TEXT(Table1[[#This Row],[Order_Date]],"DD")</f>
        <v>14</v>
      </c>
      <c r="D411" s="1" t="str">
        <f>TEXT(Table1[[#This Row],[Order_Date]],"MMM")</f>
        <v>Feb</v>
      </c>
      <c r="E411" s="1" t="str">
        <f>TEXT(Table1[[#This Row],[Order_Date]],"YYYY")</f>
        <v>2026</v>
      </c>
      <c r="F411">
        <v>3104</v>
      </c>
      <c r="G411" t="s">
        <v>29</v>
      </c>
      <c r="H411" t="s">
        <v>24</v>
      </c>
      <c r="I411" t="s">
        <v>19</v>
      </c>
      <c r="J411" t="s">
        <v>27</v>
      </c>
      <c r="K411">
        <v>1</v>
      </c>
      <c r="L411" s="2">
        <v>42.94</v>
      </c>
      <c r="M411" s="3">
        <v>0</v>
      </c>
      <c r="N411" s="2">
        <v>42.94</v>
      </c>
      <c r="O411" s="2">
        <v>0</v>
      </c>
      <c r="P411" s="2">
        <v>42.94</v>
      </c>
      <c r="Q411" s="2">
        <v>147.63999999999999</v>
      </c>
      <c r="R411" s="2">
        <v>147.63999999999999</v>
      </c>
      <c r="S411" s="2">
        <v>-104.69999999999899</v>
      </c>
      <c r="T411" s="3">
        <v>-2.4382859804378199</v>
      </c>
      <c r="U411" s="2" t="str">
        <f>IF(Table1[[#This Row],[Net_Revenue]]&lt;Table1[[#This Row],[Total_Cost]], "Loss", "Gain")</f>
        <v>Loss</v>
      </c>
      <c r="V411" s="16">
        <f>IF(Table1[[#This Row],[Gain/Loss]]="Gain",Table1[[#This Row],[Quantity]], 0)</f>
        <v>0</v>
      </c>
      <c r="W411" s="16">
        <f>IF(Table1[[#This Row],[Gain/Loss]]="Loss",Table1[[#This Row],[Quantity]],0)</f>
        <v>1</v>
      </c>
      <c r="X411" s="16">
        <f>IF(OR(Table1[[#This Row],[Gain/Loss]]="Gain",Table1[[#This Row],[Gain/Loss]]="Loss"),Table1[[#This Row],[Quantity]],"")</f>
        <v>1</v>
      </c>
    </row>
    <row r="412" spans="1:24" x14ac:dyDescent="0.25">
      <c r="A412">
        <v>10411</v>
      </c>
      <c r="B412" s="1">
        <v>46068</v>
      </c>
      <c r="C412" s="1" t="str">
        <f>TEXT(Table1[[#This Row],[Order_Date]],"DD")</f>
        <v>15</v>
      </c>
      <c r="D412" s="1" t="str">
        <f>TEXT(Table1[[#This Row],[Order_Date]],"MMM")</f>
        <v>Feb</v>
      </c>
      <c r="E412" s="1" t="str">
        <f>TEXT(Table1[[#This Row],[Order_Date]],"YYYY")</f>
        <v>2026</v>
      </c>
      <c r="F412">
        <v>3605</v>
      </c>
      <c r="G412" t="s">
        <v>17</v>
      </c>
      <c r="H412" t="s">
        <v>24</v>
      </c>
      <c r="I412" t="s">
        <v>26</v>
      </c>
      <c r="J412" t="s">
        <v>31</v>
      </c>
      <c r="K412">
        <v>2</v>
      </c>
      <c r="L412" s="2">
        <v>38.93</v>
      </c>
      <c r="M412" s="3">
        <v>0.05</v>
      </c>
      <c r="N412" s="2">
        <v>77.86</v>
      </c>
      <c r="O412" s="2">
        <v>3.8929999999999998</v>
      </c>
      <c r="P412" s="2">
        <v>73.966999999999999</v>
      </c>
      <c r="Q412" s="2">
        <v>92.41</v>
      </c>
      <c r="R412" s="2">
        <v>184.82</v>
      </c>
      <c r="S412" s="2">
        <v>-110.85299999999999</v>
      </c>
      <c r="T412" s="3">
        <v>-1.4986818446063699</v>
      </c>
      <c r="U412" s="2" t="str">
        <f>IF(Table1[[#This Row],[Net_Revenue]]&lt;Table1[[#This Row],[Total_Cost]], "Loss", "Gain")</f>
        <v>Loss</v>
      </c>
      <c r="V412" s="16">
        <f>IF(Table1[[#This Row],[Gain/Loss]]="Gain",Table1[[#This Row],[Quantity]], 0)</f>
        <v>0</v>
      </c>
      <c r="W412" s="16">
        <f>IF(Table1[[#This Row],[Gain/Loss]]="Loss",Table1[[#This Row],[Quantity]],0)</f>
        <v>2</v>
      </c>
      <c r="X412" s="16">
        <f>IF(OR(Table1[[#This Row],[Gain/Loss]]="Gain",Table1[[#This Row],[Gain/Loss]]="Loss"),Table1[[#This Row],[Quantity]],"")</f>
        <v>2</v>
      </c>
    </row>
    <row r="413" spans="1:24" x14ac:dyDescent="0.25">
      <c r="A413">
        <v>10412</v>
      </c>
      <c r="B413" s="1">
        <v>46069</v>
      </c>
      <c r="C413" s="1" t="str">
        <f>TEXT(Table1[[#This Row],[Order_Date]],"DD")</f>
        <v>16</v>
      </c>
      <c r="D413" s="1" t="str">
        <f>TEXT(Table1[[#This Row],[Order_Date]],"MMM")</f>
        <v>Feb</v>
      </c>
      <c r="E413" s="1" t="str">
        <f>TEXT(Table1[[#This Row],[Order_Date]],"YYYY")</f>
        <v>2026</v>
      </c>
      <c r="F413">
        <v>3073</v>
      </c>
      <c r="G413" t="s">
        <v>21</v>
      </c>
      <c r="H413" t="s">
        <v>24</v>
      </c>
      <c r="I413" t="s">
        <v>33</v>
      </c>
      <c r="J413" t="s">
        <v>20</v>
      </c>
      <c r="K413">
        <v>7</v>
      </c>
      <c r="L413" s="2">
        <v>17.43</v>
      </c>
      <c r="M413" s="3">
        <v>0.1</v>
      </c>
      <c r="N413" s="2">
        <v>122.009999999999</v>
      </c>
      <c r="O413" s="2">
        <v>12.201000000000001</v>
      </c>
      <c r="P413" s="2">
        <v>109.809</v>
      </c>
      <c r="Q413" s="2">
        <v>63.91</v>
      </c>
      <c r="R413" s="2">
        <v>447.37</v>
      </c>
      <c r="S413" s="2">
        <v>-337.56099999999998</v>
      </c>
      <c r="T413" s="3">
        <v>-3.07407407407407</v>
      </c>
      <c r="U413" s="2" t="str">
        <f>IF(Table1[[#This Row],[Net_Revenue]]&lt;Table1[[#This Row],[Total_Cost]], "Loss", "Gain")</f>
        <v>Loss</v>
      </c>
      <c r="V413" s="16">
        <f>IF(Table1[[#This Row],[Gain/Loss]]="Gain",Table1[[#This Row],[Quantity]], 0)</f>
        <v>0</v>
      </c>
      <c r="W413" s="16">
        <f>IF(Table1[[#This Row],[Gain/Loss]]="Loss",Table1[[#This Row],[Quantity]],0)</f>
        <v>7</v>
      </c>
      <c r="X413" s="16">
        <f>IF(OR(Table1[[#This Row],[Gain/Loss]]="Gain",Table1[[#This Row],[Gain/Loss]]="Loss"),Table1[[#This Row],[Quantity]],"")</f>
        <v>7</v>
      </c>
    </row>
    <row r="414" spans="1:24" x14ac:dyDescent="0.25">
      <c r="A414">
        <v>10413</v>
      </c>
      <c r="B414" s="1">
        <v>46070</v>
      </c>
      <c r="C414" s="1" t="str">
        <f>TEXT(Table1[[#This Row],[Order_Date]],"DD")</f>
        <v>17</v>
      </c>
      <c r="D414" s="1" t="str">
        <f>TEXT(Table1[[#This Row],[Order_Date]],"MMM")</f>
        <v>Feb</v>
      </c>
      <c r="E414" s="1" t="str">
        <f>TEXT(Table1[[#This Row],[Order_Date]],"YYYY")</f>
        <v>2026</v>
      </c>
      <c r="F414">
        <v>3428</v>
      </c>
      <c r="G414" t="s">
        <v>29</v>
      </c>
      <c r="H414" t="s">
        <v>24</v>
      </c>
      <c r="I414" t="s">
        <v>25</v>
      </c>
      <c r="J414" t="s">
        <v>32</v>
      </c>
      <c r="K414">
        <v>8</v>
      </c>
      <c r="L414" s="2">
        <v>82.85</v>
      </c>
      <c r="M414" s="3">
        <v>0.1</v>
      </c>
      <c r="N414" s="2">
        <v>662.8</v>
      </c>
      <c r="O414" s="2">
        <v>66.28</v>
      </c>
      <c r="P414" s="2">
        <v>596.52</v>
      </c>
      <c r="Q414" s="2">
        <v>103.81</v>
      </c>
      <c r="R414" s="2">
        <v>830.48</v>
      </c>
      <c r="S414" s="2">
        <v>-233.96</v>
      </c>
      <c r="T414" s="3">
        <v>-0.39220814054851405</v>
      </c>
      <c r="U414" s="2" t="str">
        <f>IF(Table1[[#This Row],[Net_Revenue]]&lt;Table1[[#This Row],[Total_Cost]], "Loss", "Gain")</f>
        <v>Loss</v>
      </c>
      <c r="V414" s="16">
        <f>IF(Table1[[#This Row],[Gain/Loss]]="Gain",Table1[[#This Row],[Quantity]], 0)</f>
        <v>0</v>
      </c>
      <c r="W414" s="16">
        <f>IF(Table1[[#This Row],[Gain/Loss]]="Loss",Table1[[#This Row],[Quantity]],0)</f>
        <v>8</v>
      </c>
      <c r="X414" s="16">
        <f>IF(OR(Table1[[#This Row],[Gain/Loss]]="Gain",Table1[[#This Row],[Gain/Loss]]="Loss"),Table1[[#This Row],[Quantity]],"")</f>
        <v>8</v>
      </c>
    </row>
    <row r="415" spans="1:24" x14ac:dyDescent="0.25">
      <c r="A415">
        <v>10414</v>
      </c>
      <c r="B415" s="1">
        <v>46071</v>
      </c>
      <c r="C415" s="1" t="str">
        <f>TEXT(Table1[[#This Row],[Order_Date]],"DD")</f>
        <v>18</v>
      </c>
      <c r="D415" s="1" t="str">
        <f>TEXT(Table1[[#This Row],[Order_Date]],"MMM")</f>
        <v>Feb</v>
      </c>
      <c r="E415" s="1" t="str">
        <f>TEXT(Table1[[#This Row],[Order_Date]],"YYYY")</f>
        <v>2026</v>
      </c>
      <c r="F415">
        <v>3695</v>
      </c>
      <c r="G415" t="s">
        <v>23</v>
      </c>
      <c r="H415" t="s">
        <v>24</v>
      </c>
      <c r="I415" t="s">
        <v>25</v>
      </c>
      <c r="J415" t="s">
        <v>32</v>
      </c>
      <c r="K415">
        <v>1</v>
      </c>
      <c r="L415" s="2">
        <v>41.33</v>
      </c>
      <c r="M415" s="3">
        <v>0.15</v>
      </c>
      <c r="N415" s="2">
        <v>41.33</v>
      </c>
      <c r="O415" s="2">
        <v>6.1994999999999996</v>
      </c>
      <c r="P415" s="2">
        <v>35.130499999999998</v>
      </c>
      <c r="Q415" s="2">
        <v>114.66</v>
      </c>
      <c r="R415" s="2">
        <v>114.66</v>
      </c>
      <c r="S415" s="2">
        <v>-79.529499999999999</v>
      </c>
      <c r="T415" s="3">
        <v>-2.26383057457195</v>
      </c>
      <c r="U415" s="2" t="str">
        <f>IF(Table1[[#This Row],[Net_Revenue]]&lt;Table1[[#This Row],[Total_Cost]], "Loss", "Gain")</f>
        <v>Loss</v>
      </c>
      <c r="V415" s="16">
        <f>IF(Table1[[#This Row],[Gain/Loss]]="Gain",Table1[[#This Row],[Quantity]], 0)</f>
        <v>0</v>
      </c>
      <c r="W415" s="16">
        <f>IF(Table1[[#This Row],[Gain/Loss]]="Loss",Table1[[#This Row],[Quantity]],0)</f>
        <v>1</v>
      </c>
      <c r="X415" s="16">
        <f>IF(OR(Table1[[#This Row],[Gain/Loss]]="Gain",Table1[[#This Row],[Gain/Loss]]="Loss"),Table1[[#This Row],[Quantity]],"")</f>
        <v>1</v>
      </c>
    </row>
    <row r="416" spans="1:24" x14ac:dyDescent="0.25">
      <c r="A416">
        <v>10415</v>
      </c>
      <c r="B416" s="1">
        <v>46072</v>
      </c>
      <c r="C416" s="1" t="str">
        <f>TEXT(Table1[[#This Row],[Order_Date]],"DD")</f>
        <v>19</v>
      </c>
      <c r="D416" s="1" t="str">
        <f>TEXT(Table1[[#This Row],[Order_Date]],"MMM")</f>
        <v>Feb</v>
      </c>
      <c r="E416" s="1" t="str">
        <f>TEXT(Table1[[#This Row],[Order_Date]],"YYYY")</f>
        <v>2026</v>
      </c>
      <c r="F416">
        <v>3295</v>
      </c>
      <c r="G416" t="s">
        <v>17</v>
      </c>
      <c r="H416" t="s">
        <v>18</v>
      </c>
      <c r="I416" t="s">
        <v>19</v>
      </c>
      <c r="J416" t="s">
        <v>27</v>
      </c>
      <c r="K416">
        <v>7</v>
      </c>
      <c r="L416" s="2">
        <v>203.96</v>
      </c>
      <c r="M416" s="3">
        <v>0.05</v>
      </c>
      <c r="N416" s="2">
        <v>1427.72</v>
      </c>
      <c r="O416" s="2">
        <v>71.385999999999996</v>
      </c>
      <c r="P416" s="2">
        <v>1356.3340000000001</v>
      </c>
      <c r="Q416" s="2">
        <v>104.56</v>
      </c>
      <c r="R416" s="2">
        <v>731.92</v>
      </c>
      <c r="S416" s="2">
        <v>624.41399999999999</v>
      </c>
      <c r="T416" s="3">
        <v>0.46036890618387505</v>
      </c>
      <c r="U416" s="2" t="str">
        <f>IF(Table1[[#This Row],[Net_Revenue]]&lt;Table1[[#This Row],[Total_Cost]], "Loss", "Gain")</f>
        <v>Gain</v>
      </c>
      <c r="V416" s="16">
        <f>IF(Table1[[#This Row],[Gain/Loss]]="Gain",Table1[[#This Row],[Quantity]], 0)</f>
        <v>7</v>
      </c>
      <c r="W416" s="16">
        <f>IF(Table1[[#This Row],[Gain/Loss]]="Loss",Table1[[#This Row],[Quantity]],0)</f>
        <v>0</v>
      </c>
      <c r="X416" s="16">
        <f>IF(OR(Table1[[#This Row],[Gain/Loss]]="Gain",Table1[[#This Row],[Gain/Loss]]="Loss"),Table1[[#This Row],[Quantity]],"")</f>
        <v>7</v>
      </c>
    </row>
    <row r="417" spans="1:24" x14ac:dyDescent="0.25">
      <c r="A417">
        <v>10416</v>
      </c>
      <c r="B417" s="1">
        <v>46073</v>
      </c>
      <c r="C417" s="1" t="str">
        <f>TEXT(Table1[[#This Row],[Order_Date]],"DD")</f>
        <v>20</v>
      </c>
      <c r="D417" s="1" t="str">
        <f>TEXT(Table1[[#This Row],[Order_Date]],"MMM")</f>
        <v>Feb</v>
      </c>
      <c r="E417" s="1" t="str">
        <f>TEXT(Table1[[#This Row],[Order_Date]],"YYYY")</f>
        <v>2026</v>
      </c>
      <c r="F417">
        <v>3206</v>
      </c>
      <c r="G417" t="s">
        <v>21</v>
      </c>
      <c r="H417" t="s">
        <v>24</v>
      </c>
      <c r="I417" t="s">
        <v>25</v>
      </c>
      <c r="J417" t="s">
        <v>22</v>
      </c>
      <c r="K417">
        <v>2</v>
      </c>
      <c r="L417" s="2">
        <v>130.84</v>
      </c>
      <c r="M417" s="3">
        <v>0.1</v>
      </c>
      <c r="N417" s="2">
        <v>261.68</v>
      </c>
      <c r="O417" s="2">
        <v>26.167999999999999</v>
      </c>
      <c r="P417" s="2">
        <v>235.512</v>
      </c>
      <c r="Q417" s="2">
        <v>35.61</v>
      </c>
      <c r="R417" s="2">
        <v>71.22</v>
      </c>
      <c r="S417" s="2">
        <v>164.292</v>
      </c>
      <c r="T417" s="3">
        <v>0.69759502700499298</v>
      </c>
      <c r="U417" s="2" t="str">
        <f>IF(Table1[[#This Row],[Net_Revenue]]&lt;Table1[[#This Row],[Total_Cost]], "Loss", "Gain")</f>
        <v>Gain</v>
      </c>
      <c r="V417" s="16">
        <f>IF(Table1[[#This Row],[Gain/Loss]]="Gain",Table1[[#This Row],[Quantity]], 0)</f>
        <v>2</v>
      </c>
      <c r="W417" s="16">
        <f>IF(Table1[[#This Row],[Gain/Loss]]="Loss",Table1[[#This Row],[Quantity]],0)</f>
        <v>0</v>
      </c>
      <c r="X417" s="16">
        <f>IF(OR(Table1[[#This Row],[Gain/Loss]]="Gain",Table1[[#This Row],[Gain/Loss]]="Loss"),Table1[[#This Row],[Quantity]],"")</f>
        <v>2</v>
      </c>
    </row>
    <row r="418" spans="1:24" x14ac:dyDescent="0.25">
      <c r="A418">
        <v>10417</v>
      </c>
      <c r="B418" s="1">
        <v>46074</v>
      </c>
      <c r="C418" s="1" t="str">
        <f>TEXT(Table1[[#This Row],[Order_Date]],"DD")</f>
        <v>21</v>
      </c>
      <c r="D418" s="1" t="str">
        <f>TEXT(Table1[[#This Row],[Order_Date]],"MMM")</f>
        <v>Feb</v>
      </c>
      <c r="E418" s="1" t="str">
        <f>TEXT(Table1[[#This Row],[Order_Date]],"YYYY")</f>
        <v>2026</v>
      </c>
      <c r="F418">
        <v>3966</v>
      </c>
      <c r="G418" t="s">
        <v>21</v>
      </c>
      <c r="H418" t="s">
        <v>18</v>
      </c>
      <c r="I418" t="s">
        <v>26</v>
      </c>
      <c r="J418" t="s">
        <v>30</v>
      </c>
      <c r="K418">
        <v>2</v>
      </c>
      <c r="L418" s="2">
        <v>147.21</v>
      </c>
      <c r="M418" s="3">
        <v>0.2</v>
      </c>
      <c r="N418" s="2">
        <v>294.42</v>
      </c>
      <c r="O418" s="2">
        <v>58.884</v>
      </c>
      <c r="P418" s="2">
        <v>235.536</v>
      </c>
      <c r="Q418" s="2">
        <v>8.0299999999999994</v>
      </c>
      <c r="R418" s="2">
        <v>16.059999999999999</v>
      </c>
      <c r="S418" s="2">
        <v>219.476</v>
      </c>
      <c r="T418" s="3">
        <v>0.931815094083282</v>
      </c>
      <c r="U418" s="2" t="str">
        <f>IF(Table1[[#This Row],[Net_Revenue]]&lt;Table1[[#This Row],[Total_Cost]], "Loss", "Gain")</f>
        <v>Gain</v>
      </c>
      <c r="V418" s="16">
        <f>IF(Table1[[#This Row],[Gain/Loss]]="Gain",Table1[[#This Row],[Quantity]], 0)</f>
        <v>2</v>
      </c>
      <c r="W418" s="16">
        <f>IF(Table1[[#This Row],[Gain/Loss]]="Loss",Table1[[#This Row],[Quantity]],0)</f>
        <v>0</v>
      </c>
      <c r="X418" s="16">
        <f>IF(OR(Table1[[#This Row],[Gain/Loss]]="Gain",Table1[[#This Row],[Gain/Loss]]="Loss"),Table1[[#This Row],[Quantity]],"")</f>
        <v>2</v>
      </c>
    </row>
    <row r="419" spans="1:24" x14ac:dyDescent="0.25">
      <c r="A419">
        <v>10418</v>
      </c>
      <c r="B419" s="1">
        <v>46075</v>
      </c>
      <c r="C419" s="1" t="str">
        <f>TEXT(Table1[[#This Row],[Order_Date]],"DD")</f>
        <v>22</v>
      </c>
      <c r="D419" s="1" t="str">
        <f>TEXT(Table1[[#This Row],[Order_Date]],"MMM")</f>
        <v>Feb</v>
      </c>
      <c r="E419" s="1" t="str">
        <f>TEXT(Table1[[#This Row],[Order_Date]],"YYYY")</f>
        <v>2026</v>
      </c>
      <c r="F419">
        <v>3190</v>
      </c>
      <c r="G419" t="s">
        <v>23</v>
      </c>
      <c r="H419" t="s">
        <v>24</v>
      </c>
      <c r="I419" t="s">
        <v>19</v>
      </c>
      <c r="J419" t="s">
        <v>27</v>
      </c>
      <c r="K419">
        <v>1</v>
      </c>
      <c r="L419" s="2">
        <v>120.22</v>
      </c>
      <c r="M419" s="3">
        <v>0</v>
      </c>
      <c r="N419" s="2">
        <v>120.22</v>
      </c>
      <c r="O419" s="2">
        <v>0</v>
      </c>
      <c r="P419" s="2">
        <v>120.22</v>
      </c>
      <c r="Q419" s="2">
        <v>50.95</v>
      </c>
      <c r="R419" s="2">
        <v>50.95</v>
      </c>
      <c r="S419" s="2">
        <v>69.27</v>
      </c>
      <c r="T419" s="3">
        <v>0.57619364498419501</v>
      </c>
      <c r="U419" s="2" t="str">
        <f>IF(Table1[[#This Row],[Net_Revenue]]&lt;Table1[[#This Row],[Total_Cost]], "Loss", "Gain")</f>
        <v>Gain</v>
      </c>
      <c r="V419" s="16">
        <f>IF(Table1[[#This Row],[Gain/Loss]]="Gain",Table1[[#This Row],[Quantity]], 0)</f>
        <v>1</v>
      </c>
      <c r="W419" s="16">
        <f>IF(Table1[[#This Row],[Gain/Loss]]="Loss",Table1[[#This Row],[Quantity]],0)</f>
        <v>0</v>
      </c>
      <c r="X419" s="16">
        <f>IF(OR(Table1[[#This Row],[Gain/Loss]]="Gain",Table1[[#This Row],[Gain/Loss]]="Loss"),Table1[[#This Row],[Quantity]],"")</f>
        <v>1</v>
      </c>
    </row>
    <row r="420" spans="1:24" x14ac:dyDescent="0.25">
      <c r="A420">
        <v>10419</v>
      </c>
      <c r="B420" s="1">
        <v>46076</v>
      </c>
      <c r="C420" s="1" t="str">
        <f>TEXT(Table1[[#This Row],[Order_Date]],"DD")</f>
        <v>23</v>
      </c>
      <c r="D420" s="1" t="str">
        <f>TEXT(Table1[[#This Row],[Order_Date]],"MMM")</f>
        <v>Feb</v>
      </c>
      <c r="E420" s="1" t="str">
        <f>TEXT(Table1[[#This Row],[Order_Date]],"YYYY")</f>
        <v>2026</v>
      </c>
      <c r="F420">
        <v>3386</v>
      </c>
      <c r="G420" t="s">
        <v>17</v>
      </c>
      <c r="H420" t="s">
        <v>24</v>
      </c>
      <c r="I420" t="s">
        <v>26</v>
      </c>
      <c r="J420" t="s">
        <v>31</v>
      </c>
      <c r="K420">
        <v>1</v>
      </c>
      <c r="L420" s="2">
        <v>168.83</v>
      </c>
      <c r="M420" s="3">
        <v>0.1</v>
      </c>
      <c r="N420" s="2">
        <v>168.83</v>
      </c>
      <c r="O420" s="2">
        <v>16.882999999999999</v>
      </c>
      <c r="P420" s="2">
        <v>151.947</v>
      </c>
      <c r="Q420" s="2">
        <v>68.03</v>
      </c>
      <c r="R420" s="2">
        <v>68.03</v>
      </c>
      <c r="S420" s="2">
        <v>83.917000000000002</v>
      </c>
      <c r="T420" s="3">
        <v>0.55227809696802099</v>
      </c>
      <c r="U420" s="2" t="str">
        <f>IF(Table1[[#This Row],[Net_Revenue]]&lt;Table1[[#This Row],[Total_Cost]], "Loss", "Gain")</f>
        <v>Gain</v>
      </c>
      <c r="V420" s="16">
        <f>IF(Table1[[#This Row],[Gain/Loss]]="Gain",Table1[[#This Row],[Quantity]], 0)</f>
        <v>1</v>
      </c>
      <c r="W420" s="16">
        <f>IF(Table1[[#This Row],[Gain/Loss]]="Loss",Table1[[#This Row],[Quantity]],0)</f>
        <v>0</v>
      </c>
      <c r="X420" s="16">
        <f>IF(OR(Table1[[#This Row],[Gain/Loss]]="Gain",Table1[[#This Row],[Gain/Loss]]="Loss"),Table1[[#This Row],[Quantity]],"")</f>
        <v>1</v>
      </c>
    </row>
    <row r="421" spans="1:24" x14ac:dyDescent="0.25">
      <c r="A421">
        <v>10420</v>
      </c>
      <c r="B421" s="1">
        <v>46077</v>
      </c>
      <c r="C421" s="1" t="str">
        <f>TEXT(Table1[[#This Row],[Order_Date]],"DD")</f>
        <v>24</v>
      </c>
      <c r="D421" s="1" t="str">
        <f>TEXT(Table1[[#This Row],[Order_Date]],"MMM")</f>
        <v>Feb</v>
      </c>
      <c r="E421" s="1" t="str">
        <f>TEXT(Table1[[#This Row],[Order_Date]],"YYYY")</f>
        <v>2026</v>
      </c>
      <c r="F421">
        <v>3549</v>
      </c>
      <c r="G421" t="s">
        <v>21</v>
      </c>
      <c r="H421" t="s">
        <v>18</v>
      </c>
      <c r="I421" t="s">
        <v>19</v>
      </c>
      <c r="J421" t="s">
        <v>27</v>
      </c>
      <c r="K421">
        <v>4</v>
      </c>
      <c r="L421" s="2">
        <v>135.77000000000001</v>
      </c>
      <c r="M421" s="3">
        <v>0.15</v>
      </c>
      <c r="N421" s="2">
        <v>543.08000000000004</v>
      </c>
      <c r="O421" s="2">
        <v>81.462000000000003</v>
      </c>
      <c r="P421" s="2">
        <v>461.61799999999999</v>
      </c>
      <c r="Q421" s="2">
        <v>125.54</v>
      </c>
      <c r="R421" s="2">
        <v>502.16</v>
      </c>
      <c r="S421" s="2">
        <v>-40.541999999999902</v>
      </c>
      <c r="T421" s="3">
        <v>-8.7825864675987408E-2</v>
      </c>
      <c r="U421" s="2" t="str">
        <f>IF(Table1[[#This Row],[Net_Revenue]]&lt;Table1[[#This Row],[Total_Cost]], "Loss", "Gain")</f>
        <v>Loss</v>
      </c>
      <c r="V421" s="16">
        <f>IF(Table1[[#This Row],[Gain/Loss]]="Gain",Table1[[#This Row],[Quantity]], 0)</f>
        <v>0</v>
      </c>
      <c r="W421" s="16">
        <f>IF(Table1[[#This Row],[Gain/Loss]]="Loss",Table1[[#This Row],[Quantity]],0)</f>
        <v>4</v>
      </c>
      <c r="X421" s="16">
        <f>IF(OR(Table1[[#This Row],[Gain/Loss]]="Gain",Table1[[#This Row],[Gain/Loss]]="Loss"),Table1[[#This Row],[Quantity]],"")</f>
        <v>4</v>
      </c>
    </row>
    <row r="422" spans="1:24" x14ac:dyDescent="0.25">
      <c r="A422">
        <v>10421</v>
      </c>
      <c r="B422" s="1">
        <v>46078</v>
      </c>
      <c r="C422" s="1" t="str">
        <f>TEXT(Table1[[#This Row],[Order_Date]],"DD")</f>
        <v>25</v>
      </c>
      <c r="D422" s="1" t="str">
        <f>TEXT(Table1[[#This Row],[Order_Date]],"MMM")</f>
        <v>Feb</v>
      </c>
      <c r="E422" s="1" t="str">
        <f>TEXT(Table1[[#This Row],[Order_Date]],"YYYY")</f>
        <v>2026</v>
      </c>
      <c r="F422">
        <v>3342</v>
      </c>
      <c r="G422" t="s">
        <v>29</v>
      </c>
      <c r="H422" t="s">
        <v>18</v>
      </c>
      <c r="I422" t="s">
        <v>25</v>
      </c>
      <c r="J422" t="s">
        <v>32</v>
      </c>
      <c r="K422">
        <v>5</v>
      </c>
      <c r="L422" s="2">
        <v>234.23</v>
      </c>
      <c r="M422" s="3">
        <v>0.2</v>
      </c>
      <c r="N422" s="2">
        <v>1171.1499999999901</v>
      </c>
      <c r="O422" s="2">
        <v>234.23</v>
      </c>
      <c r="P422" s="2">
        <v>936.91999999999905</v>
      </c>
      <c r="Q422" s="2">
        <v>17.809999999999999</v>
      </c>
      <c r="R422" s="2">
        <v>89.05</v>
      </c>
      <c r="S422" s="2">
        <v>847.86999999999898</v>
      </c>
      <c r="T422" s="3">
        <v>0.90495453187038388</v>
      </c>
      <c r="U422" s="2" t="str">
        <f>IF(Table1[[#This Row],[Net_Revenue]]&lt;Table1[[#This Row],[Total_Cost]], "Loss", "Gain")</f>
        <v>Gain</v>
      </c>
      <c r="V422" s="16">
        <f>IF(Table1[[#This Row],[Gain/Loss]]="Gain",Table1[[#This Row],[Quantity]], 0)</f>
        <v>5</v>
      </c>
      <c r="W422" s="16">
        <f>IF(Table1[[#This Row],[Gain/Loss]]="Loss",Table1[[#This Row],[Quantity]],0)</f>
        <v>0</v>
      </c>
      <c r="X422" s="16">
        <f>IF(OR(Table1[[#This Row],[Gain/Loss]]="Gain",Table1[[#This Row],[Gain/Loss]]="Loss"),Table1[[#This Row],[Quantity]],"")</f>
        <v>5</v>
      </c>
    </row>
    <row r="423" spans="1:24" x14ac:dyDescent="0.25">
      <c r="A423">
        <v>10422</v>
      </c>
      <c r="B423" s="1">
        <v>46079</v>
      </c>
      <c r="C423" s="1" t="str">
        <f>TEXT(Table1[[#This Row],[Order_Date]],"DD")</f>
        <v>26</v>
      </c>
      <c r="D423" s="1" t="str">
        <f>TEXT(Table1[[#This Row],[Order_Date]],"MMM")</f>
        <v>Feb</v>
      </c>
      <c r="E423" s="1" t="str">
        <f>TEXT(Table1[[#This Row],[Order_Date]],"YYYY")</f>
        <v>2026</v>
      </c>
      <c r="F423">
        <v>3241</v>
      </c>
      <c r="G423" t="s">
        <v>29</v>
      </c>
      <c r="H423" t="s">
        <v>24</v>
      </c>
      <c r="I423" t="s">
        <v>25</v>
      </c>
      <c r="J423" t="s">
        <v>22</v>
      </c>
      <c r="K423">
        <v>8</v>
      </c>
      <c r="L423" s="2">
        <v>212</v>
      </c>
      <c r="M423" s="3">
        <v>0.15</v>
      </c>
      <c r="N423" s="2">
        <v>1696</v>
      </c>
      <c r="O423" s="2">
        <v>254.39999999999901</v>
      </c>
      <c r="P423" s="2">
        <v>1441.6</v>
      </c>
      <c r="Q423" s="2">
        <v>127.33</v>
      </c>
      <c r="R423" s="2">
        <v>1018.64</v>
      </c>
      <c r="S423" s="2">
        <v>422.95999999999901</v>
      </c>
      <c r="T423" s="3">
        <v>0.293396226415094</v>
      </c>
      <c r="U423" s="2" t="str">
        <f>IF(Table1[[#This Row],[Net_Revenue]]&lt;Table1[[#This Row],[Total_Cost]], "Loss", "Gain")</f>
        <v>Gain</v>
      </c>
      <c r="V423" s="16">
        <f>IF(Table1[[#This Row],[Gain/Loss]]="Gain",Table1[[#This Row],[Quantity]], 0)</f>
        <v>8</v>
      </c>
      <c r="W423" s="16">
        <f>IF(Table1[[#This Row],[Gain/Loss]]="Loss",Table1[[#This Row],[Quantity]],0)</f>
        <v>0</v>
      </c>
      <c r="X423" s="16">
        <f>IF(OR(Table1[[#This Row],[Gain/Loss]]="Gain",Table1[[#This Row],[Gain/Loss]]="Loss"),Table1[[#This Row],[Quantity]],"")</f>
        <v>8</v>
      </c>
    </row>
    <row r="424" spans="1:24" x14ac:dyDescent="0.25">
      <c r="A424">
        <v>10423</v>
      </c>
      <c r="B424" s="1">
        <v>46080</v>
      </c>
      <c r="C424" s="1" t="str">
        <f>TEXT(Table1[[#This Row],[Order_Date]],"DD")</f>
        <v>27</v>
      </c>
      <c r="D424" s="1" t="str">
        <f>TEXT(Table1[[#This Row],[Order_Date]],"MMM")</f>
        <v>Feb</v>
      </c>
      <c r="E424" s="1" t="str">
        <f>TEXT(Table1[[#This Row],[Order_Date]],"YYYY")</f>
        <v>2026</v>
      </c>
      <c r="F424">
        <v>3814</v>
      </c>
      <c r="G424" t="s">
        <v>29</v>
      </c>
      <c r="H424" t="s">
        <v>24</v>
      </c>
      <c r="I424" t="s">
        <v>25</v>
      </c>
      <c r="J424" t="s">
        <v>32</v>
      </c>
      <c r="K424">
        <v>8</v>
      </c>
      <c r="L424" s="2">
        <v>54.55</v>
      </c>
      <c r="M424" s="3">
        <v>0.1</v>
      </c>
      <c r="N424" s="2">
        <v>436.4</v>
      </c>
      <c r="O424" s="2">
        <v>43.64</v>
      </c>
      <c r="P424" s="2">
        <v>392.76</v>
      </c>
      <c r="Q424" s="2">
        <v>13.62</v>
      </c>
      <c r="R424" s="2">
        <v>108.96</v>
      </c>
      <c r="S424" s="2">
        <v>283.8</v>
      </c>
      <c r="T424" s="3">
        <v>0.72257867399938902</v>
      </c>
      <c r="U424" s="2" t="str">
        <f>IF(Table1[[#This Row],[Net_Revenue]]&lt;Table1[[#This Row],[Total_Cost]], "Loss", "Gain")</f>
        <v>Gain</v>
      </c>
      <c r="V424" s="16">
        <f>IF(Table1[[#This Row],[Gain/Loss]]="Gain",Table1[[#This Row],[Quantity]], 0)</f>
        <v>8</v>
      </c>
      <c r="W424" s="16">
        <f>IF(Table1[[#This Row],[Gain/Loss]]="Loss",Table1[[#This Row],[Quantity]],0)</f>
        <v>0</v>
      </c>
      <c r="X424" s="16">
        <f>IF(OR(Table1[[#This Row],[Gain/Loss]]="Gain",Table1[[#This Row],[Gain/Loss]]="Loss"),Table1[[#This Row],[Quantity]],"")</f>
        <v>8</v>
      </c>
    </row>
    <row r="425" spans="1:24" x14ac:dyDescent="0.25">
      <c r="A425">
        <v>10424</v>
      </c>
      <c r="B425" s="1">
        <v>46081</v>
      </c>
      <c r="C425" s="1" t="str">
        <f>TEXT(Table1[[#This Row],[Order_Date]],"DD")</f>
        <v>28</v>
      </c>
      <c r="D425" s="1" t="str">
        <f>TEXT(Table1[[#This Row],[Order_Date]],"MMM")</f>
        <v>Feb</v>
      </c>
      <c r="E425" s="1" t="str">
        <f>TEXT(Table1[[#This Row],[Order_Date]],"YYYY")</f>
        <v>2026</v>
      </c>
      <c r="F425">
        <v>3265</v>
      </c>
      <c r="G425" t="s">
        <v>17</v>
      </c>
      <c r="H425" t="s">
        <v>24</v>
      </c>
      <c r="I425" t="s">
        <v>25</v>
      </c>
      <c r="J425" t="s">
        <v>32</v>
      </c>
      <c r="K425">
        <v>8</v>
      </c>
      <c r="L425" s="2">
        <v>219.66</v>
      </c>
      <c r="M425" s="3">
        <v>0.1</v>
      </c>
      <c r="N425" s="2">
        <v>1757.28</v>
      </c>
      <c r="O425" s="2">
        <v>175.72800000000001</v>
      </c>
      <c r="P425" s="2">
        <v>1581.5519999999999</v>
      </c>
      <c r="Q425" s="2">
        <v>50.52</v>
      </c>
      <c r="R425" s="2">
        <v>404.16</v>
      </c>
      <c r="S425" s="2">
        <v>1177.39199999999</v>
      </c>
      <c r="T425" s="3">
        <v>0.74445354942486797</v>
      </c>
      <c r="U425" s="2" t="str">
        <f>IF(Table1[[#This Row],[Net_Revenue]]&lt;Table1[[#This Row],[Total_Cost]], "Loss", "Gain")</f>
        <v>Gain</v>
      </c>
      <c r="V425" s="16">
        <f>IF(Table1[[#This Row],[Gain/Loss]]="Gain",Table1[[#This Row],[Quantity]], 0)</f>
        <v>8</v>
      </c>
      <c r="W425" s="16">
        <f>IF(Table1[[#This Row],[Gain/Loss]]="Loss",Table1[[#This Row],[Quantity]],0)</f>
        <v>0</v>
      </c>
      <c r="X425" s="16">
        <f>IF(OR(Table1[[#This Row],[Gain/Loss]]="Gain",Table1[[#This Row],[Gain/Loss]]="Loss"),Table1[[#This Row],[Quantity]],"")</f>
        <v>8</v>
      </c>
    </row>
    <row r="426" spans="1:24" x14ac:dyDescent="0.25">
      <c r="A426">
        <v>10425</v>
      </c>
      <c r="B426" s="1">
        <v>46082</v>
      </c>
      <c r="C426" s="1" t="str">
        <f>TEXT(Table1[[#This Row],[Order_Date]],"DD")</f>
        <v>01</v>
      </c>
      <c r="D426" s="1" t="str">
        <f>TEXT(Table1[[#This Row],[Order_Date]],"MMM")</f>
        <v>Mar</v>
      </c>
      <c r="E426" s="1" t="str">
        <f>TEXT(Table1[[#This Row],[Order_Date]],"YYYY")</f>
        <v>2026</v>
      </c>
      <c r="F426">
        <v>3675</v>
      </c>
      <c r="G426" t="s">
        <v>29</v>
      </c>
      <c r="H426" t="s">
        <v>24</v>
      </c>
      <c r="I426" t="s">
        <v>19</v>
      </c>
      <c r="J426" t="s">
        <v>27</v>
      </c>
      <c r="K426">
        <v>2</v>
      </c>
      <c r="L426" s="2">
        <v>122.67</v>
      </c>
      <c r="M426" s="3">
        <v>0</v>
      </c>
      <c r="N426" s="2">
        <v>245.34</v>
      </c>
      <c r="O426" s="2">
        <v>0</v>
      </c>
      <c r="P426" s="2">
        <v>245.34</v>
      </c>
      <c r="Q426" s="2">
        <v>63.59</v>
      </c>
      <c r="R426" s="2">
        <v>127.18</v>
      </c>
      <c r="S426" s="2">
        <v>118.16</v>
      </c>
      <c r="T426" s="3">
        <v>0.48161734735469103</v>
      </c>
      <c r="U426" s="2" t="str">
        <f>IF(Table1[[#This Row],[Net_Revenue]]&lt;Table1[[#This Row],[Total_Cost]], "Loss", "Gain")</f>
        <v>Gain</v>
      </c>
      <c r="V426" s="16">
        <f>IF(Table1[[#This Row],[Gain/Loss]]="Gain",Table1[[#This Row],[Quantity]], 0)</f>
        <v>2</v>
      </c>
      <c r="W426" s="16">
        <f>IF(Table1[[#This Row],[Gain/Loss]]="Loss",Table1[[#This Row],[Quantity]],0)</f>
        <v>0</v>
      </c>
      <c r="X426" s="16">
        <f>IF(OR(Table1[[#This Row],[Gain/Loss]]="Gain",Table1[[#This Row],[Gain/Loss]]="Loss"),Table1[[#This Row],[Quantity]],"")</f>
        <v>2</v>
      </c>
    </row>
    <row r="427" spans="1:24" x14ac:dyDescent="0.25">
      <c r="A427">
        <v>10426</v>
      </c>
      <c r="B427" s="1">
        <v>46083</v>
      </c>
      <c r="C427" s="1" t="str">
        <f>TEXT(Table1[[#This Row],[Order_Date]],"DD")</f>
        <v>02</v>
      </c>
      <c r="D427" s="1" t="str">
        <f>TEXT(Table1[[#This Row],[Order_Date]],"MMM")</f>
        <v>Mar</v>
      </c>
      <c r="E427" s="1" t="str">
        <f>TEXT(Table1[[#This Row],[Order_Date]],"YYYY")</f>
        <v>2026</v>
      </c>
      <c r="F427">
        <v>3527</v>
      </c>
      <c r="G427" t="s">
        <v>21</v>
      </c>
      <c r="H427" t="s">
        <v>24</v>
      </c>
      <c r="I427" t="s">
        <v>19</v>
      </c>
      <c r="J427" t="s">
        <v>27</v>
      </c>
      <c r="K427">
        <v>1</v>
      </c>
      <c r="L427" s="2">
        <v>242.37</v>
      </c>
      <c r="M427" s="3">
        <v>0.05</v>
      </c>
      <c r="N427" s="2">
        <v>242.37</v>
      </c>
      <c r="O427" s="2">
        <v>12.118499999999999</v>
      </c>
      <c r="P427" s="2">
        <v>230.25149999999999</v>
      </c>
      <c r="Q427" s="2">
        <v>140.1</v>
      </c>
      <c r="R427" s="2">
        <v>140.1</v>
      </c>
      <c r="S427" s="2">
        <v>90.151499999999999</v>
      </c>
      <c r="T427" s="3">
        <v>0.39153490856737</v>
      </c>
      <c r="U427" s="2" t="str">
        <f>IF(Table1[[#This Row],[Net_Revenue]]&lt;Table1[[#This Row],[Total_Cost]], "Loss", "Gain")</f>
        <v>Gain</v>
      </c>
      <c r="V427" s="16">
        <f>IF(Table1[[#This Row],[Gain/Loss]]="Gain",Table1[[#This Row],[Quantity]], 0)</f>
        <v>1</v>
      </c>
      <c r="W427" s="16">
        <f>IF(Table1[[#This Row],[Gain/Loss]]="Loss",Table1[[#This Row],[Quantity]],0)</f>
        <v>0</v>
      </c>
      <c r="X427" s="16">
        <f>IF(OR(Table1[[#This Row],[Gain/Loss]]="Gain",Table1[[#This Row],[Gain/Loss]]="Loss"),Table1[[#This Row],[Quantity]],"")</f>
        <v>1</v>
      </c>
    </row>
    <row r="428" spans="1:24" x14ac:dyDescent="0.25">
      <c r="A428">
        <v>10427</v>
      </c>
      <c r="B428" s="1">
        <v>46084</v>
      </c>
      <c r="C428" s="1" t="str">
        <f>TEXT(Table1[[#This Row],[Order_Date]],"DD")</f>
        <v>03</v>
      </c>
      <c r="D428" s="1" t="str">
        <f>TEXT(Table1[[#This Row],[Order_Date]],"MMM")</f>
        <v>Mar</v>
      </c>
      <c r="E428" s="1" t="str">
        <f>TEXT(Table1[[#This Row],[Order_Date]],"YYYY")</f>
        <v>2026</v>
      </c>
      <c r="F428">
        <v>3916</v>
      </c>
      <c r="G428" t="s">
        <v>29</v>
      </c>
      <c r="H428" t="s">
        <v>24</v>
      </c>
      <c r="I428" t="s">
        <v>33</v>
      </c>
      <c r="J428" t="s">
        <v>20</v>
      </c>
      <c r="K428">
        <v>4</v>
      </c>
      <c r="L428" s="2">
        <v>153.54</v>
      </c>
      <c r="M428" s="3">
        <v>0</v>
      </c>
      <c r="N428" s="2">
        <v>614.16</v>
      </c>
      <c r="O428" s="2">
        <v>0</v>
      </c>
      <c r="P428" s="2">
        <v>614.16</v>
      </c>
      <c r="Q428" s="2">
        <v>142.61000000000001</v>
      </c>
      <c r="R428" s="2">
        <v>570.44000000000005</v>
      </c>
      <c r="S428" s="2">
        <v>43.719999999999899</v>
      </c>
      <c r="T428" s="3">
        <v>7.1186661456297901E-2</v>
      </c>
      <c r="U428" s="2" t="str">
        <f>IF(Table1[[#This Row],[Net_Revenue]]&lt;Table1[[#This Row],[Total_Cost]], "Loss", "Gain")</f>
        <v>Gain</v>
      </c>
      <c r="V428" s="16">
        <f>IF(Table1[[#This Row],[Gain/Loss]]="Gain",Table1[[#This Row],[Quantity]], 0)</f>
        <v>4</v>
      </c>
      <c r="W428" s="16">
        <f>IF(Table1[[#This Row],[Gain/Loss]]="Loss",Table1[[#This Row],[Quantity]],0)</f>
        <v>0</v>
      </c>
      <c r="X428" s="16">
        <f>IF(OR(Table1[[#This Row],[Gain/Loss]]="Gain",Table1[[#This Row],[Gain/Loss]]="Loss"),Table1[[#This Row],[Quantity]],"")</f>
        <v>4</v>
      </c>
    </row>
    <row r="429" spans="1:24" x14ac:dyDescent="0.25">
      <c r="A429">
        <v>10428</v>
      </c>
      <c r="B429" s="1">
        <v>46085</v>
      </c>
      <c r="C429" s="1" t="str">
        <f>TEXT(Table1[[#This Row],[Order_Date]],"DD")</f>
        <v>04</v>
      </c>
      <c r="D429" s="1" t="str">
        <f>TEXT(Table1[[#This Row],[Order_Date]],"MMM")</f>
        <v>Mar</v>
      </c>
      <c r="E429" s="1" t="str">
        <f>TEXT(Table1[[#This Row],[Order_Date]],"YYYY")</f>
        <v>2026</v>
      </c>
      <c r="F429">
        <v>3672</v>
      </c>
      <c r="G429" t="s">
        <v>29</v>
      </c>
      <c r="H429" t="s">
        <v>24</v>
      </c>
      <c r="I429" t="s">
        <v>26</v>
      </c>
      <c r="J429" t="s">
        <v>31</v>
      </c>
      <c r="K429">
        <v>6</v>
      </c>
      <c r="L429" s="2">
        <v>10.02</v>
      </c>
      <c r="M429" s="3">
        <v>0.15</v>
      </c>
      <c r="N429" s="2">
        <v>60.12</v>
      </c>
      <c r="O429" s="2">
        <v>9.01799999999999</v>
      </c>
      <c r="P429" s="2">
        <v>51.101999999999997</v>
      </c>
      <c r="Q429" s="2">
        <v>10.9</v>
      </c>
      <c r="R429" s="2">
        <v>65.400000000000006</v>
      </c>
      <c r="S429" s="2">
        <v>-14.298</v>
      </c>
      <c r="T429" s="3">
        <v>-0.279793354467535</v>
      </c>
      <c r="U429" s="2" t="str">
        <f>IF(Table1[[#This Row],[Net_Revenue]]&lt;Table1[[#This Row],[Total_Cost]], "Loss", "Gain")</f>
        <v>Loss</v>
      </c>
      <c r="V429" s="16">
        <f>IF(Table1[[#This Row],[Gain/Loss]]="Gain",Table1[[#This Row],[Quantity]], 0)</f>
        <v>0</v>
      </c>
      <c r="W429" s="16">
        <f>IF(Table1[[#This Row],[Gain/Loss]]="Loss",Table1[[#This Row],[Quantity]],0)</f>
        <v>6</v>
      </c>
      <c r="X429" s="16">
        <f>IF(OR(Table1[[#This Row],[Gain/Loss]]="Gain",Table1[[#This Row],[Gain/Loss]]="Loss"),Table1[[#This Row],[Quantity]],"")</f>
        <v>6</v>
      </c>
    </row>
    <row r="430" spans="1:24" x14ac:dyDescent="0.25">
      <c r="A430">
        <v>10429</v>
      </c>
      <c r="B430" s="1">
        <v>46086</v>
      </c>
      <c r="C430" s="1" t="str">
        <f>TEXT(Table1[[#This Row],[Order_Date]],"DD")</f>
        <v>05</v>
      </c>
      <c r="D430" s="1" t="str">
        <f>TEXT(Table1[[#This Row],[Order_Date]],"MMM")</f>
        <v>Mar</v>
      </c>
      <c r="E430" s="1" t="str">
        <f>TEXT(Table1[[#This Row],[Order_Date]],"YYYY")</f>
        <v>2026</v>
      </c>
      <c r="F430">
        <v>3867</v>
      </c>
      <c r="G430" t="s">
        <v>23</v>
      </c>
      <c r="H430" t="s">
        <v>24</v>
      </c>
      <c r="I430" t="s">
        <v>26</v>
      </c>
      <c r="J430" t="s">
        <v>31</v>
      </c>
      <c r="K430">
        <v>8</v>
      </c>
      <c r="L430" s="2">
        <v>12.15</v>
      </c>
      <c r="M430" s="3">
        <v>0.15</v>
      </c>
      <c r="N430" s="2">
        <v>97.2</v>
      </c>
      <c r="O430" s="2">
        <v>14.58</v>
      </c>
      <c r="P430" s="2">
        <v>82.62</v>
      </c>
      <c r="Q430" s="2">
        <v>33.409999999999997</v>
      </c>
      <c r="R430" s="2">
        <v>267.27999999999997</v>
      </c>
      <c r="S430" s="2">
        <v>-184.659999999999</v>
      </c>
      <c r="T430" s="3">
        <v>-2.2350520455095602</v>
      </c>
      <c r="U430" s="2" t="str">
        <f>IF(Table1[[#This Row],[Net_Revenue]]&lt;Table1[[#This Row],[Total_Cost]], "Loss", "Gain")</f>
        <v>Loss</v>
      </c>
      <c r="V430" s="16">
        <f>IF(Table1[[#This Row],[Gain/Loss]]="Gain",Table1[[#This Row],[Quantity]], 0)</f>
        <v>0</v>
      </c>
      <c r="W430" s="16">
        <f>IF(Table1[[#This Row],[Gain/Loss]]="Loss",Table1[[#This Row],[Quantity]],0)</f>
        <v>8</v>
      </c>
      <c r="X430" s="16">
        <f>IF(OR(Table1[[#This Row],[Gain/Loss]]="Gain",Table1[[#This Row],[Gain/Loss]]="Loss"),Table1[[#This Row],[Quantity]],"")</f>
        <v>8</v>
      </c>
    </row>
    <row r="431" spans="1:24" x14ac:dyDescent="0.25">
      <c r="A431">
        <v>10430</v>
      </c>
      <c r="B431" s="1">
        <v>46087</v>
      </c>
      <c r="C431" s="1" t="str">
        <f>TEXT(Table1[[#This Row],[Order_Date]],"DD")</f>
        <v>06</v>
      </c>
      <c r="D431" s="1" t="str">
        <f>TEXT(Table1[[#This Row],[Order_Date]],"MMM")</f>
        <v>Mar</v>
      </c>
      <c r="E431" s="1" t="str">
        <f>TEXT(Table1[[#This Row],[Order_Date]],"YYYY")</f>
        <v>2026</v>
      </c>
      <c r="F431">
        <v>3917</v>
      </c>
      <c r="G431" t="s">
        <v>17</v>
      </c>
      <c r="H431" t="s">
        <v>24</v>
      </c>
      <c r="I431" t="s">
        <v>25</v>
      </c>
      <c r="J431" t="s">
        <v>22</v>
      </c>
      <c r="K431">
        <v>9</v>
      </c>
      <c r="L431" s="2">
        <v>74.72</v>
      </c>
      <c r="M431" s="3">
        <v>0</v>
      </c>
      <c r="N431" s="2">
        <v>672.48</v>
      </c>
      <c r="O431" s="2">
        <v>0</v>
      </c>
      <c r="P431" s="2">
        <v>672.48</v>
      </c>
      <c r="Q431" s="2">
        <v>69.989999999999995</v>
      </c>
      <c r="R431" s="2">
        <v>629.91</v>
      </c>
      <c r="S431" s="2">
        <v>42.57</v>
      </c>
      <c r="T431" s="3">
        <v>6.3302997858672397E-2</v>
      </c>
      <c r="U431" s="2" t="str">
        <f>IF(Table1[[#This Row],[Net_Revenue]]&lt;Table1[[#This Row],[Total_Cost]], "Loss", "Gain")</f>
        <v>Gain</v>
      </c>
      <c r="V431" s="16">
        <f>IF(Table1[[#This Row],[Gain/Loss]]="Gain",Table1[[#This Row],[Quantity]], 0)</f>
        <v>9</v>
      </c>
      <c r="W431" s="16">
        <f>IF(Table1[[#This Row],[Gain/Loss]]="Loss",Table1[[#This Row],[Quantity]],0)</f>
        <v>0</v>
      </c>
      <c r="X431" s="16">
        <f>IF(OR(Table1[[#This Row],[Gain/Loss]]="Gain",Table1[[#This Row],[Gain/Loss]]="Loss"),Table1[[#This Row],[Quantity]],"")</f>
        <v>9</v>
      </c>
    </row>
    <row r="432" spans="1:24" x14ac:dyDescent="0.25">
      <c r="A432">
        <v>10431</v>
      </c>
      <c r="B432" s="1">
        <v>46088</v>
      </c>
      <c r="C432" s="1" t="str">
        <f>TEXT(Table1[[#This Row],[Order_Date]],"DD")</f>
        <v>07</v>
      </c>
      <c r="D432" s="1" t="str">
        <f>TEXT(Table1[[#This Row],[Order_Date]],"MMM")</f>
        <v>Mar</v>
      </c>
      <c r="E432" s="1" t="str">
        <f>TEXT(Table1[[#This Row],[Order_Date]],"YYYY")</f>
        <v>2026</v>
      </c>
      <c r="F432">
        <v>3198</v>
      </c>
      <c r="G432" t="s">
        <v>17</v>
      </c>
      <c r="H432" t="s">
        <v>24</v>
      </c>
      <c r="I432" t="s">
        <v>26</v>
      </c>
      <c r="J432" t="s">
        <v>30</v>
      </c>
      <c r="K432">
        <v>9</v>
      </c>
      <c r="L432" s="2">
        <v>207.58</v>
      </c>
      <c r="M432" s="3">
        <v>0.1</v>
      </c>
      <c r="N432" s="2">
        <v>1868.22</v>
      </c>
      <c r="O432" s="2">
        <v>186.822</v>
      </c>
      <c r="P432" s="2">
        <v>1681.3979999999999</v>
      </c>
      <c r="Q432" s="2">
        <v>44.5</v>
      </c>
      <c r="R432" s="2">
        <v>400.5</v>
      </c>
      <c r="S432" s="2">
        <v>1280.8979999999999</v>
      </c>
      <c r="T432" s="3">
        <v>0.761805354829731</v>
      </c>
      <c r="U432" s="2" t="str">
        <f>IF(Table1[[#This Row],[Net_Revenue]]&lt;Table1[[#This Row],[Total_Cost]], "Loss", "Gain")</f>
        <v>Gain</v>
      </c>
      <c r="V432" s="16">
        <f>IF(Table1[[#This Row],[Gain/Loss]]="Gain",Table1[[#This Row],[Quantity]], 0)</f>
        <v>9</v>
      </c>
      <c r="W432" s="16">
        <f>IF(Table1[[#This Row],[Gain/Loss]]="Loss",Table1[[#This Row],[Quantity]],0)</f>
        <v>0</v>
      </c>
      <c r="X432" s="16">
        <f>IF(OR(Table1[[#This Row],[Gain/Loss]]="Gain",Table1[[#This Row],[Gain/Loss]]="Loss"),Table1[[#This Row],[Quantity]],"")</f>
        <v>9</v>
      </c>
    </row>
    <row r="433" spans="1:24" x14ac:dyDescent="0.25">
      <c r="A433">
        <v>10432</v>
      </c>
      <c r="B433" s="1">
        <v>46089</v>
      </c>
      <c r="C433" s="1" t="str">
        <f>TEXT(Table1[[#This Row],[Order_Date]],"DD")</f>
        <v>08</v>
      </c>
      <c r="D433" s="1" t="str">
        <f>TEXT(Table1[[#This Row],[Order_Date]],"MMM")</f>
        <v>Mar</v>
      </c>
      <c r="E433" s="1" t="str">
        <f>TEXT(Table1[[#This Row],[Order_Date]],"YYYY")</f>
        <v>2026</v>
      </c>
      <c r="F433">
        <v>3468</v>
      </c>
      <c r="G433" t="s">
        <v>17</v>
      </c>
      <c r="H433" t="s">
        <v>18</v>
      </c>
      <c r="I433" t="s">
        <v>33</v>
      </c>
      <c r="J433" t="s">
        <v>20</v>
      </c>
      <c r="K433">
        <v>7</v>
      </c>
      <c r="L433" s="2">
        <v>142.82</v>
      </c>
      <c r="M433" s="3">
        <v>0.15</v>
      </c>
      <c r="N433" s="2">
        <v>999.74</v>
      </c>
      <c r="O433" s="2">
        <v>149.96099999999899</v>
      </c>
      <c r="P433" s="2">
        <v>849.779</v>
      </c>
      <c r="Q433" s="2">
        <v>143.24</v>
      </c>
      <c r="R433" s="2">
        <v>1002.68</v>
      </c>
      <c r="S433" s="2">
        <v>-152.90100000000001</v>
      </c>
      <c r="T433" s="3">
        <v>-0.17993031129270001</v>
      </c>
      <c r="U433" s="2" t="str">
        <f>IF(Table1[[#This Row],[Net_Revenue]]&lt;Table1[[#This Row],[Total_Cost]], "Loss", "Gain")</f>
        <v>Loss</v>
      </c>
      <c r="V433" s="16">
        <f>IF(Table1[[#This Row],[Gain/Loss]]="Gain",Table1[[#This Row],[Quantity]], 0)</f>
        <v>0</v>
      </c>
      <c r="W433" s="16">
        <f>IF(Table1[[#This Row],[Gain/Loss]]="Loss",Table1[[#This Row],[Quantity]],0)</f>
        <v>7</v>
      </c>
      <c r="X433" s="16">
        <f>IF(OR(Table1[[#This Row],[Gain/Loss]]="Gain",Table1[[#This Row],[Gain/Loss]]="Loss"),Table1[[#This Row],[Quantity]],"")</f>
        <v>7</v>
      </c>
    </row>
    <row r="434" spans="1:24" x14ac:dyDescent="0.25">
      <c r="A434">
        <v>10433</v>
      </c>
      <c r="B434" s="1">
        <v>46090</v>
      </c>
      <c r="C434" s="1" t="str">
        <f>TEXT(Table1[[#This Row],[Order_Date]],"DD")</f>
        <v>09</v>
      </c>
      <c r="D434" s="1" t="str">
        <f>TEXT(Table1[[#This Row],[Order_Date]],"MMM")</f>
        <v>Mar</v>
      </c>
      <c r="E434" s="1" t="str">
        <f>TEXT(Table1[[#This Row],[Order_Date]],"YYYY")</f>
        <v>2026</v>
      </c>
      <c r="F434">
        <v>3896</v>
      </c>
      <c r="G434" t="s">
        <v>23</v>
      </c>
      <c r="H434" t="s">
        <v>24</v>
      </c>
      <c r="I434" t="s">
        <v>25</v>
      </c>
      <c r="J434" t="s">
        <v>32</v>
      </c>
      <c r="K434">
        <v>1</v>
      </c>
      <c r="L434" s="2">
        <v>29.68</v>
      </c>
      <c r="M434" s="3">
        <v>0.1</v>
      </c>
      <c r="N434" s="2">
        <v>29.68</v>
      </c>
      <c r="O434" s="2">
        <v>2.968</v>
      </c>
      <c r="P434" s="2">
        <v>26.712</v>
      </c>
      <c r="Q434" s="2">
        <v>93.76</v>
      </c>
      <c r="R434" s="2">
        <v>93.76</v>
      </c>
      <c r="S434" s="2">
        <v>-67.048000000000002</v>
      </c>
      <c r="T434" s="3">
        <v>-2.5100329439952</v>
      </c>
      <c r="U434" s="2" t="str">
        <f>IF(Table1[[#This Row],[Net_Revenue]]&lt;Table1[[#This Row],[Total_Cost]], "Loss", "Gain")</f>
        <v>Loss</v>
      </c>
      <c r="V434" s="16">
        <f>IF(Table1[[#This Row],[Gain/Loss]]="Gain",Table1[[#This Row],[Quantity]], 0)</f>
        <v>0</v>
      </c>
      <c r="W434" s="16">
        <f>IF(Table1[[#This Row],[Gain/Loss]]="Loss",Table1[[#This Row],[Quantity]],0)</f>
        <v>1</v>
      </c>
      <c r="X434" s="16">
        <f>IF(OR(Table1[[#This Row],[Gain/Loss]]="Gain",Table1[[#This Row],[Gain/Loss]]="Loss"),Table1[[#This Row],[Quantity]],"")</f>
        <v>1</v>
      </c>
    </row>
    <row r="435" spans="1:24" x14ac:dyDescent="0.25">
      <c r="A435">
        <v>10434</v>
      </c>
      <c r="B435" s="1">
        <v>46091</v>
      </c>
      <c r="C435" s="1" t="str">
        <f>TEXT(Table1[[#This Row],[Order_Date]],"DD")</f>
        <v>10</v>
      </c>
      <c r="D435" s="1" t="str">
        <f>TEXT(Table1[[#This Row],[Order_Date]],"MMM")</f>
        <v>Mar</v>
      </c>
      <c r="E435" s="1" t="str">
        <f>TEXT(Table1[[#This Row],[Order_Date]],"YYYY")</f>
        <v>2026</v>
      </c>
      <c r="F435">
        <v>3212</v>
      </c>
      <c r="G435" t="s">
        <v>17</v>
      </c>
      <c r="H435" t="s">
        <v>18</v>
      </c>
      <c r="I435" t="s">
        <v>26</v>
      </c>
      <c r="J435" t="s">
        <v>30</v>
      </c>
      <c r="K435">
        <v>9</v>
      </c>
      <c r="L435" s="2">
        <v>128.07</v>
      </c>
      <c r="M435" s="3">
        <v>0.2</v>
      </c>
      <c r="N435" s="2">
        <v>1152.6299999999901</v>
      </c>
      <c r="O435" s="2">
        <v>230.52599999999899</v>
      </c>
      <c r="P435" s="2">
        <v>922.10399999999902</v>
      </c>
      <c r="Q435" s="2">
        <v>52.35</v>
      </c>
      <c r="R435" s="2">
        <v>471.15</v>
      </c>
      <c r="S435" s="2">
        <v>450.95399999999898</v>
      </c>
      <c r="T435" s="3">
        <v>0.48904895760131095</v>
      </c>
      <c r="U435" s="2" t="str">
        <f>IF(Table1[[#This Row],[Net_Revenue]]&lt;Table1[[#This Row],[Total_Cost]], "Loss", "Gain")</f>
        <v>Gain</v>
      </c>
      <c r="V435" s="16">
        <f>IF(Table1[[#This Row],[Gain/Loss]]="Gain",Table1[[#This Row],[Quantity]], 0)</f>
        <v>9</v>
      </c>
      <c r="W435" s="16">
        <f>IF(Table1[[#This Row],[Gain/Loss]]="Loss",Table1[[#This Row],[Quantity]],0)</f>
        <v>0</v>
      </c>
      <c r="X435" s="16">
        <f>IF(OR(Table1[[#This Row],[Gain/Loss]]="Gain",Table1[[#This Row],[Gain/Loss]]="Loss"),Table1[[#This Row],[Quantity]],"")</f>
        <v>9</v>
      </c>
    </row>
    <row r="436" spans="1:24" x14ac:dyDescent="0.25">
      <c r="A436">
        <v>10435</v>
      </c>
      <c r="B436" s="1">
        <v>46092</v>
      </c>
      <c r="C436" s="1" t="str">
        <f>TEXT(Table1[[#This Row],[Order_Date]],"DD")</f>
        <v>11</v>
      </c>
      <c r="D436" s="1" t="str">
        <f>TEXT(Table1[[#This Row],[Order_Date]],"MMM")</f>
        <v>Mar</v>
      </c>
      <c r="E436" s="1" t="str">
        <f>TEXT(Table1[[#This Row],[Order_Date]],"YYYY")</f>
        <v>2026</v>
      </c>
      <c r="F436">
        <v>3545</v>
      </c>
      <c r="G436" t="s">
        <v>23</v>
      </c>
      <c r="H436" t="s">
        <v>24</v>
      </c>
      <c r="I436" t="s">
        <v>25</v>
      </c>
      <c r="J436" t="s">
        <v>22</v>
      </c>
      <c r="K436">
        <v>6</v>
      </c>
      <c r="L436" s="2">
        <v>60.95</v>
      </c>
      <c r="M436" s="3">
        <v>0.15</v>
      </c>
      <c r="N436" s="2">
        <v>365.7</v>
      </c>
      <c r="O436" s="2">
        <v>54.854999999999997</v>
      </c>
      <c r="P436" s="2">
        <v>310.84500000000003</v>
      </c>
      <c r="Q436" s="2">
        <v>91.96</v>
      </c>
      <c r="R436" s="2">
        <v>551.76</v>
      </c>
      <c r="S436" s="2">
        <v>-240.914999999999</v>
      </c>
      <c r="T436" s="3">
        <v>-0.77503257250398094</v>
      </c>
      <c r="U436" s="2" t="str">
        <f>IF(Table1[[#This Row],[Net_Revenue]]&lt;Table1[[#This Row],[Total_Cost]], "Loss", "Gain")</f>
        <v>Loss</v>
      </c>
      <c r="V436" s="16">
        <f>IF(Table1[[#This Row],[Gain/Loss]]="Gain",Table1[[#This Row],[Quantity]], 0)</f>
        <v>0</v>
      </c>
      <c r="W436" s="16">
        <f>IF(Table1[[#This Row],[Gain/Loss]]="Loss",Table1[[#This Row],[Quantity]],0)</f>
        <v>6</v>
      </c>
      <c r="X436" s="16">
        <f>IF(OR(Table1[[#This Row],[Gain/Loss]]="Gain",Table1[[#This Row],[Gain/Loss]]="Loss"),Table1[[#This Row],[Quantity]],"")</f>
        <v>6</v>
      </c>
    </row>
    <row r="437" spans="1:24" x14ac:dyDescent="0.25">
      <c r="A437">
        <v>10436</v>
      </c>
      <c r="B437" s="1">
        <v>46093</v>
      </c>
      <c r="C437" s="1" t="str">
        <f>TEXT(Table1[[#This Row],[Order_Date]],"DD")</f>
        <v>12</v>
      </c>
      <c r="D437" s="1" t="str">
        <f>TEXT(Table1[[#This Row],[Order_Date]],"MMM")</f>
        <v>Mar</v>
      </c>
      <c r="E437" s="1" t="str">
        <f>TEXT(Table1[[#This Row],[Order_Date]],"YYYY")</f>
        <v>2026</v>
      </c>
      <c r="F437">
        <v>3533</v>
      </c>
      <c r="G437" t="s">
        <v>21</v>
      </c>
      <c r="H437" t="s">
        <v>24</v>
      </c>
      <c r="I437" t="s">
        <v>33</v>
      </c>
      <c r="J437" t="s">
        <v>20</v>
      </c>
      <c r="K437">
        <v>4</v>
      </c>
      <c r="L437" s="2">
        <v>22.98</v>
      </c>
      <c r="M437" s="3">
        <v>0.2</v>
      </c>
      <c r="N437" s="2">
        <v>91.92</v>
      </c>
      <c r="O437" s="2">
        <v>18.384</v>
      </c>
      <c r="P437" s="2">
        <v>73.536000000000001</v>
      </c>
      <c r="Q437" s="2">
        <v>102.79</v>
      </c>
      <c r="R437" s="2">
        <v>411.16</v>
      </c>
      <c r="S437" s="2">
        <v>-337.62400000000002</v>
      </c>
      <c r="T437" s="3">
        <v>-4.59127502175805</v>
      </c>
      <c r="U437" s="2" t="str">
        <f>IF(Table1[[#This Row],[Net_Revenue]]&lt;Table1[[#This Row],[Total_Cost]], "Loss", "Gain")</f>
        <v>Loss</v>
      </c>
      <c r="V437" s="16">
        <f>IF(Table1[[#This Row],[Gain/Loss]]="Gain",Table1[[#This Row],[Quantity]], 0)</f>
        <v>0</v>
      </c>
      <c r="W437" s="16">
        <f>IF(Table1[[#This Row],[Gain/Loss]]="Loss",Table1[[#This Row],[Quantity]],0)</f>
        <v>4</v>
      </c>
      <c r="X437" s="16">
        <f>IF(OR(Table1[[#This Row],[Gain/Loss]]="Gain",Table1[[#This Row],[Gain/Loss]]="Loss"),Table1[[#This Row],[Quantity]],"")</f>
        <v>4</v>
      </c>
    </row>
    <row r="438" spans="1:24" x14ac:dyDescent="0.25">
      <c r="A438">
        <v>10437</v>
      </c>
      <c r="B438" s="1">
        <v>46094</v>
      </c>
      <c r="C438" s="1" t="str">
        <f>TEXT(Table1[[#This Row],[Order_Date]],"DD")</f>
        <v>13</v>
      </c>
      <c r="D438" s="1" t="str">
        <f>TEXT(Table1[[#This Row],[Order_Date]],"MMM")</f>
        <v>Mar</v>
      </c>
      <c r="E438" s="1" t="str">
        <f>TEXT(Table1[[#This Row],[Order_Date]],"YYYY")</f>
        <v>2026</v>
      </c>
      <c r="F438">
        <v>3834</v>
      </c>
      <c r="G438" t="s">
        <v>21</v>
      </c>
      <c r="H438" t="s">
        <v>18</v>
      </c>
      <c r="I438" t="s">
        <v>25</v>
      </c>
      <c r="J438" t="s">
        <v>32</v>
      </c>
      <c r="K438">
        <v>2</v>
      </c>
      <c r="L438" s="2">
        <v>96.01</v>
      </c>
      <c r="M438" s="3">
        <v>0.1</v>
      </c>
      <c r="N438" s="2">
        <v>192.02</v>
      </c>
      <c r="O438" s="2">
        <v>19.202000000000002</v>
      </c>
      <c r="P438" s="2">
        <v>172.81800000000001</v>
      </c>
      <c r="Q438" s="2">
        <v>129.21</v>
      </c>
      <c r="R438" s="2">
        <v>258.42</v>
      </c>
      <c r="S438" s="2">
        <v>-85.602000000000004</v>
      </c>
      <c r="T438" s="3">
        <v>-0.49533034753324301</v>
      </c>
      <c r="U438" s="2" t="str">
        <f>IF(Table1[[#This Row],[Net_Revenue]]&lt;Table1[[#This Row],[Total_Cost]], "Loss", "Gain")</f>
        <v>Loss</v>
      </c>
      <c r="V438" s="16">
        <f>IF(Table1[[#This Row],[Gain/Loss]]="Gain",Table1[[#This Row],[Quantity]], 0)</f>
        <v>0</v>
      </c>
      <c r="W438" s="16">
        <f>IF(Table1[[#This Row],[Gain/Loss]]="Loss",Table1[[#This Row],[Quantity]],0)</f>
        <v>2</v>
      </c>
      <c r="X438" s="16">
        <f>IF(OR(Table1[[#This Row],[Gain/Loss]]="Gain",Table1[[#This Row],[Gain/Loss]]="Loss"),Table1[[#This Row],[Quantity]],"")</f>
        <v>2</v>
      </c>
    </row>
    <row r="439" spans="1:24" x14ac:dyDescent="0.25">
      <c r="A439">
        <v>10438</v>
      </c>
      <c r="B439" s="1">
        <v>46095</v>
      </c>
      <c r="C439" s="1" t="str">
        <f>TEXT(Table1[[#This Row],[Order_Date]],"DD")</f>
        <v>14</v>
      </c>
      <c r="D439" s="1" t="str">
        <f>TEXT(Table1[[#This Row],[Order_Date]],"MMM")</f>
        <v>Mar</v>
      </c>
      <c r="E439" s="1" t="str">
        <f>TEXT(Table1[[#This Row],[Order_Date]],"YYYY")</f>
        <v>2026</v>
      </c>
      <c r="F439">
        <v>3267</v>
      </c>
      <c r="G439" t="s">
        <v>21</v>
      </c>
      <c r="H439" t="s">
        <v>18</v>
      </c>
      <c r="I439" t="s">
        <v>19</v>
      </c>
      <c r="J439" t="s">
        <v>27</v>
      </c>
      <c r="K439">
        <v>2</v>
      </c>
      <c r="L439" s="2">
        <v>54.08</v>
      </c>
      <c r="M439" s="3">
        <v>0.05</v>
      </c>
      <c r="N439" s="2">
        <v>108.16</v>
      </c>
      <c r="O439" s="2">
        <v>5.4080000000000004</v>
      </c>
      <c r="P439" s="2">
        <v>102.752</v>
      </c>
      <c r="Q439" s="2">
        <v>133.69</v>
      </c>
      <c r="R439" s="2">
        <v>267.38</v>
      </c>
      <c r="S439" s="2">
        <v>-164.62799999999999</v>
      </c>
      <c r="T439" s="3">
        <v>-1.6021877919651102</v>
      </c>
      <c r="U439" s="2" t="str">
        <f>IF(Table1[[#This Row],[Net_Revenue]]&lt;Table1[[#This Row],[Total_Cost]], "Loss", "Gain")</f>
        <v>Loss</v>
      </c>
      <c r="V439" s="16">
        <f>IF(Table1[[#This Row],[Gain/Loss]]="Gain",Table1[[#This Row],[Quantity]], 0)</f>
        <v>0</v>
      </c>
      <c r="W439" s="16">
        <f>IF(Table1[[#This Row],[Gain/Loss]]="Loss",Table1[[#This Row],[Quantity]],0)</f>
        <v>2</v>
      </c>
      <c r="X439" s="16">
        <f>IF(OR(Table1[[#This Row],[Gain/Loss]]="Gain",Table1[[#This Row],[Gain/Loss]]="Loss"),Table1[[#This Row],[Quantity]],"")</f>
        <v>2</v>
      </c>
    </row>
    <row r="440" spans="1:24" x14ac:dyDescent="0.25">
      <c r="A440">
        <v>10439</v>
      </c>
      <c r="B440" s="1">
        <v>46096</v>
      </c>
      <c r="C440" s="1" t="str">
        <f>TEXT(Table1[[#This Row],[Order_Date]],"DD")</f>
        <v>15</v>
      </c>
      <c r="D440" s="1" t="str">
        <f>TEXT(Table1[[#This Row],[Order_Date]],"MMM")</f>
        <v>Mar</v>
      </c>
      <c r="E440" s="1" t="str">
        <f>TEXT(Table1[[#This Row],[Order_Date]],"YYYY")</f>
        <v>2026</v>
      </c>
      <c r="F440">
        <v>3303</v>
      </c>
      <c r="G440" t="s">
        <v>23</v>
      </c>
      <c r="H440" t="s">
        <v>18</v>
      </c>
      <c r="I440" t="s">
        <v>26</v>
      </c>
      <c r="J440" t="s">
        <v>28</v>
      </c>
      <c r="K440">
        <v>8</v>
      </c>
      <c r="L440" s="2">
        <v>53.37</v>
      </c>
      <c r="M440" s="3">
        <v>0.15</v>
      </c>
      <c r="N440" s="2">
        <v>426.96</v>
      </c>
      <c r="O440" s="2">
        <v>64.043999999999997</v>
      </c>
      <c r="P440" s="2">
        <v>362.916</v>
      </c>
      <c r="Q440" s="2">
        <v>66.08</v>
      </c>
      <c r="R440" s="2">
        <v>528.64</v>
      </c>
      <c r="S440" s="2">
        <v>-165.72399999999999</v>
      </c>
      <c r="T440" s="3">
        <v>-0.45664561496324196</v>
      </c>
      <c r="U440" s="2" t="str">
        <f>IF(Table1[[#This Row],[Net_Revenue]]&lt;Table1[[#This Row],[Total_Cost]], "Loss", "Gain")</f>
        <v>Loss</v>
      </c>
      <c r="V440" s="16">
        <f>IF(Table1[[#This Row],[Gain/Loss]]="Gain",Table1[[#This Row],[Quantity]], 0)</f>
        <v>0</v>
      </c>
      <c r="W440" s="16">
        <f>IF(Table1[[#This Row],[Gain/Loss]]="Loss",Table1[[#This Row],[Quantity]],0)</f>
        <v>8</v>
      </c>
      <c r="X440" s="16">
        <f>IF(OR(Table1[[#This Row],[Gain/Loss]]="Gain",Table1[[#This Row],[Gain/Loss]]="Loss"),Table1[[#This Row],[Quantity]],"")</f>
        <v>8</v>
      </c>
    </row>
    <row r="441" spans="1:24" x14ac:dyDescent="0.25">
      <c r="A441">
        <v>10440</v>
      </c>
      <c r="B441" s="1">
        <v>46097</v>
      </c>
      <c r="C441" s="1" t="str">
        <f>TEXT(Table1[[#This Row],[Order_Date]],"DD")</f>
        <v>16</v>
      </c>
      <c r="D441" s="1" t="str">
        <f>TEXT(Table1[[#This Row],[Order_Date]],"MMM")</f>
        <v>Mar</v>
      </c>
      <c r="E441" s="1" t="str">
        <f>TEXT(Table1[[#This Row],[Order_Date]],"YYYY")</f>
        <v>2026</v>
      </c>
      <c r="F441">
        <v>3139</v>
      </c>
      <c r="G441" t="s">
        <v>17</v>
      </c>
      <c r="H441" t="s">
        <v>24</v>
      </c>
      <c r="I441" t="s">
        <v>26</v>
      </c>
      <c r="J441" t="s">
        <v>31</v>
      </c>
      <c r="K441">
        <v>5</v>
      </c>
      <c r="L441" s="2">
        <v>136.07</v>
      </c>
      <c r="M441" s="3">
        <v>0.15</v>
      </c>
      <c r="N441" s="2">
        <v>680.349999999999</v>
      </c>
      <c r="O441" s="2">
        <v>102.052499999999</v>
      </c>
      <c r="P441" s="2">
        <v>578.29749999999899</v>
      </c>
      <c r="Q441" s="2">
        <v>114.96</v>
      </c>
      <c r="R441" s="2">
        <v>574.79999999999995</v>
      </c>
      <c r="S441" s="2">
        <v>3.4974999999999401</v>
      </c>
      <c r="T441" s="3">
        <v>6.0479251596279506E-3</v>
      </c>
      <c r="U441" s="2" t="str">
        <f>IF(Table1[[#This Row],[Net_Revenue]]&lt;Table1[[#This Row],[Total_Cost]], "Loss", "Gain")</f>
        <v>Gain</v>
      </c>
      <c r="V441" s="16">
        <f>IF(Table1[[#This Row],[Gain/Loss]]="Gain",Table1[[#This Row],[Quantity]], 0)</f>
        <v>5</v>
      </c>
      <c r="W441" s="16">
        <f>IF(Table1[[#This Row],[Gain/Loss]]="Loss",Table1[[#This Row],[Quantity]],0)</f>
        <v>0</v>
      </c>
      <c r="X441" s="16">
        <f>IF(OR(Table1[[#This Row],[Gain/Loss]]="Gain",Table1[[#This Row],[Gain/Loss]]="Loss"),Table1[[#This Row],[Quantity]],"")</f>
        <v>5</v>
      </c>
    </row>
    <row r="442" spans="1:24" x14ac:dyDescent="0.25">
      <c r="A442">
        <v>10441</v>
      </c>
      <c r="B442" s="1">
        <v>46098</v>
      </c>
      <c r="C442" s="1" t="str">
        <f>TEXT(Table1[[#This Row],[Order_Date]],"DD")</f>
        <v>17</v>
      </c>
      <c r="D442" s="1" t="str">
        <f>TEXT(Table1[[#This Row],[Order_Date]],"MMM")</f>
        <v>Mar</v>
      </c>
      <c r="E442" s="1" t="str">
        <f>TEXT(Table1[[#This Row],[Order_Date]],"YYYY")</f>
        <v>2026</v>
      </c>
      <c r="F442">
        <v>3036</v>
      </c>
      <c r="G442" t="s">
        <v>21</v>
      </c>
      <c r="H442" t="s">
        <v>24</v>
      </c>
      <c r="I442" t="s">
        <v>26</v>
      </c>
      <c r="J442" t="s">
        <v>28</v>
      </c>
      <c r="K442">
        <v>5</v>
      </c>
      <c r="L442" s="2">
        <v>188.95</v>
      </c>
      <c r="M442" s="3">
        <v>0.2</v>
      </c>
      <c r="N442" s="2">
        <v>944.75</v>
      </c>
      <c r="O442" s="2">
        <v>188.95</v>
      </c>
      <c r="P442" s="2">
        <v>755.8</v>
      </c>
      <c r="Q442" s="2">
        <v>146.16</v>
      </c>
      <c r="R442" s="2">
        <v>730.8</v>
      </c>
      <c r="S442" s="2">
        <v>25</v>
      </c>
      <c r="T442" s="3">
        <v>3.3077533739084404E-2</v>
      </c>
      <c r="U442" s="2" t="str">
        <f>IF(Table1[[#This Row],[Net_Revenue]]&lt;Table1[[#This Row],[Total_Cost]], "Loss", "Gain")</f>
        <v>Gain</v>
      </c>
      <c r="V442" s="16">
        <f>IF(Table1[[#This Row],[Gain/Loss]]="Gain",Table1[[#This Row],[Quantity]], 0)</f>
        <v>5</v>
      </c>
      <c r="W442" s="16">
        <f>IF(Table1[[#This Row],[Gain/Loss]]="Loss",Table1[[#This Row],[Quantity]],0)</f>
        <v>0</v>
      </c>
      <c r="X442" s="16">
        <f>IF(OR(Table1[[#This Row],[Gain/Loss]]="Gain",Table1[[#This Row],[Gain/Loss]]="Loss"),Table1[[#This Row],[Quantity]],"")</f>
        <v>5</v>
      </c>
    </row>
    <row r="443" spans="1:24" x14ac:dyDescent="0.25">
      <c r="A443">
        <v>10442</v>
      </c>
      <c r="B443" s="1">
        <v>46099</v>
      </c>
      <c r="C443" s="1" t="str">
        <f>TEXT(Table1[[#This Row],[Order_Date]],"DD")</f>
        <v>18</v>
      </c>
      <c r="D443" s="1" t="str">
        <f>TEXT(Table1[[#This Row],[Order_Date]],"MMM")</f>
        <v>Mar</v>
      </c>
      <c r="E443" s="1" t="str">
        <f>TEXT(Table1[[#This Row],[Order_Date]],"YYYY")</f>
        <v>2026</v>
      </c>
      <c r="F443">
        <v>3456</v>
      </c>
      <c r="G443" t="s">
        <v>29</v>
      </c>
      <c r="H443" t="s">
        <v>18</v>
      </c>
      <c r="I443" t="s">
        <v>25</v>
      </c>
      <c r="J443" t="s">
        <v>32</v>
      </c>
      <c r="K443">
        <v>9</v>
      </c>
      <c r="L443" s="2">
        <v>248.42</v>
      </c>
      <c r="M443" s="3">
        <v>0.2</v>
      </c>
      <c r="N443" s="2">
        <v>2235.7799999999902</v>
      </c>
      <c r="O443" s="2">
        <v>447.15599999999898</v>
      </c>
      <c r="P443" s="2">
        <v>1788.62399999999</v>
      </c>
      <c r="Q443" s="2">
        <v>82.4</v>
      </c>
      <c r="R443" s="2">
        <v>741.6</v>
      </c>
      <c r="S443" s="2">
        <v>1047.0239999999999</v>
      </c>
      <c r="T443" s="3">
        <v>0.58537959906609704</v>
      </c>
      <c r="U443" s="2" t="str">
        <f>IF(Table1[[#This Row],[Net_Revenue]]&lt;Table1[[#This Row],[Total_Cost]], "Loss", "Gain")</f>
        <v>Gain</v>
      </c>
      <c r="V443" s="16">
        <f>IF(Table1[[#This Row],[Gain/Loss]]="Gain",Table1[[#This Row],[Quantity]], 0)</f>
        <v>9</v>
      </c>
      <c r="W443" s="16">
        <f>IF(Table1[[#This Row],[Gain/Loss]]="Loss",Table1[[#This Row],[Quantity]],0)</f>
        <v>0</v>
      </c>
      <c r="X443" s="16">
        <f>IF(OR(Table1[[#This Row],[Gain/Loss]]="Gain",Table1[[#This Row],[Gain/Loss]]="Loss"),Table1[[#This Row],[Quantity]],"")</f>
        <v>9</v>
      </c>
    </row>
    <row r="444" spans="1:24" x14ac:dyDescent="0.25">
      <c r="A444">
        <v>10443</v>
      </c>
      <c r="B444" s="1">
        <v>46100</v>
      </c>
      <c r="C444" s="1" t="str">
        <f>TEXT(Table1[[#This Row],[Order_Date]],"DD")</f>
        <v>19</v>
      </c>
      <c r="D444" s="1" t="str">
        <f>TEXT(Table1[[#This Row],[Order_Date]],"MMM")</f>
        <v>Mar</v>
      </c>
      <c r="E444" s="1" t="str">
        <f>TEXT(Table1[[#This Row],[Order_Date]],"YYYY")</f>
        <v>2026</v>
      </c>
      <c r="F444">
        <v>3749</v>
      </c>
      <c r="G444" t="s">
        <v>17</v>
      </c>
      <c r="H444" t="s">
        <v>24</v>
      </c>
      <c r="I444" t="s">
        <v>26</v>
      </c>
      <c r="J444" t="s">
        <v>28</v>
      </c>
      <c r="K444">
        <v>4</v>
      </c>
      <c r="L444" s="2">
        <v>178.41</v>
      </c>
      <c r="M444" s="3">
        <v>0</v>
      </c>
      <c r="N444" s="2">
        <v>713.64</v>
      </c>
      <c r="O444" s="2">
        <v>0</v>
      </c>
      <c r="P444" s="2">
        <v>713.64</v>
      </c>
      <c r="Q444" s="2">
        <v>111.08</v>
      </c>
      <c r="R444" s="2">
        <v>444.32</v>
      </c>
      <c r="S444" s="2">
        <v>269.32</v>
      </c>
      <c r="T444" s="3">
        <v>0.37738915980045901</v>
      </c>
      <c r="U444" s="2" t="str">
        <f>IF(Table1[[#This Row],[Net_Revenue]]&lt;Table1[[#This Row],[Total_Cost]], "Loss", "Gain")</f>
        <v>Gain</v>
      </c>
      <c r="V444" s="16">
        <f>IF(Table1[[#This Row],[Gain/Loss]]="Gain",Table1[[#This Row],[Quantity]], 0)</f>
        <v>4</v>
      </c>
      <c r="W444" s="16">
        <f>IF(Table1[[#This Row],[Gain/Loss]]="Loss",Table1[[#This Row],[Quantity]],0)</f>
        <v>0</v>
      </c>
      <c r="X444" s="16">
        <f>IF(OR(Table1[[#This Row],[Gain/Loss]]="Gain",Table1[[#This Row],[Gain/Loss]]="Loss"),Table1[[#This Row],[Quantity]],"")</f>
        <v>4</v>
      </c>
    </row>
    <row r="445" spans="1:24" x14ac:dyDescent="0.25">
      <c r="A445">
        <v>10444</v>
      </c>
      <c r="B445" s="1">
        <v>46101</v>
      </c>
      <c r="C445" s="1" t="str">
        <f>TEXT(Table1[[#This Row],[Order_Date]],"DD")</f>
        <v>20</v>
      </c>
      <c r="D445" s="1" t="str">
        <f>TEXT(Table1[[#This Row],[Order_Date]],"MMM")</f>
        <v>Mar</v>
      </c>
      <c r="E445" s="1" t="str">
        <f>TEXT(Table1[[#This Row],[Order_Date]],"YYYY")</f>
        <v>2026</v>
      </c>
      <c r="F445">
        <v>3683</v>
      </c>
      <c r="G445" t="s">
        <v>17</v>
      </c>
      <c r="H445" t="s">
        <v>18</v>
      </c>
      <c r="I445" t="s">
        <v>19</v>
      </c>
      <c r="J445" t="s">
        <v>27</v>
      </c>
      <c r="K445">
        <v>3</v>
      </c>
      <c r="L445" s="2">
        <v>44.56</v>
      </c>
      <c r="M445" s="3">
        <v>0</v>
      </c>
      <c r="N445" s="2">
        <v>133.68</v>
      </c>
      <c r="O445" s="2">
        <v>0</v>
      </c>
      <c r="P445" s="2">
        <v>133.68</v>
      </c>
      <c r="Q445" s="2">
        <v>75.88</v>
      </c>
      <c r="R445" s="2">
        <v>227.64</v>
      </c>
      <c r="S445" s="2">
        <v>-93.959999999999894</v>
      </c>
      <c r="T445" s="3">
        <v>-0.70287253141831196</v>
      </c>
      <c r="U445" s="2" t="str">
        <f>IF(Table1[[#This Row],[Net_Revenue]]&lt;Table1[[#This Row],[Total_Cost]], "Loss", "Gain")</f>
        <v>Loss</v>
      </c>
      <c r="V445" s="16">
        <f>IF(Table1[[#This Row],[Gain/Loss]]="Gain",Table1[[#This Row],[Quantity]], 0)</f>
        <v>0</v>
      </c>
      <c r="W445" s="16">
        <f>IF(Table1[[#This Row],[Gain/Loss]]="Loss",Table1[[#This Row],[Quantity]],0)</f>
        <v>3</v>
      </c>
      <c r="X445" s="16">
        <f>IF(OR(Table1[[#This Row],[Gain/Loss]]="Gain",Table1[[#This Row],[Gain/Loss]]="Loss"),Table1[[#This Row],[Quantity]],"")</f>
        <v>3</v>
      </c>
    </row>
    <row r="446" spans="1:24" x14ac:dyDescent="0.25">
      <c r="A446">
        <v>10445</v>
      </c>
      <c r="B446" s="1">
        <v>46102</v>
      </c>
      <c r="C446" s="1" t="str">
        <f>TEXT(Table1[[#This Row],[Order_Date]],"DD")</f>
        <v>21</v>
      </c>
      <c r="D446" s="1" t="str">
        <f>TEXT(Table1[[#This Row],[Order_Date]],"MMM")</f>
        <v>Mar</v>
      </c>
      <c r="E446" s="1" t="str">
        <f>TEXT(Table1[[#This Row],[Order_Date]],"YYYY")</f>
        <v>2026</v>
      </c>
      <c r="F446">
        <v>3765</v>
      </c>
      <c r="G446" t="s">
        <v>23</v>
      </c>
      <c r="H446" t="s">
        <v>24</v>
      </c>
      <c r="I446" t="s">
        <v>25</v>
      </c>
      <c r="J446" t="s">
        <v>32</v>
      </c>
      <c r="K446">
        <v>1</v>
      </c>
      <c r="L446" s="2">
        <v>157.41</v>
      </c>
      <c r="M446" s="3">
        <v>0.1</v>
      </c>
      <c r="N446" s="2">
        <v>157.41</v>
      </c>
      <c r="O446" s="2">
        <v>15.741</v>
      </c>
      <c r="P446" s="2">
        <v>141.66899999999899</v>
      </c>
      <c r="Q446" s="2">
        <v>60.48</v>
      </c>
      <c r="R446" s="2">
        <v>60.48</v>
      </c>
      <c r="S446" s="2">
        <v>81.188999999999993</v>
      </c>
      <c r="T446" s="3">
        <v>0.57308938441013901</v>
      </c>
      <c r="U446" s="2" t="str">
        <f>IF(Table1[[#This Row],[Net_Revenue]]&lt;Table1[[#This Row],[Total_Cost]], "Loss", "Gain")</f>
        <v>Gain</v>
      </c>
      <c r="V446" s="16">
        <f>IF(Table1[[#This Row],[Gain/Loss]]="Gain",Table1[[#This Row],[Quantity]], 0)</f>
        <v>1</v>
      </c>
      <c r="W446" s="16">
        <f>IF(Table1[[#This Row],[Gain/Loss]]="Loss",Table1[[#This Row],[Quantity]],0)</f>
        <v>0</v>
      </c>
      <c r="X446" s="16">
        <f>IF(OR(Table1[[#This Row],[Gain/Loss]]="Gain",Table1[[#This Row],[Gain/Loss]]="Loss"),Table1[[#This Row],[Quantity]],"")</f>
        <v>1</v>
      </c>
    </row>
    <row r="447" spans="1:24" x14ac:dyDescent="0.25">
      <c r="A447">
        <v>10446</v>
      </c>
      <c r="B447" s="1">
        <v>46103</v>
      </c>
      <c r="C447" s="1" t="str">
        <f>TEXT(Table1[[#This Row],[Order_Date]],"DD")</f>
        <v>22</v>
      </c>
      <c r="D447" s="1" t="str">
        <f>TEXT(Table1[[#This Row],[Order_Date]],"MMM")</f>
        <v>Mar</v>
      </c>
      <c r="E447" s="1" t="str">
        <f>TEXT(Table1[[#This Row],[Order_Date]],"YYYY")</f>
        <v>2026</v>
      </c>
      <c r="F447">
        <v>3711</v>
      </c>
      <c r="G447" t="s">
        <v>21</v>
      </c>
      <c r="H447" t="s">
        <v>24</v>
      </c>
      <c r="I447" t="s">
        <v>25</v>
      </c>
      <c r="J447" t="s">
        <v>22</v>
      </c>
      <c r="K447">
        <v>1</v>
      </c>
      <c r="L447" s="2">
        <v>55.89</v>
      </c>
      <c r="M447" s="3">
        <v>0.15</v>
      </c>
      <c r="N447" s="2">
        <v>55.89</v>
      </c>
      <c r="O447" s="2">
        <v>8.3834999999999997</v>
      </c>
      <c r="P447" s="2">
        <v>47.506500000000003</v>
      </c>
      <c r="Q447" s="2">
        <v>34.49</v>
      </c>
      <c r="R447" s="2">
        <v>34.49</v>
      </c>
      <c r="S447" s="2">
        <v>13.016500000000001</v>
      </c>
      <c r="T447" s="3">
        <v>0.27399408501994399</v>
      </c>
      <c r="U447" s="2" t="str">
        <f>IF(Table1[[#This Row],[Net_Revenue]]&lt;Table1[[#This Row],[Total_Cost]], "Loss", "Gain")</f>
        <v>Gain</v>
      </c>
      <c r="V447" s="16">
        <f>IF(Table1[[#This Row],[Gain/Loss]]="Gain",Table1[[#This Row],[Quantity]], 0)</f>
        <v>1</v>
      </c>
      <c r="W447" s="16">
        <f>IF(Table1[[#This Row],[Gain/Loss]]="Loss",Table1[[#This Row],[Quantity]],0)</f>
        <v>0</v>
      </c>
      <c r="X447" s="16">
        <f>IF(OR(Table1[[#This Row],[Gain/Loss]]="Gain",Table1[[#This Row],[Gain/Loss]]="Loss"),Table1[[#This Row],[Quantity]],"")</f>
        <v>1</v>
      </c>
    </row>
    <row r="448" spans="1:24" x14ac:dyDescent="0.25">
      <c r="A448">
        <v>10447</v>
      </c>
      <c r="B448" s="1">
        <v>46104</v>
      </c>
      <c r="C448" s="1" t="str">
        <f>TEXT(Table1[[#This Row],[Order_Date]],"DD")</f>
        <v>23</v>
      </c>
      <c r="D448" s="1" t="str">
        <f>TEXT(Table1[[#This Row],[Order_Date]],"MMM")</f>
        <v>Mar</v>
      </c>
      <c r="E448" s="1" t="str">
        <f>TEXT(Table1[[#This Row],[Order_Date]],"YYYY")</f>
        <v>2026</v>
      </c>
      <c r="F448">
        <v>3821</v>
      </c>
      <c r="G448" t="s">
        <v>29</v>
      </c>
      <c r="H448" t="s">
        <v>24</v>
      </c>
      <c r="I448" t="s">
        <v>19</v>
      </c>
      <c r="J448" t="s">
        <v>27</v>
      </c>
      <c r="K448">
        <v>6</v>
      </c>
      <c r="L448" s="2">
        <v>90.17</v>
      </c>
      <c r="M448" s="3">
        <v>0.1</v>
      </c>
      <c r="N448" s="2">
        <v>541.02</v>
      </c>
      <c r="O448" s="2">
        <v>54.101999999999997</v>
      </c>
      <c r="P448" s="2">
        <v>486.91800000000001</v>
      </c>
      <c r="Q448" s="2">
        <v>18.22</v>
      </c>
      <c r="R448" s="2">
        <v>109.32</v>
      </c>
      <c r="S448" s="2">
        <v>377.59800000000001</v>
      </c>
      <c r="T448" s="3">
        <v>0.77548581075252898</v>
      </c>
      <c r="U448" s="2" t="str">
        <f>IF(Table1[[#This Row],[Net_Revenue]]&lt;Table1[[#This Row],[Total_Cost]], "Loss", "Gain")</f>
        <v>Gain</v>
      </c>
      <c r="V448" s="16">
        <f>IF(Table1[[#This Row],[Gain/Loss]]="Gain",Table1[[#This Row],[Quantity]], 0)</f>
        <v>6</v>
      </c>
      <c r="W448" s="16">
        <f>IF(Table1[[#This Row],[Gain/Loss]]="Loss",Table1[[#This Row],[Quantity]],0)</f>
        <v>0</v>
      </c>
      <c r="X448" s="16">
        <f>IF(OR(Table1[[#This Row],[Gain/Loss]]="Gain",Table1[[#This Row],[Gain/Loss]]="Loss"),Table1[[#This Row],[Quantity]],"")</f>
        <v>6</v>
      </c>
    </row>
    <row r="449" spans="1:24" x14ac:dyDescent="0.25">
      <c r="A449">
        <v>10448</v>
      </c>
      <c r="B449" s="1">
        <v>46105</v>
      </c>
      <c r="C449" s="1" t="str">
        <f>TEXT(Table1[[#This Row],[Order_Date]],"DD")</f>
        <v>24</v>
      </c>
      <c r="D449" s="1" t="str">
        <f>TEXT(Table1[[#This Row],[Order_Date]],"MMM")</f>
        <v>Mar</v>
      </c>
      <c r="E449" s="1" t="str">
        <f>TEXT(Table1[[#This Row],[Order_Date]],"YYYY")</f>
        <v>2026</v>
      </c>
      <c r="F449">
        <v>3775</v>
      </c>
      <c r="G449" t="s">
        <v>17</v>
      </c>
      <c r="H449" t="s">
        <v>18</v>
      </c>
      <c r="I449" t="s">
        <v>26</v>
      </c>
      <c r="J449" t="s">
        <v>30</v>
      </c>
      <c r="K449">
        <v>1</v>
      </c>
      <c r="L449" s="2">
        <v>163.62</v>
      </c>
      <c r="M449" s="3">
        <v>0</v>
      </c>
      <c r="N449" s="2">
        <v>163.62</v>
      </c>
      <c r="O449" s="2">
        <v>0</v>
      </c>
      <c r="P449" s="2">
        <v>163.62</v>
      </c>
      <c r="Q449" s="2">
        <v>52.05</v>
      </c>
      <c r="R449" s="2">
        <v>52.05</v>
      </c>
      <c r="S449" s="2">
        <v>111.57</v>
      </c>
      <c r="T449" s="3">
        <v>0.681884855152181</v>
      </c>
      <c r="U449" s="2" t="str">
        <f>IF(Table1[[#This Row],[Net_Revenue]]&lt;Table1[[#This Row],[Total_Cost]], "Loss", "Gain")</f>
        <v>Gain</v>
      </c>
      <c r="V449" s="16">
        <f>IF(Table1[[#This Row],[Gain/Loss]]="Gain",Table1[[#This Row],[Quantity]], 0)</f>
        <v>1</v>
      </c>
      <c r="W449" s="16">
        <f>IF(Table1[[#This Row],[Gain/Loss]]="Loss",Table1[[#This Row],[Quantity]],0)</f>
        <v>0</v>
      </c>
      <c r="X449" s="16">
        <f>IF(OR(Table1[[#This Row],[Gain/Loss]]="Gain",Table1[[#This Row],[Gain/Loss]]="Loss"),Table1[[#This Row],[Quantity]],"")</f>
        <v>1</v>
      </c>
    </row>
    <row r="450" spans="1:24" x14ac:dyDescent="0.25">
      <c r="A450">
        <v>10449</v>
      </c>
      <c r="B450" s="1">
        <v>46106</v>
      </c>
      <c r="C450" s="1" t="str">
        <f>TEXT(Table1[[#This Row],[Order_Date]],"DD")</f>
        <v>25</v>
      </c>
      <c r="D450" s="1" t="str">
        <f>TEXT(Table1[[#This Row],[Order_Date]],"MMM")</f>
        <v>Mar</v>
      </c>
      <c r="E450" s="1" t="str">
        <f>TEXT(Table1[[#This Row],[Order_Date]],"YYYY")</f>
        <v>2026</v>
      </c>
      <c r="F450">
        <v>3405</v>
      </c>
      <c r="G450" t="s">
        <v>21</v>
      </c>
      <c r="H450" t="s">
        <v>24</v>
      </c>
      <c r="I450" t="s">
        <v>33</v>
      </c>
      <c r="J450" t="s">
        <v>20</v>
      </c>
      <c r="K450">
        <v>3</v>
      </c>
      <c r="L450" s="2">
        <v>208.83</v>
      </c>
      <c r="M450" s="3">
        <v>0.2</v>
      </c>
      <c r="N450" s="2">
        <v>626.49</v>
      </c>
      <c r="O450" s="2">
        <v>125.298</v>
      </c>
      <c r="P450" s="2">
        <v>501.19200000000001</v>
      </c>
      <c r="Q450" s="2">
        <v>56.43</v>
      </c>
      <c r="R450" s="2">
        <v>169.29</v>
      </c>
      <c r="S450" s="2">
        <v>331.90199999999999</v>
      </c>
      <c r="T450" s="3">
        <v>0.66222525499209894</v>
      </c>
      <c r="U450" s="2" t="str">
        <f>IF(Table1[[#This Row],[Net_Revenue]]&lt;Table1[[#This Row],[Total_Cost]], "Loss", "Gain")</f>
        <v>Gain</v>
      </c>
      <c r="V450" s="16">
        <f>IF(Table1[[#This Row],[Gain/Loss]]="Gain",Table1[[#This Row],[Quantity]], 0)</f>
        <v>3</v>
      </c>
      <c r="W450" s="16">
        <f>IF(Table1[[#This Row],[Gain/Loss]]="Loss",Table1[[#This Row],[Quantity]],0)</f>
        <v>0</v>
      </c>
      <c r="X450" s="16">
        <f>IF(OR(Table1[[#This Row],[Gain/Loss]]="Gain",Table1[[#This Row],[Gain/Loss]]="Loss"),Table1[[#This Row],[Quantity]],"")</f>
        <v>3</v>
      </c>
    </row>
    <row r="451" spans="1:24" x14ac:dyDescent="0.25">
      <c r="A451">
        <v>10450</v>
      </c>
      <c r="B451" s="1">
        <v>46107</v>
      </c>
      <c r="C451" s="1" t="str">
        <f>TEXT(Table1[[#This Row],[Order_Date]],"DD")</f>
        <v>26</v>
      </c>
      <c r="D451" s="1" t="str">
        <f>TEXT(Table1[[#This Row],[Order_Date]],"MMM")</f>
        <v>Mar</v>
      </c>
      <c r="E451" s="1" t="str">
        <f>TEXT(Table1[[#This Row],[Order_Date]],"YYYY")</f>
        <v>2026</v>
      </c>
      <c r="F451">
        <v>3126</v>
      </c>
      <c r="G451" t="s">
        <v>23</v>
      </c>
      <c r="H451" t="s">
        <v>24</v>
      </c>
      <c r="I451" t="s">
        <v>33</v>
      </c>
      <c r="J451" t="s">
        <v>20</v>
      </c>
      <c r="K451">
        <v>8</v>
      </c>
      <c r="L451" s="2">
        <v>95.73</v>
      </c>
      <c r="M451" s="3">
        <v>0.05</v>
      </c>
      <c r="N451" s="2">
        <v>765.84</v>
      </c>
      <c r="O451" s="2">
        <v>38.292000000000002</v>
      </c>
      <c r="P451" s="2">
        <v>727.548</v>
      </c>
      <c r="Q451" s="2">
        <v>87.65</v>
      </c>
      <c r="R451" s="2">
        <v>701.2</v>
      </c>
      <c r="S451" s="2">
        <v>26.3479999999999</v>
      </c>
      <c r="T451" s="3">
        <v>3.6214792700962596E-2</v>
      </c>
      <c r="U451" s="2" t="str">
        <f>IF(Table1[[#This Row],[Net_Revenue]]&lt;Table1[[#This Row],[Total_Cost]], "Loss", "Gain")</f>
        <v>Gain</v>
      </c>
      <c r="V451" s="16">
        <f>IF(Table1[[#This Row],[Gain/Loss]]="Gain",Table1[[#This Row],[Quantity]], 0)</f>
        <v>8</v>
      </c>
      <c r="W451" s="16">
        <f>IF(Table1[[#This Row],[Gain/Loss]]="Loss",Table1[[#This Row],[Quantity]],0)</f>
        <v>0</v>
      </c>
      <c r="X451" s="16">
        <f>IF(OR(Table1[[#This Row],[Gain/Loss]]="Gain",Table1[[#This Row],[Gain/Loss]]="Loss"),Table1[[#This Row],[Quantity]],"")</f>
        <v>8</v>
      </c>
    </row>
    <row r="452" spans="1:24" x14ac:dyDescent="0.25">
      <c r="A452">
        <v>10451</v>
      </c>
      <c r="B452" s="1">
        <v>46108</v>
      </c>
      <c r="C452" s="1" t="str">
        <f>TEXT(Table1[[#This Row],[Order_Date]],"DD")</f>
        <v>27</v>
      </c>
      <c r="D452" s="1" t="str">
        <f>TEXT(Table1[[#This Row],[Order_Date]],"MMM")</f>
        <v>Mar</v>
      </c>
      <c r="E452" s="1" t="str">
        <f>TEXT(Table1[[#This Row],[Order_Date]],"YYYY")</f>
        <v>2026</v>
      </c>
      <c r="F452">
        <v>3275</v>
      </c>
      <c r="G452" t="s">
        <v>29</v>
      </c>
      <c r="H452" t="s">
        <v>18</v>
      </c>
      <c r="I452" t="s">
        <v>26</v>
      </c>
      <c r="J452" t="s">
        <v>28</v>
      </c>
      <c r="K452">
        <v>5</v>
      </c>
      <c r="L452" s="2">
        <v>64.489999999999995</v>
      </c>
      <c r="M452" s="3">
        <v>0.1</v>
      </c>
      <c r="N452" s="2">
        <v>322.45</v>
      </c>
      <c r="O452" s="2">
        <v>32.244999999999997</v>
      </c>
      <c r="P452" s="2">
        <v>290.20499999999998</v>
      </c>
      <c r="Q452" s="2">
        <v>102.23</v>
      </c>
      <c r="R452" s="2">
        <v>511.15</v>
      </c>
      <c r="S452" s="2">
        <v>-220.94499999999999</v>
      </c>
      <c r="T452" s="3">
        <v>-0.76134112093175499</v>
      </c>
      <c r="U452" s="2" t="str">
        <f>IF(Table1[[#This Row],[Net_Revenue]]&lt;Table1[[#This Row],[Total_Cost]], "Loss", "Gain")</f>
        <v>Loss</v>
      </c>
      <c r="V452" s="16">
        <f>IF(Table1[[#This Row],[Gain/Loss]]="Gain",Table1[[#This Row],[Quantity]], 0)</f>
        <v>0</v>
      </c>
      <c r="W452" s="16">
        <f>IF(Table1[[#This Row],[Gain/Loss]]="Loss",Table1[[#This Row],[Quantity]],0)</f>
        <v>5</v>
      </c>
      <c r="X452" s="16">
        <f>IF(OR(Table1[[#This Row],[Gain/Loss]]="Gain",Table1[[#This Row],[Gain/Loss]]="Loss"),Table1[[#This Row],[Quantity]],"")</f>
        <v>5</v>
      </c>
    </row>
    <row r="453" spans="1:24" x14ac:dyDescent="0.25">
      <c r="A453">
        <v>10452</v>
      </c>
      <c r="B453" s="1">
        <v>46109</v>
      </c>
      <c r="C453" s="1" t="str">
        <f>TEXT(Table1[[#This Row],[Order_Date]],"DD")</f>
        <v>28</v>
      </c>
      <c r="D453" s="1" t="str">
        <f>TEXT(Table1[[#This Row],[Order_Date]],"MMM")</f>
        <v>Mar</v>
      </c>
      <c r="E453" s="1" t="str">
        <f>TEXT(Table1[[#This Row],[Order_Date]],"YYYY")</f>
        <v>2026</v>
      </c>
      <c r="F453">
        <v>3999</v>
      </c>
      <c r="G453" t="s">
        <v>29</v>
      </c>
      <c r="H453" t="s">
        <v>18</v>
      </c>
      <c r="I453" t="s">
        <v>25</v>
      </c>
      <c r="J453" t="s">
        <v>22</v>
      </c>
      <c r="K453">
        <v>6</v>
      </c>
      <c r="L453" s="2">
        <v>36.11</v>
      </c>
      <c r="M453" s="3">
        <v>0.15</v>
      </c>
      <c r="N453" s="2">
        <v>216.66</v>
      </c>
      <c r="O453" s="2">
        <v>32.498999999999903</v>
      </c>
      <c r="P453" s="2">
        <v>184.161</v>
      </c>
      <c r="Q453" s="2">
        <v>108.06</v>
      </c>
      <c r="R453" s="2">
        <v>648.36</v>
      </c>
      <c r="S453" s="2">
        <v>-464.19900000000001</v>
      </c>
      <c r="T453" s="3">
        <v>-2.5206151139491997</v>
      </c>
      <c r="U453" s="2" t="str">
        <f>IF(Table1[[#This Row],[Net_Revenue]]&lt;Table1[[#This Row],[Total_Cost]], "Loss", "Gain")</f>
        <v>Loss</v>
      </c>
      <c r="V453" s="16">
        <f>IF(Table1[[#This Row],[Gain/Loss]]="Gain",Table1[[#This Row],[Quantity]], 0)</f>
        <v>0</v>
      </c>
      <c r="W453" s="16">
        <f>IF(Table1[[#This Row],[Gain/Loss]]="Loss",Table1[[#This Row],[Quantity]],0)</f>
        <v>6</v>
      </c>
      <c r="X453" s="16">
        <f>IF(OR(Table1[[#This Row],[Gain/Loss]]="Gain",Table1[[#This Row],[Gain/Loss]]="Loss"),Table1[[#This Row],[Quantity]],"")</f>
        <v>6</v>
      </c>
    </row>
    <row r="454" spans="1:24" x14ac:dyDescent="0.25">
      <c r="A454">
        <v>10453</v>
      </c>
      <c r="B454" s="1">
        <v>46110</v>
      </c>
      <c r="C454" s="1" t="str">
        <f>TEXT(Table1[[#This Row],[Order_Date]],"DD")</f>
        <v>29</v>
      </c>
      <c r="D454" s="1" t="str">
        <f>TEXT(Table1[[#This Row],[Order_Date]],"MMM")</f>
        <v>Mar</v>
      </c>
      <c r="E454" s="1" t="str">
        <f>TEXT(Table1[[#This Row],[Order_Date]],"YYYY")</f>
        <v>2026</v>
      </c>
      <c r="F454">
        <v>3854</v>
      </c>
      <c r="G454" t="s">
        <v>21</v>
      </c>
      <c r="H454" t="s">
        <v>18</v>
      </c>
      <c r="I454" t="s">
        <v>26</v>
      </c>
      <c r="J454" t="s">
        <v>31</v>
      </c>
      <c r="K454">
        <v>8</v>
      </c>
      <c r="L454" s="2">
        <v>146.4</v>
      </c>
      <c r="M454" s="3">
        <v>0.05</v>
      </c>
      <c r="N454" s="2">
        <v>1171.2</v>
      </c>
      <c r="O454" s="2">
        <v>58.56</v>
      </c>
      <c r="P454" s="2">
        <v>1112.6400000000001</v>
      </c>
      <c r="Q454" s="2">
        <v>116.53</v>
      </c>
      <c r="R454" s="2">
        <v>932.24</v>
      </c>
      <c r="S454" s="2">
        <v>180.4</v>
      </c>
      <c r="T454" s="3">
        <v>0.16213689962611399</v>
      </c>
      <c r="U454" s="2" t="str">
        <f>IF(Table1[[#This Row],[Net_Revenue]]&lt;Table1[[#This Row],[Total_Cost]], "Loss", "Gain")</f>
        <v>Gain</v>
      </c>
      <c r="V454" s="16">
        <f>IF(Table1[[#This Row],[Gain/Loss]]="Gain",Table1[[#This Row],[Quantity]], 0)</f>
        <v>8</v>
      </c>
      <c r="W454" s="16">
        <f>IF(Table1[[#This Row],[Gain/Loss]]="Loss",Table1[[#This Row],[Quantity]],0)</f>
        <v>0</v>
      </c>
      <c r="X454" s="16">
        <f>IF(OR(Table1[[#This Row],[Gain/Loss]]="Gain",Table1[[#This Row],[Gain/Loss]]="Loss"),Table1[[#This Row],[Quantity]],"")</f>
        <v>8</v>
      </c>
    </row>
    <row r="455" spans="1:24" x14ac:dyDescent="0.25">
      <c r="A455">
        <v>10454</v>
      </c>
      <c r="B455" s="1">
        <v>46111</v>
      </c>
      <c r="C455" s="1" t="str">
        <f>TEXT(Table1[[#This Row],[Order_Date]],"DD")</f>
        <v>30</v>
      </c>
      <c r="D455" s="1" t="str">
        <f>TEXT(Table1[[#This Row],[Order_Date]],"MMM")</f>
        <v>Mar</v>
      </c>
      <c r="E455" s="1" t="str">
        <f>TEXT(Table1[[#This Row],[Order_Date]],"YYYY")</f>
        <v>2026</v>
      </c>
      <c r="F455">
        <v>3301</v>
      </c>
      <c r="G455" t="s">
        <v>23</v>
      </c>
      <c r="H455" t="s">
        <v>24</v>
      </c>
      <c r="I455" t="s">
        <v>33</v>
      </c>
      <c r="J455" t="s">
        <v>20</v>
      </c>
      <c r="K455">
        <v>9</v>
      </c>
      <c r="L455" s="2">
        <v>242</v>
      </c>
      <c r="M455" s="3">
        <v>0.1</v>
      </c>
      <c r="N455" s="2">
        <v>2178</v>
      </c>
      <c r="O455" s="2">
        <v>217.8</v>
      </c>
      <c r="P455" s="2">
        <v>1960.2</v>
      </c>
      <c r="Q455" s="2">
        <v>87.98</v>
      </c>
      <c r="R455" s="2">
        <v>791.82</v>
      </c>
      <c r="S455" s="2">
        <v>1168.3800000000001</v>
      </c>
      <c r="T455" s="3">
        <v>0.59605142332414995</v>
      </c>
      <c r="U455" s="2" t="str">
        <f>IF(Table1[[#This Row],[Net_Revenue]]&lt;Table1[[#This Row],[Total_Cost]], "Loss", "Gain")</f>
        <v>Gain</v>
      </c>
      <c r="V455" s="16">
        <f>IF(Table1[[#This Row],[Gain/Loss]]="Gain",Table1[[#This Row],[Quantity]], 0)</f>
        <v>9</v>
      </c>
      <c r="W455" s="16">
        <f>IF(Table1[[#This Row],[Gain/Loss]]="Loss",Table1[[#This Row],[Quantity]],0)</f>
        <v>0</v>
      </c>
      <c r="X455" s="16">
        <f>IF(OR(Table1[[#This Row],[Gain/Loss]]="Gain",Table1[[#This Row],[Gain/Loss]]="Loss"),Table1[[#This Row],[Quantity]],"")</f>
        <v>9</v>
      </c>
    </row>
    <row r="456" spans="1:24" x14ac:dyDescent="0.25">
      <c r="A456">
        <v>10455</v>
      </c>
      <c r="B456" s="1">
        <v>46112</v>
      </c>
      <c r="C456" s="1" t="str">
        <f>TEXT(Table1[[#This Row],[Order_Date]],"DD")</f>
        <v>31</v>
      </c>
      <c r="D456" s="1" t="str">
        <f>TEXT(Table1[[#This Row],[Order_Date]],"MMM")</f>
        <v>Mar</v>
      </c>
      <c r="E456" s="1" t="str">
        <f>TEXT(Table1[[#This Row],[Order_Date]],"YYYY")</f>
        <v>2026</v>
      </c>
      <c r="F456">
        <v>3434</v>
      </c>
      <c r="G456" t="s">
        <v>17</v>
      </c>
      <c r="H456" t="s">
        <v>24</v>
      </c>
      <c r="I456" t="s">
        <v>33</v>
      </c>
      <c r="J456" t="s">
        <v>20</v>
      </c>
      <c r="K456">
        <v>4</v>
      </c>
      <c r="L456" s="2">
        <v>140.34</v>
      </c>
      <c r="M456" s="3">
        <v>0.1</v>
      </c>
      <c r="N456" s="2">
        <v>561.36</v>
      </c>
      <c r="O456" s="2">
        <v>56.136000000000003</v>
      </c>
      <c r="P456" s="2">
        <v>505.22399999999999</v>
      </c>
      <c r="Q456" s="2">
        <v>79.260000000000005</v>
      </c>
      <c r="R456" s="2">
        <v>317.04000000000002</v>
      </c>
      <c r="S456" s="2">
        <v>188.183999999999</v>
      </c>
      <c r="T456" s="3">
        <v>0.37247636691843605</v>
      </c>
      <c r="U456" s="2" t="str">
        <f>IF(Table1[[#This Row],[Net_Revenue]]&lt;Table1[[#This Row],[Total_Cost]], "Loss", "Gain")</f>
        <v>Gain</v>
      </c>
      <c r="V456" s="16">
        <f>IF(Table1[[#This Row],[Gain/Loss]]="Gain",Table1[[#This Row],[Quantity]], 0)</f>
        <v>4</v>
      </c>
      <c r="W456" s="16">
        <f>IF(Table1[[#This Row],[Gain/Loss]]="Loss",Table1[[#This Row],[Quantity]],0)</f>
        <v>0</v>
      </c>
      <c r="X456" s="16">
        <f>IF(OR(Table1[[#This Row],[Gain/Loss]]="Gain",Table1[[#This Row],[Gain/Loss]]="Loss"),Table1[[#This Row],[Quantity]],"")</f>
        <v>4</v>
      </c>
    </row>
    <row r="457" spans="1:24" x14ac:dyDescent="0.25">
      <c r="A457">
        <v>10456</v>
      </c>
      <c r="B457" s="1">
        <v>46113</v>
      </c>
      <c r="C457" s="1" t="str">
        <f>TEXT(Table1[[#This Row],[Order_Date]],"DD")</f>
        <v>01</v>
      </c>
      <c r="D457" s="1" t="str">
        <f>TEXT(Table1[[#This Row],[Order_Date]],"MMM")</f>
        <v>Apr</v>
      </c>
      <c r="E457" s="1" t="str">
        <f>TEXT(Table1[[#This Row],[Order_Date]],"YYYY")</f>
        <v>2026</v>
      </c>
      <c r="F457">
        <v>3227</v>
      </c>
      <c r="G457" t="s">
        <v>29</v>
      </c>
      <c r="H457" t="s">
        <v>24</v>
      </c>
      <c r="I457" t="s">
        <v>26</v>
      </c>
      <c r="J457" t="s">
        <v>28</v>
      </c>
      <c r="K457">
        <v>3</v>
      </c>
      <c r="L457" s="2">
        <v>17.73</v>
      </c>
      <c r="M457" s="3">
        <v>0.2</v>
      </c>
      <c r="N457" s="2">
        <v>53.19</v>
      </c>
      <c r="O457" s="2">
        <v>10.638</v>
      </c>
      <c r="P457" s="2">
        <v>42.552</v>
      </c>
      <c r="Q457" s="2">
        <v>93.7</v>
      </c>
      <c r="R457" s="2">
        <v>281.10000000000002</v>
      </c>
      <c r="S457" s="2">
        <v>-238.548</v>
      </c>
      <c r="T457" s="3">
        <v>-5.60603496897913</v>
      </c>
      <c r="U457" s="2" t="str">
        <f>IF(Table1[[#This Row],[Net_Revenue]]&lt;Table1[[#This Row],[Total_Cost]], "Loss", "Gain")</f>
        <v>Loss</v>
      </c>
      <c r="V457" s="16">
        <f>IF(Table1[[#This Row],[Gain/Loss]]="Gain",Table1[[#This Row],[Quantity]], 0)</f>
        <v>0</v>
      </c>
      <c r="W457" s="16">
        <f>IF(Table1[[#This Row],[Gain/Loss]]="Loss",Table1[[#This Row],[Quantity]],0)</f>
        <v>3</v>
      </c>
      <c r="X457" s="16">
        <f>IF(OR(Table1[[#This Row],[Gain/Loss]]="Gain",Table1[[#This Row],[Gain/Loss]]="Loss"),Table1[[#This Row],[Quantity]],"")</f>
        <v>3</v>
      </c>
    </row>
    <row r="458" spans="1:24" x14ac:dyDescent="0.25">
      <c r="A458">
        <v>10457</v>
      </c>
      <c r="B458" s="1">
        <v>46114</v>
      </c>
      <c r="C458" s="1" t="str">
        <f>TEXT(Table1[[#This Row],[Order_Date]],"DD")</f>
        <v>02</v>
      </c>
      <c r="D458" s="1" t="str">
        <f>TEXT(Table1[[#This Row],[Order_Date]],"MMM")</f>
        <v>Apr</v>
      </c>
      <c r="E458" s="1" t="str">
        <f>TEXT(Table1[[#This Row],[Order_Date]],"YYYY")</f>
        <v>2026</v>
      </c>
      <c r="F458">
        <v>3894</v>
      </c>
      <c r="G458" t="s">
        <v>23</v>
      </c>
      <c r="H458" t="s">
        <v>18</v>
      </c>
      <c r="I458" t="s">
        <v>25</v>
      </c>
      <c r="J458" t="s">
        <v>32</v>
      </c>
      <c r="K458">
        <v>7</v>
      </c>
      <c r="L458" s="2">
        <v>83.99</v>
      </c>
      <c r="M458" s="3">
        <v>0.2</v>
      </c>
      <c r="N458" s="2">
        <v>587.92999999999995</v>
      </c>
      <c r="O458" s="2">
        <v>117.586</v>
      </c>
      <c r="P458" s="2">
        <v>470.34399999999903</v>
      </c>
      <c r="Q458" s="2">
        <v>106.87</v>
      </c>
      <c r="R458" s="2">
        <v>748.09</v>
      </c>
      <c r="S458" s="2">
        <v>-277.74599999999998</v>
      </c>
      <c r="T458" s="3">
        <v>-0.59051672818192602</v>
      </c>
      <c r="U458" s="2" t="str">
        <f>IF(Table1[[#This Row],[Net_Revenue]]&lt;Table1[[#This Row],[Total_Cost]], "Loss", "Gain")</f>
        <v>Loss</v>
      </c>
      <c r="V458" s="16">
        <f>IF(Table1[[#This Row],[Gain/Loss]]="Gain",Table1[[#This Row],[Quantity]], 0)</f>
        <v>0</v>
      </c>
      <c r="W458" s="16">
        <f>IF(Table1[[#This Row],[Gain/Loss]]="Loss",Table1[[#This Row],[Quantity]],0)</f>
        <v>7</v>
      </c>
      <c r="X458" s="16">
        <f>IF(OR(Table1[[#This Row],[Gain/Loss]]="Gain",Table1[[#This Row],[Gain/Loss]]="Loss"),Table1[[#This Row],[Quantity]],"")</f>
        <v>7</v>
      </c>
    </row>
    <row r="459" spans="1:24" x14ac:dyDescent="0.25">
      <c r="A459">
        <v>10458</v>
      </c>
      <c r="B459" s="1">
        <v>46115</v>
      </c>
      <c r="C459" s="1" t="str">
        <f>TEXT(Table1[[#This Row],[Order_Date]],"DD")</f>
        <v>03</v>
      </c>
      <c r="D459" s="1" t="str">
        <f>TEXT(Table1[[#This Row],[Order_Date]],"MMM")</f>
        <v>Apr</v>
      </c>
      <c r="E459" s="1" t="str">
        <f>TEXT(Table1[[#This Row],[Order_Date]],"YYYY")</f>
        <v>2026</v>
      </c>
      <c r="F459">
        <v>3849</v>
      </c>
      <c r="G459" t="s">
        <v>21</v>
      </c>
      <c r="H459" t="s">
        <v>24</v>
      </c>
      <c r="I459" t="s">
        <v>26</v>
      </c>
      <c r="J459" t="s">
        <v>30</v>
      </c>
      <c r="K459">
        <v>3</v>
      </c>
      <c r="L459" s="2">
        <v>182.49</v>
      </c>
      <c r="M459" s="3">
        <v>0.15</v>
      </c>
      <c r="N459" s="2">
        <v>547.47</v>
      </c>
      <c r="O459" s="2">
        <v>82.120500000000007</v>
      </c>
      <c r="P459" s="2">
        <v>465.34949999999998</v>
      </c>
      <c r="Q459" s="2">
        <v>127.61</v>
      </c>
      <c r="R459" s="2">
        <v>382.83</v>
      </c>
      <c r="S459" s="2">
        <v>82.519499999999994</v>
      </c>
      <c r="T459" s="3">
        <v>0.17732800830343598</v>
      </c>
      <c r="U459" s="2" t="str">
        <f>IF(Table1[[#This Row],[Net_Revenue]]&lt;Table1[[#This Row],[Total_Cost]], "Loss", "Gain")</f>
        <v>Gain</v>
      </c>
      <c r="V459" s="16">
        <f>IF(Table1[[#This Row],[Gain/Loss]]="Gain",Table1[[#This Row],[Quantity]], 0)</f>
        <v>3</v>
      </c>
      <c r="W459" s="16">
        <f>IF(Table1[[#This Row],[Gain/Loss]]="Loss",Table1[[#This Row],[Quantity]],0)</f>
        <v>0</v>
      </c>
      <c r="X459" s="16">
        <f>IF(OR(Table1[[#This Row],[Gain/Loss]]="Gain",Table1[[#This Row],[Gain/Loss]]="Loss"),Table1[[#This Row],[Quantity]],"")</f>
        <v>3</v>
      </c>
    </row>
    <row r="460" spans="1:24" x14ac:dyDescent="0.25">
      <c r="A460">
        <v>10459</v>
      </c>
      <c r="B460" s="1">
        <v>46116</v>
      </c>
      <c r="C460" s="1" t="str">
        <f>TEXT(Table1[[#This Row],[Order_Date]],"DD")</f>
        <v>04</v>
      </c>
      <c r="D460" s="1" t="str">
        <f>TEXT(Table1[[#This Row],[Order_Date]],"MMM")</f>
        <v>Apr</v>
      </c>
      <c r="E460" s="1" t="str">
        <f>TEXT(Table1[[#This Row],[Order_Date]],"YYYY")</f>
        <v>2026</v>
      </c>
      <c r="F460">
        <v>3545</v>
      </c>
      <c r="G460" t="s">
        <v>17</v>
      </c>
      <c r="H460" t="s">
        <v>18</v>
      </c>
      <c r="I460" t="s">
        <v>26</v>
      </c>
      <c r="J460" t="s">
        <v>30</v>
      </c>
      <c r="K460">
        <v>1</v>
      </c>
      <c r="L460" s="2">
        <v>237.1</v>
      </c>
      <c r="M460" s="3">
        <v>0.1</v>
      </c>
      <c r="N460" s="2">
        <v>237.1</v>
      </c>
      <c r="O460" s="2">
        <v>23.71</v>
      </c>
      <c r="P460" s="2">
        <v>213.39</v>
      </c>
      <c r="Q460" s="2">
        <v>41.52</v>
      </c>
      <c r="R460" s="2">
        <v>41.52</v>
      </c>
      <c r="S460" s="2">
        <v>171.86999999999901</v>
      </c>
      <c r="T460" s="3">
        <v>0.80542668353718494</v>
      </c>
      <c r="U460" s="2" t="str">
        <f>IF(Table1[[#This Row],[Net_Revenue]]&lt;Table1[[#This Row],[Total_Cost]], "Loss", "Gain")</f>
        <v>Gain</v>
      </c>
      <c r="V460" s="16">
        <f>IF(Table1[[#This Row],[Gain/Loss]]="Gain",Table1[[#This Row],[Quantity]], 0)</f>
        <v>1</v>
      </c>
      <c r="W460" s="16">
        <f>IF(Table1[[#This Row],[Gain/Loss]]="Loss",Table1[[#This Row],[Quantity]],0)</f>
        <v>0</v>
      </c>
      <c r="X460" s="16">
        <f>IF(OR(Table1[[#This Row],[Gain/Loss]]="Gain",Table1[[#This Row],[Gain/Loss]]="Loss"),Table1[[#This Row],[Quantity]],"")</f>
        <v>1</v>
      </c>
    </row>
    <row r="461" spans="1:24" x14ac:dyDescent="0.25">
      <c r="A461">
        <v>10460</v>
      </c>
      <c r="B461" s="1">
        <v>46117</v>
      </c>
      <c r="C461" s="1" t="str">
        <f>TEXT(Table1[[#This Row],[Order_Date]],"DD")</f>
        <v>05</v>
      </c>
      <c r="D461" s="1" t="str">
        <f>TEXT(Table1[[#This Row],[Order_Date]],"MMM")</f>
        <v>Apr</v>
      </c>
      <c r="E461" s="1" t="str">
        <f>TEXT(Table1[[#This Row],[Order_Date]],"YYYY")</f>
        <v>2026</v>
      </c>
      <c r="F461">
        <v>3776</v>
      </c>
      <c r="G461" t="s">
        <v>17</v>
      </c>
      <c r="H461" t="s">
        <v>18</v>
      </c>
      <c r="I461" t="s">
        <v>25</v>
      </c>
      <c r="J461" t="s">
        <v>32</v>
      </c>
      <c r="K461">
        <v>2</v>
      </c>
      <c r="L461" s="2">
        <v>45.21</v>
      </c>
      <c r="M461" s="3">
        <v>0.15</v>
      </c>
      <c r="N461" s="2">
        <v>90.42</v>
      </c>
      <c r="O461" s="2">
        <v>13.563000000000001</v>
      </c>
      <c r="P461" s="2">
        <v>76.856999999999999</v>
      </c>
      <c r="Q461" s="2">
        <v>129.56</v>
      </c>
      <c r="R461" s="2">
        <v>259.12</v>
      </c>
      <c r="S461" s="2">
        <v>-182.26300000000001</v>
      </c>
      <c r="T461" s="3">
        <v>-2.3714560807733802</v>
      </c>
      <c r="U461" s="2" t="str">
        <f>IF(Table1[[#This Row],[Net_Revenue]]&lt;Table1[[#This Row],[Total_Cost]], "Loss", "Gain")</f>
        <v>Loss</v>
      </c>
      <c r="V461" s="16">
        <f>IF(Table1[[#This Row],[Gain/Loss]]="Gain",Table1[[#This Row],[Quantity]], 0)</f>
        <v>0</v>
      </c>
      <c r="W461" s="16">
        <f>IF(Table1[[#This Row],[Gain/Loss]]="Loss",Table1[[#This Row],[Quantity]],0)</f>
        <v>2</v>
      </c>
      <c r="X461" s="16">
        <f>IF(OR(Table1[[#This Row],[Gain/Loss]]="Gain",Table1[[#This Row],[Gain/Loss]]="Loss"),Table1[[#This Row],[Quantity]],"")</f>
        <v>2</v>
      </c>
    </row>
    <row r="462" spans="1:24" x14ac:dyDescent="0.25">
      <c r="A462">
        <v>10461</v>
      </c>
      <c r="B462" s="1">
        <v>46118</v>
      </c>
      <c r="C462" s="1" t="str">
        <f>TEXT(Table1[[#This Row],[Order_Date]],"DD")</f>
        <v>06</v>
      </c>
      <c r="D462" s="1" t="str">
        <f>TEXT(Table1[[#This Row],[Order_Date]],"MMM")</f>
        <v>Apr</v>
      </c>
      <c r="E462" s="1" t="str">
        <f>TEXT(Table1[[#This Row],[Order_Date]],"YYYY")</f>
        <v>2026</v>
      </c>
      <c r="F462">
        <v>3884</v>
      </c>
      <c r="G462" t="s">
        <v>17</v>
      </c>
      <c r="H462" t="s">
        <v>24</v>
      </c>
      <c r="I462" t="s">
        <v>19</v>
      </c>
      <c r="J462" t="s">
        <v>27</v>
      </c>
      <c r="K462">
        <v>3</v>
      </c>
      <c r="L462" s="2">
        <v>216.93</v>
      </c>
      <c r="M462" s="3">
        <v>0.2</v>
      </c>
      <c r="N462" s="2">
        <v>650.79</v>
      </c>
      <c r="O462" s="2">
        <v>130.15799999999999</v>
      </c>
      <c r="P462" s="2">
        <v>520.63199999999995</v>
      </c>
      <c r="Q462" s="2">
        <v>33.71</v>
      </c>
      <c r="R462" s="2">
        <v>101.13</v>
      </c>
      <c r="S462" s="2">
        <v>419.50199999999899</v>
      </c>
      <c r="T462" s="3">
        <v>0.80575531277370505</v>
      </c>
      <c r="U462" s="2" t="str">
        <f>IF(Table1[[#This Row],[Net_Revenue]]&lt;Table1[[#This Row],[Total_Cost]], "Loss", "Gain")</f>
        <v>Gain</v>
      </c>
      <c r="V462" s="16">
        <f>IF(Table1[[#This Row],[Gain/Loss]]="Gain",Table1[[#This Row],[Quantity]], 0)</f>
        <v>3</v>
      </c>
      <c r="W462" s="16">
        <f>IF(Table1[[#This Row],[Gain/Loss]]="Loss",Table1[[#This Row],[Quantity]],0)</f>
        <v>0</v>
      </c>
      <c r="X462" s="16">
        <f>IF(OR(Table1[[#This Row],[Gain/Loss]]="Gain",Table1[[#This Row],[Gain/Loss]]="Loss"),Table1[[#This Row],[Quantity]],"")</f>
        <v>3</v>
      </c>
    </row>
    <row r="463" spans="1:24" x14ac:dyDescent="0.25">
      <c r="A463">
        <v>10462</v>
      </c>
      <c r="B463" s="1">
        <v>46119</v>
      </c>
      <c r="C463" s="1" t="str">
        <f>TEXT(Table1[[#This Row],[Order_Date]],"DD")</f>
        <v>07</v>
      </c>
      <c r="D463" s="1" t="str">
        <f>TEXT(Table1[[#This Row],[Order_Date]],"MMM")</f>
        <v>Apr</v>
      </c>
      <c r="E463" s="1" t="str">
        <f>TEXT(Table1[[#This Row],[Order_Date]],"YYYY")</f>
        <v>2026</v>
      </c>
      <c r="F463">
        <v>3719</v>
      </c>
      <c r="G463" t="s">
        <v>21</v>
      </c>
      <c r="H463" t="s">
        <v>18</v>
      </c>
      <c r="I463" t="s">
        <v>33</v>
      </c>
      <c r="J463" t="s">
        <v>20</v>
      </c>
      <c r="K463">
        <v>4</v>
      </c>
      <c r="L463" s="2">
        <v>196.4</v>
      </c>
      <c r="M463" s="3">
        <v>0.2</v>
      </c>
      <c r="N463" s="2">
        <v>785.6</v>
      </c>
      <c r="O463" s="2">
        <v>157.12</v>
      </c>
      <c r="P463" s="2">
        <v>628.48</v>
      </c>
      <c r="Q463" s="2">
        <v>7.52</v>
      </c>
      <c r="R463" s="2">
        <v>30.08</v>
      </c>
      <c r="S463" s="2">
        <v>598.4</v>
      </c>
      <c r="T463" s="3">
        <v>0.95213849287168995</v>
      </c>
      <c r="U463" s="2" t="str">
        <f>IF(Table1[[#This Row],[Net_Revenue]]&lt;Table1[[#This Row],[Total_Cost]], "Loss", "Gain")</f>
        <v>Gain</v>
      </c>
      <c r="V463" s="16">
        <f>IF(Table1[[#This Row],[Gain/Loss]]="Gain",Table1[[#This Row],[Quantity]], 0)</f>
        <v>4</v>
      </c>
      <c r="W463" s="16">
        <f>IF(Table1[[#This Row],[Gain/Loss]]="Loss",Table1[[#This Row],[Quantity]],0)</f>
        <v>0</v>
      </c>
      <c r="X463" s="16">
        <f>IF(OR(Table1[[#This Row],[Gain/Loss]]="Gain",Table1[[#This Row],[Gain/Loss]]="Loss"),Table1[[#This Row],[Quantity]],"")</f>
        <v>4</v>
      </c>
    </row>
    <row r="464" spans="1:24" x14ac:dyDescent="0.25">
      <c r="A464">
        <v>10463</v>
      </c>
      <c r="B464" s="1">
        <v>46120</v>
      </c>
      <c r="C464" s="1" t="str">
        <f>TEXT(Table1[[#This Row],[Order_Date]],"DD")</f>
        <v>08</v>
      </c>
      <c r="D464" s="1" t="str">
        <f>TEXT(Table1[[#This Row],[Order_Date]],"MMM")</f>
        <v>Apr</v>
      </c>
      <c r="E464" s="1" t="str">
        <f>TEXT(Table1[[#This Row],[Order_Date]],"YYYY")</f>
        <v>2026</v>
      </c>
      <c r="F464">
        <v>3970</v>
      </c>
      <c r="G464" t="s">
        <v>21</v>
      </c>
      <c r="H464" t="s">
        <v>18</v>
      </c>
      <c r="I464" t="s">
        <v>26</v>
      </c>
      <c r="J464" t="s">
        <v>28</v>
      </c>
      <c r="K464">
        <v>4</v>
      </c>
      <c r="L464" s="2">
        <v>112.65</v>
      </c>
      <c r="M464" s="3">
        <v>0.2</v>
      </c>
      <c r="N464" s="2">
        <v>450.6</v>
      </c>
      <c r="O464" s="2">
        <v>90.12</v>
      </c>
      <c r="P464" s="2">
        <v>360.48</v>
      </c>
      <c r="Q464" s="2">
        <v>120.52</v>
      </c>
      <c r="R464" s="2">
        <v>482.08</v>
      </c>
      <c r="S464" s="2">
        <v>-121.599999999999</v>
      </c>
      <c r="T464" s="3">
        <v>-0.33732800710164201</v>
      </c>
      <c r="U464" s="2" t="str">
        <f>IF(Table1[[#This Row],[Net_Revenue]]&lt;Table1[[#This Row],[Total_Cost]], "Loss", "Gain")</f>
        <v>Loss</v>
      </c>
      <c r="V464" s="16">
        <f>IF(Table1[[#This Row],[Gain/Loss]]="Gain",Table1[[#This Row],[Quantity]], 0)</f>
        <v>0</v>
      </c>
      <c r="W464" s="16">
        <f>IF(Table1[[#This Row],[Gain/Loss]]="Loss",Table1[[#This Row],[Quantity]],0)</f>
        <v>4</v>
      </c>
      <c r="X464" s="16">
        <f>IF(OR(Table1[[#This Row],[Gain/Loss]]="Gain",Table1[[#This Row],[Gain/Loss]]="Loss"),Table1[[#This Row],[Quantity]],"")</f>
        <v>4</v>
      </c>
    </row>
    <row r="465" spans="1:24" x14ac:dyDescent="0.25">
      <c r="A465">
        <v>10464</v>
      </c>
      <c r="B465" s="1">
        <v>46121</v>
      </c>
      <c r="C465" s="1" t="str">
        <f>TEXT(Table1[[#This Row],[Order_Date]],"DD")</f>
        <v>09</v>
      </c>
      <c r="D465" s="1" t="str">
        <f>TEXT(Table1[[#This Row],[Order_Date]],"MMM")</f>
        <v>Apr</v>
      </c>
      <c r="E465" s="1" t="str">
        <f>TEXT(Table1[[#This Row],[Order_Date]],"YYYY")</f>
        <v>2026</v>
      </c>
      <c r="F465">
        <v>3786</v>
      </c>
      <c r="G465" t="s">
        <v>17</v>
      </c>
      <c r="H465" t="s">
        <v>24</v>
      </c>
      <c r="I465" t="s">
        <v>26</v>
      </c>
      <c r="J465" t="s">
        <v>30</v>
      </c>
      <c r="K465">
        <v>1</v>
      </c>
      <c r="L465" s="2">
        <v>234.67</v>
      </c>
      <c r="M465" s="3">
        <v>0.15</v>
      </c>
      <c r="N465" s="2">
        <v>234.67</v>
      </c>
      <c r="O465" s="2">
        <v>35.200499999999998</v>
      </c>
      <c r="P465" s="2">
        <v>199.46949999999899</v>
      </c>
      <c r="Q465" s="2">
        <v>38.46</v>
      </c>
      <c r="R465" s="2">
        <v>38.46</v>
      </c>
      <c r="S465" s="2">
        <v>161.00949999999901</v>
      </c>
      <c r="T465" s="3">
        <v>0.80718856767575897</v>
      </c>
      <c r="U465" s="2" t="str">
        <f>IF(Table1[[#This Row],[Net_Revenue]]&lt;Table1[[#This Row],[Total_Cost]], "Loss", "Gain")</f>
        <v>Gain</v>
      </c>
      <c r="V465" s="16">
        <f>IF(Table1[[#This Row],[Gain/Loss]]="Gain",Table1[[#This Row],[Quantity]], 0)</f>
        <v>1</v>
      </c>
      <c r="W465" s="16">
        <f>IF(Table1[[#This Row],[Gain/Loss]]="Loss",Table1[[#This Row],[Quantity]],0)</f>
        <v>0</v>
      </c>
      <c r="X465" s="16">
        <f>IF(OR(Table1[[#This Row],[Gain/Loss]]="Gain",Table1[[#This Row],[Gain/Loss]]="Loss"),Table1[[#This Row],[Quantity]],"")</f>
        <v>1</v>
      </c>
    </row>
    <row r="466" spans="1:24" x14ac:dyDescent="0.25">
      <c r="A466">
        <v>10465</v>
      </c>
      <c r="B466" s="1">
        <v>46122</v>
      </c>
      <c r="C466" s="1" t="str">
        <f>TEXT(Table1[[#This Row],[Order_Date]],"DD")</f>
        <v>10</v>
      </c>
      <c r="D466" s="1" t="str">
        <f>TEXT(Table1[[#This Row],[Order_Date]],"MMM")</f>
        <v>Apr</v>
      </c>
      <c r="E466" s="1" t="str">
        <f>TEXT(Table1[[#This Row],[Order_Date]],"YYYY")</f>
        <v>2026</v>
      </c>
      <c r="F466">
        <v>3987</v>
      </c>
      <c r="G466" t="s">
        <v>21</v>
      </c>
      <c r="H466" t="s">
        <v>18</v>
      </c>
      <c r="I466" t="s">
        <v>26</v>
      </c>
      <c r="J466" t="s">
        <v>28</v>
      </c>
      <c r="K466">
        <v>8</v>
      </c>
      <c r="L466" s="2">
        <v>137.75</v>
      </c>
      <c r="M466" s="3">
        <v>0</v>
      </c>
      <c r="N466" s="2">
        <v>1102</v>
      </c>
      <c r="O466" s="2">
        <v>0</v>
      </c>
      <c r="P466" s="2">
        <v>1102</v>
      </c>
      <c r="Q466" s="2">
        <v>126.59</v>
      </c>
      <c r="R466" s="2">
        <v>1012.72</v>
      </c>
      <c r="S466" s="2">
        <v>89.279999999999902</v>
      </c>
      <c r="T466" s="3">
        <v>8.1016333938293897E-2</v>
      </c>
      <c r="U466" s="2" t="str">
        <f>IF(Table1[[#This Row],[Net_Revenue]]&lt;Table1[[#This Row],[Total_Cost]], "Loss", "Gain")</f>
        <v>Gain</v>
      </c>
      <c r="V466" s="16">
        <f>IF(Table1[[#This Row],[Gain/Loss]]="Gain",Table1[[#This Row],[Quantity]], 0)</f>
        <v>8</v>
      </c>
      <c r="W466" s="16">
        <f>IF(Table1[[#This Row],[Gain/Loss]]="Loss",Table1[[#This Row],[Quantity]],0)</f>
        <v>0</v>
      </c>
      <c r="X466" s="16">
        <f>IF(OR(Table1[[#This Row],[Gain/Loss]]="Gain",Table1[[#This Row],[Gain/Loss]]="Loss"),Table1[[#This Row],[Quantity]],"")</f>
        <v>8</v>
      </c>
    </row>
    <row r="467" spans="1:24" x14ac:dyDescent="0.25">
      <c r="A467">
        <v>10466</v>
      </c>
      <c r="B467" s="1">
        <v>46123</v>
      </c>
      <c r="C467" s="1" t="str">
        <f>TEXT(Table1[[#This Row],[Order_Date]],"DD")</f>
        <v>11</v>
      </c>
      <c r="D467" s="1" t="str">
        <f>TEXT(Table1[[#This Row],[Order_Date]],"MMM")</f>
        <v>Apr</v>
      </c>
      <c r="E467" s="1" t="str">
        <f>TEXT(Table1[[#This Row],[Order_Date]],"YYYY")</f>
        <v>2026</v>
      </c>
      <c r="F467">
        <v>3443</v>
      </c>
      <c r="G467" t="s">
        <v>29</v>
      </c>
      <c r="H467" t="s">
        <v>24</v>
      </c>
      <c r="I467" t="s">
        <v>25</v>
      </c>
      <c r="J467" t="s">
        <v>22</v>
      </c>
      <c r="K467">
        <v>1</v>
      </c>
      <c r="L467" s="2">
        <v>91.89</v>
      </c>
      <c r="M467" s="3">
        <v>0.05</v>
      </c>
      <c r="N467" s="2">
        <v>91.89</v>
      </c>
      <c r="O467" s="2">
        <v>4.5945</v>
      </c>
      <c r="P467" s="2">
        <v>87.295500000000004</v>
      </c>
      <c r="Q467" s="2">
        <v>56.73</v>
      </c>
      <c r="R467" s="2">
        <v>56.73</v>
      </c>
      <c r="S467" s="2">
        <v>30.5655</v>
      </c>
      <c r="T467" s="3">
        <v>0.35013832328126804</v>
      </c>
      <c r="U467" s="2" t="str">
        <f>IF(Table1[[#This Row],[Net_Revenue]]&lt;Table1[[#This Row],[Total_Cost]], "Loss", "Gain")</f>
        <v>Gain</v>
      </c>
      <c r="V467" s="16">
        <f>IF(Table1[[#This Row],[Gain/Loss]]="Gain",Table1[[#This Row],[Quantity]], 0)</f>
        <v>1</v>
      </c>
      <c r="W467" s="16">
        <f>IF(Table1[[#This Row],[Gain/Loss]]="Loss",Table1[[#This Row],[Quantity]],0)</f>
        <v>0</v>
      </c>
      <c r="X467" s="16">
        <f>IF(OR(Table1[[#This Row],[Gain/Loss]]="Gain",Table1[[#This Row],[Gain/Loss]]="Loss"),Table1[[#This Row],[Quantity]],"")</f>
        <v>1</v>
      </c>
    </row>
    <row r="468" spans="1:24" x14ac:dyDescent="0.25">
      <c r="A468">
        <v>10467</v>
      </c>
      <c r="B468" s="1">
        <v>46124</v>
      </c>
      <c r="C468" s="1" t="str">
        <f>TEXT(Table1[[#This Row],[Order_Date]],"DD")</f>
        <v>12</v>
      </c>
      <c r="D468" s="1" t="str">
        <f>TEXT(Table1[[#This Row],[Order_Date]],"MMM")</f>
        <v>Apr</v>
      </c>
      <c r="E468" s="1" t="str">
        <f>TEXT(Table1[[#This Row],[Order_Date]],"YYYY")</f>
        <v>2026</v>
      </c>
      <c r="F468">
        <v>3593</v>
      </c>
      <c r="G468" t="s">
        <v>21</v>
      </c>
      <c r="H468" t="s">
        <v>24</v>
      </c>
      <c r="I468" t="s">
        <v>26</v>
      </c>
      <c r="J468" t="s">
        <v>31</v>
      </c>
      <c r="K468">
        <v>7</v>
      </c>
      <c r="L468" s="2">
        <v>110.62</v>
      </c>
      <c r="M468" s="3">
        <v>0.05</v>
      </c>
      <c r="N468" s="2">
        <v>774.34</v>
      </c>
      <c r="O468" s="2">
        <v>38.716999999999999</v>
      </c>
      <c r="P468" s="2">
        <v>735.62300000000005</v>
      </c>
      <c r="Q468" s="2">
        <v>56.16</v>
      </c>
      <c r="R468" s="2">
        <v>393.12</v>
      </c>
      <c r="S468" s="2">
        <v>342.50299999999999</v>
      </c>
      <c r="T468" s="3">
        <v>0.46559582829791801</v>
      </c>
      <c r="U468" s="2" t="str">
        <f>IF(Table1[[#This Row],[Net_Revenue]]&lt;Table1[[#This Row],[Total_Cost]], "Loss", "Gain")</f>
        <v>Gain</v>
      </c>
      <c r="V468" s="16">
        <f>IF(Table1[[#This Row],[Gain/Loss]]="Gain",Table1[[#This Row],[Quantity]], 0)</f>
        <v>7</v>
      </c>
      <c r="W468" s="16">
        <f>IF(Table1[[#This Row],[Gain/Loss]]="Loss",Table1[[#This Row],[Quantity]],0)</f>
        <v>0</v>
      </c>
      <c r="X468" s="16">
        <f>IF(OR(Table1[[#This Row],[Gain/Loss]]="Gain",Table1[[#This Row],[Gain/Loss]]="Loss"),Table1[[#This Row],[Quantity]],"")</f>
        <v>7</v>
      </c>
    </row>
    <row r="469" spans="1:24" x14ac:dyDescent="0.25">
      <c r="A469">
        <v>10468</v>
      </c>
      <c r="B469" s="1">
        <v>46125</v>
      </c>
      <c r="C469" s="1" t="str">
        <f>TEXT(Table1[[#This Row],[Order_Date]],"DD")</f>
        <v>13</v>
      </c>
      <c r="D469" s="1" t="str">
        <f>TEXT(Table1[[#This Row],[Order_Date]],"MMM")</f>
        <v>Apr</v>
      </c>
      <c r="E469" s="1" t="str">
        <f>TEXT(Table1[[#This Row],[Order_Date]],"YYYY")</f>
        <v>2026</v>
      </c>
      <c r="F469">
        <v>3986</v>
      </c>
      <c r="G469" t="s">
        <v>23</v>
      </c>
      <c r="H469" t="s">
        <v>24</v>
      </c>
      <c r="I469" t="s">
        <v>26</v>
      </c>
      <c r="J469" t="s">
        <v>30</v>
      </c>
      <c r="K469">
        <v>8</v>
      </c>
      <c r="L469" s="2">
        <v>68.64</v>
      </c>
      <c r="M469" s="3">
        <v>0</v>
      </c>
      <c r="N469" s="2">
        <v>549.12</v>
      </c>
      <c r="O469" s="2">
        <v>0</v>
      </c>
      <c r="P469" s="2">
        <v>549.12</v>
      </c>
      <c r="Q469" s="2">
        <v>131.11000000000001</v>
      </c>
      <c r="R469" s="2">
        <v>1048.8800000000001</v>
      </c>
      <c r="S469" s="2">
        <v>-499.76</v>
      </c>
      <c r="T469" s="3">
        <v>-0.91011072261072201</v>
      </c>
      <c r="U469" s="2" t="str">
        <f>IF(Table1[[#This Row],[Net_Revenue]]&lt;Table1[[#This Row],[Total_Cost]], "Loss", "Gain")</f>
        <v>Loss</v>
      </c>
      <c r="V469" s="16">
        <f>IF(Table1[[#This Row],[Gain/Loss]]="Gain",Table1[[#This Row],[Quantity]], 0)</f>
        <v>0</v>
      </c>
      <c r="W469" s="16">
        <f>IF(Table1[[#This Row],[Gain/Loss]]="Loss",Table1[[#This Row],[Quantity]],0)</f>
        <v>8</v>
      </c>
      <c r="X469" s="16">
        <f>IF(OR(Table1[[#This Row],[Gain/Loss]]="Gain",Table1[[#This Row],[Gain/Loss]]="Loss"),Table1[[#This Row],[Quantity]],"")</f>
        <v>8</v>
      </c>
    </row>
    <row r="470" spans="1:24" x14ac:dyDescent="0.25">
      <c r="A470">
        <v>10469</v>
      </c>
      <c r="B470" s="1">
        <v>46126</v>
      </c>
      <c r="C470" s="1" t="str">
        <f>TEXT(Table1[[#This Row],[Order_Date]],"DD")</f>
        <v>14</v>
      </c>
      <c r="D470" s="1" t="str">
        <f>TEXT(Table1[[#This Row],[Order_Date]],"MMM")</f>
        <v>Apr</v>
      </c>
      <c r="E470" s="1" t="str">
        <f>TEXT(Table1[[#This Row],[Order_Date]],"YYYY")</f>
        <v>2026</v>
      </c>
      <c r="F470">
        <v>3103</v>
      </c>
      <c r="G470" t="s">
        <v>23</v>
      </c>
      <c r="H470" t="s">
        <v>18</v>
      </c>
      <c r="I470" t="s">
        <v>26</v>
      </c>
      <c r="J470" t="s">
        <v>30</v>
      </c>
      <c r="K470">
        <v>3</v>
      </c>
      <c r="L470" s="2">
        <v>112.24</v>
      </c>
      <c r="M470" s="3">
        <v>0.05</v>
      </c>
      <c r="N470" s="2">
        <v>336.719999999999</v>
      </c>
      <c r="O470" s="2">
        <v>16.835999999999999</v>
      </c>
      <c r="P470" s="2">
        <v>319.88399999999899</v>
      </c>
      <c r="Q470" s="2">
        <v>115.04</v>
      </c>
      <c r="R470" s="2">
        <v>345.12</v>
      </c>
      <c r="S470" s="2">
        <v>-25.236000000000001</v>
      </c>
      <c r="T470" s="3">
        <v>-7.8891098023033498E-2</v>
      </c>
      <c r="U470" s="2" t="str">
        <f>IF(Table1[[#This Row],[Net_Revenue]]&lt;Table1[[#This Row],[Total_Cost]], "Loss", "Gain")</f>
        <v>Loss</v>
      </c>
      <c r="V470" s="16">
        <f>IF(Table1[[#This Row],[Gain/Loss]]="Gain",Table1[[#This Row],[Quantity]], 0)</f>
        <v>0</v>
      </c>
      <c r="W470" s="16">
        <f>IF(Table1[[#This Row],[Gain/Loss]]="Loss",Table1[[#This Row],[Quantity]],0)</f>
        <v>3</v>
      </c>
      <c r="X470" s="16">
        <f>IF(OR(Table1[[#This Row],[Gain/Loss]]="Gain",Table1[[#This Row],[Gain/Loss]]="Loss"),Table1[[#This Row],[Quantity]],"")</f>
        <v>3</v>
      </c>
    </row>
    <row r="471" spans="1:24" x14ac:dyDescent="0.25">
      <c r="A471">
        <v>10470</v>
      </c>
      <c r="B471" s="1">
        <v>46127</v>
      </c>
      <c r="C471" s="1" t="str">
        <f>TEXT(Table1[[#This Row],[Order_Date]],"DD")</f>
        <v>15</v>
      </c>
      <c r="D471" s="1" t="str">
        <f>TEXT(Table1[[#This Row],[Order_Date]],"MMM")</f>
        <v>Apr</v>
      </c>
      <c r="E471" s="1" t="str">
        <f>TEXT(Table1[[#This Row],[Order_Date]],"YYYY")</f>
        <v>2026</v>
      </c>
      <c r="F471">
        <v>3896</v>
      </c>
      <c r="G471" t="s">
        <v>17</v>
      </c>
      <c r="H471" t="s">
        <v>18</v>
      </c>
      <c r="I471" t="s">
        <v>25</v>
      </c>
      <c r="J471" t="s">
        <v>32</v>
      </c>
      <c r="K471">
        <v>6</v>
      </c>
      <c r="L471" s="2">
        <v>164.52</v>
      </c>
      <c r="M471" s="3">
        <v>0.1</v>
      </c>
      <c r="N471" s="2">
        <v>987.12</v>
      </c>
      <c r="O471" s="2">
        <v>98.712000000000003</v>
      </c>
      <c r="P471" s="2">
        <v>888.40800000000002</v>
      </c>
      <c r="Q471" s="2">
        <v>13.46</v>
      </c>
      <c r="R471" s="2">
        <v>80.760000000000005</v>
      </c>
      <c r="S471" s="2">
        <v>807.64800000000002</v>
      </c>
      <c r="T471" s="3">
        <v>0.90909582083907392</v>
      </c>
      <c r="U471" s="2" t="str">
        <f>IF(Table1[[#This Row],[Net_Revenue]]&lt;Table1[[#This Row],[Total_Cost]], "Loss", "Gain")</f>
        <v>Gain</v>
      </c>
      <c r="V471" s="16">
        <f>IF(Table1[[#This Row],[Gain/Loss]]="Gain",Table1[[#This Row],[Quantity]], 0)</f>
        <v>6</v>
      </c>
      <c r="W471" s="16">
        <f>IF(Table1[[#This Row],[Gain/Loss]]="Loss",Table1[[#This Row],[Quantity]],0)</f>
        <v>0</v>
      </c>
      <c r="X471" s="16">
        <f>IF(OR(Table1[[#This Row],[Gain/Loss]]="Gain",Table1[[#This Row],[Gain/Loss]]="Loss"),Table1[[#This Row],[Quantity]],"")</f>
        <v>6</v>
      </c>
    </row>
    <row r="472" spans="1:24" x14ac:dyDescent="0.25">
      <c r="A472">
        <v>10471</v>
      </c>
      <c r="B472" s="1">
        <v>46128</v>
      </c>
      <c r="C472" s="1" t="str">
        <f>TEXT(Table1[[#This Row],[Order_Date]],"DD")</f>
        <v>16</v>
      </c>
      <c r="D472" s="1" t="str">
        <f>TEXT(Table1[[#This Row],[Order_Date]],"MMM")</f>
        <v>Apr</v>
      </c>
      <c r="E472" s="1" t="str">
        <f>TEXT(Table1[[#This Row],[Order_Date]],"YYYY")</f>
        <v>2026</v>
      </c>
      <c r="F472">
        <v>3584</v>
      </c>
      <c r="G472" t="s">
        <v>29</v>
      </c>
      <c r="H472" t="s">
        <v>18</v>
      </c>
      <c r="I472" t="s">
        <v>26</v>
      </c>
      <c r="J472" t="s">
        <v>31</v>
      </c>
      <c r="K472">
        <v>8</v>
      </c>
      <c r="L472" s="2">
        <v>100.55</v>
      </c>
      <c r="M472" s="3">
        <v>0.15</v>
      </c>
      <c r="N472" s="2">
        <v>804.4</v>
      </c>
      <c r="O472" s="2">
        <v>120.66</v>
      </c>
      <c r="P472" s="2">
        <v>683.74</v>
      </c>
      <c r="Q472" s="2">
        <v>141.91999999999999</v>
      </c>
      <c r="R472" s="2">
        <v>1135.3599999999999</v>
      </c>
      <c r="S472" s="2">
        <v>-451.61999999999898</v>
      </c>
      <c r="T472" s="3">
        <v>-0.66051423055547398</v>
      </c>
      <c r="U472" s="2" t="str">
        <f>IF(Table1[[#This Row],[Net_Revenue]]&lt;Table1[[#This Row],[Total_Cost]], "Loss", "Gain")</f>
        <v>Loss</v>
      </c>
      <c r="V472" s="16">
        <f>IF(Table1[[#This Row],[Gain/Loss]]="Gain",Table1[[#This Row],[Quantity]], 0)</f>
        <v>0</v>
      </c>
      <c r="W472" s="16">
        <f>IF(Table1[[#This Row],[Gain/Loss]]="Loss",Table1[[#This Row],[Quantity]],0)</f>
        <v>8</v>
      </c>
      <c r="X472" s="16">
        <f>IF(OR(Table1[[#This Row],[Gain/Loss]]="Gain",Table1[[#This Row],[Gain/Loss]]="Loss"),Table1[[#This Row],[Quantity]],"")</f>
        <v>8</v>
      </c>
    </row>
    <row r="473" spans="1:24" x14ac:dyDescent="0.25">
      <c r="A473">
        <v>10472</v>
      </c>
      <c r="B473" s="1">
        <v>46129</v>
      </c>
      <c r="C473" s="1" t="str">
        <f>TEXT(Table1[[#This Row],[Order_Date]],"DD")</f>
        <v>17</v>
      </c>
      <c r="D473" s="1" t="str">
        <f>TEXT(Table1[[#This Row],[Order_Date]],"MMM")</f>
        <v>Apr</v>
      </c>
      <c r="E473" s="1" t="str">
        <f>TEXT(Table1[[#This Row],[Order_Date]],"YYYY")</f>
        <v>2026</v>
      </c>
      <c r="F473">
        <v>3909</v>
      </c>
      <c r="G473" t="s">
        <v>21</v>
      </c>
      <c r="H473" t="s">
        <v>24</v>
      </c>
      <c r="I473" t="s">
        <v>26</v>
      </c>
      <c r="J473" t="s">
        <v>28</v>
      </c>
      <c r="K473">
        <v>5</v>
      </c>
      <c r="L473" s="2">
        <v>41.72</v>
      </c>
      <c r="M473" s="3">
        <v>0.1</v>
      </c>
      <c r="N473" s="2">
        <v>208.6</v>
      </c>
      <c r="O473" s="2">
        <v>20.86</v>
      </c>
      <c r="P473" s="2">
        <v>187.74</v>
      </c>
      <c r="Q473" s="2">
        <v>35.21</v>
      </c>
      <c r="R473" s="2">
        <v>176.05</v>
      </c>
      <c r="S473" s="2">
        <v>11.6899999999999</v>
      </c>
      <c r="T473" s="3">
        <v>6.2266964951528593E-2</v>
      </c>
      <c r="U473" s="2" t="str">
        <f>IF(Table1[[#This Row],[Net_Revenue]]&lt;Table1[[#This Row],[Total_Cost]], "Loss", "Gain")</f>
        <v>Gain</v>
      </c>
      <c r="V473" s="16">
        <f>IF(Table1[[#This Row],[Gain/Loss]]="Gain",Table1[[#This Row],[Quantity]], 0)</f>
        <v>5</v>
      </c>
      <c r="W473" s="16">
        <f>IF(Table1[[#This Row],[Gain/Loss]]="Loss",Table1[[#This Row],[Quantity]],0)</f>
        <v>0</v>
      </c>
      <c r="X473" s="16">
        <f>IF(OR(Table1[[#This Row],[Gain/Loss]]="Gain",Table1[[#This Row],[Gain/Loss]]="Loss"),Table1[[#This Row],[Quantity]],"")</f>
        <v>5</v>
      </c>
    </row>
    <row r="474" spans="1:24" x14ac:dyDescent="0.25">
      <c r="A474">
        <v>10473</v>
      </c>
      <c r="B474" s="1">
        <v>46130</v>
      </c>
      <c r="C474" s="1" t="str">
        <f>TEXT(Table1[[#This Row],[Order_Date]],"DD")</f>
        <v>18</v>
      </c>
      <c r="D474" s="1" t="str">
        <f>TEXT(Table1[[#This Row],[Order_Date]],"MMM")</f>
        <v>Apr</v>
      </c>
      <c r="E474" s="1" t="str">
        <f>TEXT(Table1[[#This Row],[Order_Date]],"YYYY")</f>
        <v>2026</v>
      </c>
      <c r="F474">
        <v>3152</v>
      </c>
      <c r="G474" t="s">
        <v>29</v>
      </c>
      <c r="H474" t="s">
        <v>24</v>
      </c>
      <c r="I474" t="s">
        <v>26</v>
      </c>
      <c r="J474" t="s">
        <v>28</v>
      </c>
      <c r="K474">
        <v>5</v>
      </c>
      <c r="L474" s="2">
        <v>231.01</v>
      </c>
      <c r="M474" s="3">
        <v>0.05</v>
      </c>
      <c r="N474" s="2">
        <v>1155.05</v>
      </c>
      <c r="O474" s="2">
        <v>57.752499999999998</v>
      </c>
      <c r="P474" s="2">
        <v>1097.2974999999999</v>
      </c>
      <c r="Q474" s="2">
        <v>101.65</v>
      </c>
      <c r="R474" s="2">
        <v>508.25</v>
      </c>
      <c r="S474" s="2">
        <v>589.04749999999899</v>
      </c>
      <c r="T474" s="3">
        <v>0.53681658802649201</v>
      </c>
      <c r="U474" s="2" t="str">
        <f>IF(Table1[[#This Row],[Net_Revenue]]&lt;Table1[[#This Row],[Total_Cost]], "Loss", "Gain")</f>
        <v>Gain</v>
      </c>
      <c r="V474" s="16">
        <f>IF(Table1[[#This Row],[Gain/Loss]]="Gain",Table1[[#This Row],[Quantity]], 0)</f>
        <v>5</v>
      </c>
      <c r="W474" s="16">
        <f>IF(Table1[[#This Row],[Gain/Loss]]="Loss",Table1[[#This Row],[Quantity]],0)</f>
        <v>0</v>
      </c>
      <c r="X474" s="16">
        <f>IF(OR(Table1[[#This Row],[Gain/Loss]]="Gain",Table1[[#This Row],[Gain/Loss]]="Loss"),Table1[[#This Row],[Quantity]],"")</f>
        <v>5</v>
      </c>
    </row>
    <row r="475" spans="1:24" x14ac:dyDescent="0.25">
      <c r="A475">
        <v>10474</v>
      </c>
      <c r="B475" s="1">
        <v>46131</v>
      </c>
      <c r="C475" s="1" t="str">
        <f>TEXT(Table1[[#This Row],[Order_Date]],"DD")</f>
        <v>19</v>
      </c>
      <c r="D475" s="1" t="str">
        <f>TEXT(Table1[[#This Row],[Order_Date]],"MMM")</f>
        <v>Apr</v>
      </c>
      <c r="E475" s="1" t="str">
        <f>TEXT(Table1[[#This Row],[Order_Date]],"YYYY")</f>
        <v>2026</v>
      </c>
      <c r="F475">
        <v>3268</v>
      </c>
      <c r="G475" t="s">
        <v>17</v>
      </c>
      <c r="H475" t="s">
        <v>24</v>
      </c>
      <c r="I475" t="s">
        <v>26</v>
      </c>
      <c r="J475" t="s">
        <v>30</v>
      </c>
      <c r="K475">
        <v>2</v>
      </c>
      <c r="L475" s="2">
        <v>184.33</v>
      </c>
      <c r="M475" s="3">
        <v>0.2</v>
      </c>
      <c r="N475" s="2">
        <v>368.66</v>
      </c>
      <c r="O475" s="2">
        <v>73.731999999999999</v>
      </c>
      <c r="P475" s="2">
        <v>294.928</v>
      </c>
      <c r="Q475" s="2">
        <v>141.38</v>
      </c>
      <c r="R475" s="2">
        <v>282.76</v>
      </c>
      <c r="S475" s="2">
        <v>12.167999999999999</v>
      </c>
      <c r="T475" s="3">
        <v>4.1257527260890797E-2</v>
      </c>
      <c r="U475" s="2" t="str">
        <f>IF(Table1[[#This Row],[Net_Revenue]]&lt;Table1[[#This Row],[Total_Cost]], "Loss", "Gain")</f>
        <v>Gain</v>
      </c>
      <c r="V475" s="16">
        <f>IF(Table1[[#This Row],[Gain/Loss]]="Gain",Table1[[#This Row],[Quantity]], 0)</f>
        <v>2</v>
      </c>
      <c r="W475" s="16">
        <f>IF(Table1[[#This Row],[Gain/Loss]]="Loss",Table1[[#This Row],[Quantity]],0)</f>
        <v>0</v>
      </c>
      <c r="X475" s="16">
        <f>IF(OR(Table1[[#This Row],[Gain/Loss]]="Gain",Table1[[#This Row],[Gain/Loss]]="Loss"),Table1[[#This Row],[Quantity]],"")</f>
        <v>2</v>
      </c>
    </row>
    <row r="476" spans="1:24" x14ac:dyDescent="0.25">
      <c r="A476">
        <v>10475</v>
      </c>
      <c r="B476" s="1">
        <v>46132</v>
      </c>
      <c r="C476" s="1" t="str">
        <f>TEXT(Table1[[#This Row],[Order_Date]],"DD")</f>
        <v>20</v>
      </c>
      <c r="D476" s="1" t="str">
        <f>TEXT(Table1[[#This Row],[Order_Date]],"MMM")</f>
        <v>Apr</v>
      </c>
      <c r="E476" s="1" t="str">
        <f>TEXT(Table1[[#This Row],[Order_Date]],"YYYY")</f>
        <v>2026</v>
      </c>
      <c r="F476">
        <v>3689</v>
      </c>
      <c r="G476" t="s">
        <v>21</v>
      </c>
      <c r="H476" t="s">
        <v>24</v>
      </c>
      <c r="I476" t="s">
        <v>26</v>
      </c>
      <c r="J476" t="s">
        <v>30</v>
      </c>
      <c r="K476">
        <v>6</v>
      </c>
      <c r="L476" s="2">
        <v>52.43</v>
      </c>
      <c r="M476" s="3">
        <v>0.05</v>
      </c>
      <c r="N476" s="2">
        <v>314.58</v>
      </c>
      <c r="O476" s="2">
        <v>15.728999999999999</v>
      </c>
      <c r="P476" s="2">
        <v>298.851</v>
      </c>
      <c r="Q476" s="2">
        <v>127.14</v>
      </c>
      <c r="R476" s="2">
        <v>762.84</v>
      </c>
      <c r="S476" s="2">
        <v>-463.98899999999998</v>
      </c>
      <c r="T476" s="3">
        <v>-1.55257636748747</v>
      </c>
      <c r="U476" s="2" t="str">
        <f>IF(Table1[[#This Row],[Net_Revenue]]&lt;Table1[[#This Row],[Total_Cost]], "Loss", "Gain")</f>
        <v>Loss</v>
      </c>
      <c r="V476" s="16">
        <f>IF(Table1[[#This Row],[Gain/Loss]]="Gain",Table1[[#This Row],[Quantity]], 0)</f>
        <v>0</v>
      </c>
      <c r="W476" s="16">
        <f>IF(Table1[[#This Row],[Gain/Loss]]="Loss",Table1[[#This Row],[Quantity]],0)</f>
        <v>6</v>
      </c>
      <c r="X476" s="16">
        <f>IF(OR(Table1[[#This Row],[Gain/Loss]]="Gain",Table1[[#This Row],[Gain/Loss]]="Loss"),Table1[[#This Row],[Quantity]],"")</f>
        <v>6</v>
      </c>
    </row>
    <row r="477" spans="1:24" x14ac:dyDescent="0.25">
      <c r="A477">
        <v>10476</v>
      </c>
      <c r="B477" s="1">
        <v>46133</v>
      </c>
      <c r="C477" s="1" t="str">
        <f>TEXT(Table1[[#This Row],[Order_Date]],"DD")</f>
        <v>21</v>
      </c>
      <c r="D477" s="1" t="str">
        <f>TEXT(Table1[[#This Row],[Order_Date]],"MMM")</f>
        <v>Apr</v>
      </c>
      <c r="E477" s="1" t="str">
        <f>TEXT(Table1[[#This Row],[Order_Date]],"YYYY")</f>
        <v>2026</v>
      </c>
      <c r="F477">
        <v>3226</v>
      </c>
      <c r="G477" t="s">
        <v>23</v>
      </c>
      <c r="H477" t="s">
        <v>18</v>
      </c>
      <c r="I477" t="s">
        <v>26</v>
      </c>
      <c r="J477" t="s">
        <v>28</v>
      </c>
      <c r="K477">
        <v>9</v>
      </c>
      <c r="L477" s="2">
        <v>208.37</v>
      </c>
      <c r="M477" s="3">
        <v>0.1</v>
      </c>
      <c r="N477" s="2">
        <v>1875.33</v>
      </c>
      <c r="O477" s="2">
        <v>187.53299999999999</v>
      </c>
      <c r="P477" s="2">
        <v>1687.797</v>
      </c>
      <c r="Q477" s="2">
        <v>75.8</v>
      </c>
      <c r="R477" s="2">
        <v>682.19999999999902</v>
      </c>
      <c r="S477" s="2">
        <v>1005.597</v>
      </c>
      <c r="T477" s="3">
        <v>0.59580447174630602</v>
      </c>
      <c r="U477" s="2" t="str">
        <f>IF(Table1[[#This Row],[Net_Revenue]]&lt;Table1[[#This Row],[Total_Cost]], "Loss", "Gain")</f>
        <v>Gain</v>
      </c>
      <c r="V477" s="16">
        <f>IF(Table1[[#This Row],[Gain/Loss]]="Gain",Table1[[#This Row],[Quantity]], 0)</f>
        <v>9</v>
      </c>
      <c r="W477" s="16">
        <f>IF(Table1[[#This Row],[Gain/Loss]]="Loss",Table1[[#This Row],[Quantity]],0)</f>
        <v>0</v>
      </c>
      <c r="X477" s="16">
        <f>IF(OR(Table1[[#This Row],[Gain/Loss]]="Gain",Table1[[#This Row],[Gain/Loss]]="Loss"),Table1[[#This Row],[Quantity]],"")</f>
        <v>9</v>
      </c>
    </row>
    <row r="478" spans="1:24" x14ac:dyDescent="0.25">
      <c r="A478">
        <v>10477</v>
      </c>
      <c r="B478" s="1">
        <v>46134</v>
      </c>
      <c r="C478" s="1" t="str">
        <f>TEXT(Table1[[#This Row],[Order_Date]],"DD")</f>
        <v>22</v>
      </c>
      <c r="D478" s="1" t="str">
        <f>TEXT(Table1[[#This Row],[Order_Date]],"MMM")</f>
        <v>Apr</v>
      </c>
      <c r="E478" s="1" t="str">
        <f>TEXT(Table1[[#This Row],[Order_Date]],"YYYY")</f>
        <v>2026</v>
      </c>
      <c r="F478">
        <v>3195</v>
      </c>
      <c r="G478" t="s">
        <v>29</v>
      </c>
      <c r="H478" t="s">
        <v>18</v>
      </c>
      <c r="I478" t="s">
        <v>33</v>
      </c>
      <c r="J478" t="s">
        <v>20</v>
      </c>
      <c r="K478">
        <v>5</v>
      </c>
      <c r="L478" s="2">
        <v>238.13</v>
      </c>
      <c r="M478" s="3">
        <v>0.2</v>
      </c>
      <c r="N478" s="2">
        <v>1190.6500000000001</v>
      </c>
      <c r="O478" s="2">
        <v>238.13</v>
      </c>
      <c r="P478" s="2">
        <v>952.52</v>
      </c>
      <c r="Q478" s="2">
        <v>142.33000000000001</v>
      </c>
      <c r="R478" s="2">
        <v>711.65</v>
      </c>
      <c r="S478" s="2">
        <v>240.87</v>
      </c>
      <c r="T478" s="3">
        <v>0.25287658001931701</v>
      </c>
      <c r="U478" s="2" t="str">
        <f>IF(Table1[[#This Row],[Net_Revenue]]&lt;Table1[[#This Row],[Total_Cost]], "Loss", "Gain")</f>
        <v>Gain</v>
      </c>
      <c r="V478" s="16">
        <f>IF(Table1[[#This Row],[Gain/Loss]]="Gain",Table1[[#This Row],[Quantity]], 0)</f>
        <v>5</v>
      </c>
      <c r="W478" s="16">
        <f>IF(Table1[[#This Row],[Gain/Loss]]="Loss",Table1[[#This Row],[Quantity]],0)</f>
        <v>0</v>
      </c>
      <c r="X478" s="16">
        <f>IF(OR(Table1[[#This Row],[Gain/Loss]]="Gain",Table1[[#This Row],[Gain/Loss]]="Loss"),Table1[[#This Row],[Quantity]],"")</f>
        <v>5</v>
      </c>
    </row>
    <row r="479" spans="1:24" x14ac:dyDescent="0.25">
      <c r="A479">
        <v>10478</v>
      </c>
      <c r="B479" s="1">
        <v>46135</v>
      </c>
      <c r="C479" s="1" t="str">
        <f>TEXT(Table1[[#This Row],[Order_Date]],"DD")</f>
        <v>23</v>
      </c>
      <c r="D479" s="1" t="str">
        <f>TEXT(Table1[[#This Row],[Order_Date]],"MMM")</f>
        <v>Apr</v>
      </c>
      <c r="E479" s="1" t="str">
        <f>TEXT(Table1[[#This Row],[Order_Date]],"YYYY")</f>
        <v>2026</v>
      </c>
      <c r="F479">
        <v>3124</v>
      </c>
      <c r="G479" t="s">
        <v>21</v>
      </c>
      <c r="H479" t="s">
        <v>18</v>
      </c>
      <c r="I479" t="s">
        <v>26</v>
      </c>
      <c r="J479" t="s">
        <v>30</v>
      </c>
      <c r="K479">
        <v>3</v>
      </c>
      <c r="L479" s="2">
        <v>77.52</v>
      </c>
      <c r="M479" s="3">
        <v>0.15</v>
      </c>
      <c r="N479" s="2">
        <v>232.56</v>
      </c>
      <c r="O479" s="2">
        <v>34.884</v>
      </c>
      <c r="P479" s="2">
        <v>197.67599999999999</v>
      </c>
      <c r="Q479" s="2">
        <v>104.43</v>
      </c>
      <c r="R479" s="2">
        <v>313.29000000000002</v>
      </c>
      <c r="S479" s="2">
        <v>-115.614</v>
      </c>
      <c r="T479" s="3">
        <v>-0.58486614460025499</v>
      </c>
      <c r="U479" s="2" t="str">
        <f>IF(Table1[[#This Row],[Net_Revenue]]&lt;Table1[[#This Row],[Total_Cost]], "Loss", "Gain")</f>
        <v>Loss</v>
      </c>
      <c r="V479" s="16">
        <f>IF(Table1[[#This Row],[Gain/Loss]]="Gain",Table1[[#This Row],[Quantity]], 0)</f>
        <v>0</v>
      </c>
      <c r="W479" s="16">
        <f>IF(Table1[[#This Row],[Gain/Loss]]="Loss",Table1[[#This Row],[Quantity]],0)</f>
        <v>3</v>
      </c>
      <c r="X479" s="16">
        <f>IF(OR(Table1[[#This Row],[Gain/Loss]]="Gain",Table1[[#This Row],[Gain/Loss]]="Loss"),Table1[[#This Row],[Quantity]],"")</f>
        <v>3</v>
      </c>
    </row>
    <row r="480" spans="1:24" x14ac:dyDescent="0.25">
      <c r="A480">
        <v>10479</v>
      </c>
      <c r="B480" s="1">
        <v>46136</v>
      </c>
      <c r="C480" s="1" t="str">
        <f>TEXT(Table1[[#This Row],[Order_Date]],"DD")</f>
        <v>24</v>
      </c>
      <c r="D480" s="1" t="str">
        <f>TEXT(Table1[[#This Row],[Order_Date]],"MMM")</f>
        <v>Apr</v>
      </c>
      <c r="E480" s="1" t="str">
        <f>TEXT(Table1[[#This Row],[Order_Date]],"YYYY")</f>
        <v>2026</v>
      </c>
      <c r="F480">
        <v>3608</v>
      </c>
      <c r="G480" t="s">
        <v>29</v>
      </c>
      <c r="H480" t="s">
        <v>18</v>
      </c>
      <c r="I480" t="s">
        <v>26</v>
      </c>
      <c r="J480" t="s">
        <v>28</v>
      </c>
      <c r="K480">
        <v>7</v>
      </c>
      <c r="L480" s="2">
        <v>139.22</v>
      </c>
      <c r="M480" s="3">
        <v>0.1</v>
      </c>
      <c r="N480" s="2">
        <v>974.54</v>
      </c>
      <c r="O480" s="2">
        <v>97.453999999999994</v>
      </c>
      <c r="P480" s="2">
        <v>877.08600000000001</v>
      </c>
      <c r="Q480" s="2">
        <v>41.24</v>
      </c>
      <c r="R480" s="2">
        <v>288.68</v>
      </c>
      <c r="S480" s="2">
        <v>588.40599999999995</v>
      </c>
      <c r="T480" s="3">
        <v>0.67086465865376899</v>
      </c>
      <c r="U480" s="2" t="str">
        <f>IF(Table1[[#This Row],[Net_Revenue]]&lt;Table1[[#This Row],[Total_Cost]], "Loss", "Gain")</f>
        <v>Gain</v>
      </c>
      <c r="V480" s="16">
        <f>IF(Table1[[#This Row],[Gain/Loss]]="Gain",Table1[[#This Row],[Quantity]], 0)</f>
        <v>7</v>
      </c>
      <c r="W480" s="16">
        <f>IF(Table1[[#This Row],[Gain/Loss]]="Loss",Table1[[#This Row],[Quantity]],0)</f>
        <v>0</v>
      </c>
      <c r="X480" s="16">
        <f>IF(OR(Table1[[#This Row],[Gain/Loss]]="Gain",Table1[[#This Row],[Gain/Loss]]="Loss"),Table1[[#This Row],[Quantity]],"")</f>
        <v>7</v>
      </c>
    </row>
    <row r="481" spans="1:24" x14ac:dyDescent="0.25">
      <c r="A481">
        <v>10480</v>
      </c>
      <c r="B481" s="1">
        <v>46137</v>
      </c>
      <c r="C481" s="1" t="str">
        <f>TEXT(Table1[[#This Row],[Order_Date]],"DD")</f>
        <v>25</v>
      </c>
      <c r="D481" s="1" t="str">
        <f>TEXT(Table1[[#This Row],[Order_Date]],"MMM")</f>
        <v>Apr</v>
      </c>
      <c r="E481" s="1" t="str">
        <f>TEXT(Table1[[#This Row],[Order_Date]],"YYYY")</f>
        <v>2026</v>
      </c>
      <c r="F481">
        <v>3730</v>
      </c>
      <c r="G481" t="s">
        <v>29</v>
      </c>
      <c r="H481" t="s">
        <v>24</v>
      </c>
      <c r="I481" t="s">
        <v>33</v>
      </c>
      <c r="J481" t="s">
        <v>20</v>
      </c>
      <c r="K481">
        <v>5</v>
      </c>
      <c r="L481" s="2">
        <v>234.03</v>
      </c>
      <c r="M481" s="3">
        <v>0.1</v>
      </c>
      <c r="N481" s="2">
        <v>1170.1500000000001</v>
      </c>
      <c r="O481" s="2">
        <v>117.015</v>
      </c>
      <c r="P481" s="2">
        <v>1053.135</v>
      </c>
      <c r="Q481" s="2">
        <v>144.82</v>
      </c>
      <c r="R481" s="2">
        <v>724.099999999999</v>
      </c>
      <c r="S481" s="2">
        <v>329.03500000000003</v>
      </c>
      <c r="T481" s="3">
        <v>0.31243382852150903</v>
      </c>
      <c r="U481" s="2" t="str">
        <f>IF(Table1[[#This Row],[Net_Revenue]]&lt;Table1[[#This Row],[Total_Cost]], "Loss", "Gain")</f>
        <v>Gain</v>
      </c>
      <c r="V481" s="16">
        <f>IF(Table1[[#This Row],[Gain/Loss]]="Gain",Table1[[#This Row],[Quantity]], 0)</f>
        <v>5</v>
      </c>
      <c r="W481" s="16">
        <f>IF(Table1[[#This Row],[Gain/Loss]]="Loss",Table1[[#This Row],[Quantity]],0)</f>
        <v>0</v>
      </c>
      <c r="X481" s="16">
        <f>IF(OR(Table1[[#This Row],[Gain/Loss]]="Gain",Table1[[#This Row],[Gain/Loss]]="Loss"),Table1[[#This Row],[Quantity]],"")</f>
        <v>5</v>
      </c>
    </row>
    <row r="482" spans="1:24" x14ac:dyDescent="0.25">
      <c r="A482">
        <v>10481</v>
      </c>
      <c r="B482" s="1">
        <v>46138</v>
      </c>
      <c r="C482" s="1" t="str">
        <f>TEXT(Table1[[#This Row],[Order_Date]],"DD")</f>
        <v>26</v>
      </c>
      <c r="D482" s="1" t="str">
        <f>TEXT(Table1[[#This Row],[Order_Date]],"MMM")</f>
        <v>Apr</v>
      </c>
      <c r="E482" s="1" t="str">
        <f>TEXT(Table1[[#This Row],[Order_Date]],"YYYY")</f>
        <v>2026</v>
      </c>
      <c r="F482">
        <v>3337</v>
      </c>
      <c r="G482" t="s">
        <v>17</v>
      </c>
      <c r="H482" t="s">
        <v>24</v>
      </c>
      <c r="I482" t="s">
        <v>25</v>
      </c>
      <c r="J482" t="s">
        <v>32</v>
      </c>
      <c r="K482">
        <v>9</v>
      </c>
      <c r="L482" s="2">
        <v>89.93</v>
      </c>
      <c r="M482" s="3">
        <v>0.15</v>
      </c>
      <c r="N482" s="2">
        <v>809.37</v>
      </c>
      <c r="O482" s="2">
        <v>121.4055</v>
      </c>
      <c r="P482" s="2">
        <v>687.96450000000004</v>
      </c>
      <c r="Q482" s="2">
        <v>87.25</v>
      </c>
      <c r="R482" s="2">
        <v>785.25</v>
      </c>
      <c r="S482" s="2">
        <v>-97.2854999999999</v>
      </c>
      <c r="T482" s="3">
        <v>-0.14141063964782999</v>
      </c>
      <c r="U482" s="2" t="str">
        <f>IF(Table1[[#This Row],[Net_Revenue]]&lt;Table1[[#This Row],[Total_Cost]], "Loss", "Gain")</f>
        <v>Loss</v>
      </c>
      <c r="V482" s="16">
        <f>IF(Table1[[#This Row],[Gain/Loss]]="Gain",Table1[[#This Row],[Quantity]], 0)</f>
        <v>0</v>
      </c>
      <c r="W482" s="16">
        <f>IF(Table1[[#This Row],[Gain/Loss]]="Loss",Table1[[#This Row],[Quantity]],0)</f>
        <v>9</v>
      </c>
      <c r="X482" s="16">
        <f>IF(OR(Table1[[#This Row],[Gain/Loss]]="Gain",Table1[[#This Row],[Gain/Loss]]="Loss"),Table1[[#This Row],[Quantity]],"")</f>
        <v>9</v>
      </c>
    </row>
    <row r="483" spans="1:24" x14ac:dyDescent="0.25">
      <c r="A483">
        <v>10482</v>
      </c>
      <c r="B483" s="1">
        <v>46139</v>
      </c>
      <c r="C483" s="1" t="str">
        <f>TEXT(Table1[[#This Row],[Order_Date]],"DD")</f>
        <v>27</v>
      </c>
      <c r="D483" s="1" t="str">
        <f>TEXT(Table1[[#This Row],[Order_Date]],"MMM")</f>
        <v>Apr</v>
      </c>
      <c r="E483" s="1" t="str">
        <f>TEXT(Table1[[#This Row],[Order_Date]],"YYYY")</f>
        <v>2026</v>
      </c>
      <c r="F483">
        <v>3715</v>
      </c>
      <c r="G483" t="s">
        <v>17</v>
      </c>
      <c r="H483" t="s">
        <v>18</v>
      </c>
      <c r="I483" t="s">
        <v>26</v>
      </c>
      <c r="J483" t="s">
        <v>31</v>
      </c>
      <c r="K483">
        <v>6</v>
      </c>
      <c r="L483" s="2">
        <v>97.2</v>
      </c>
      <c r="M483" s="3">
        <v>0.05</v>
      </c>
      <c r="N483" s="2">
        <v>583.20000000000005</v>
      </c>
      <c r="O483" s="2">
        <v>29.16</v>
      </c>
      <c r="P483" s="2">
        <v>554.04</v>
      </c>
      <c r="Q483" s="2">
        <v>51.74</v>
      </c>
      <c r="R483" s="2">
        <v>310.44</v>
      </c>
      <c r="S483" s="2">
        <v>243.6</v>
      </c>
      <c r="T483" s="3">
        <v>0.43967944552739802</v>
      </c>
      <c r="U483" s="2" t="str">
        <f>IF(Table1[[#This Row],[Net_Revenue]]&lt;Table1[[#This Row],[Total_Cost]], "Loss", "Gain")</f>
        <v>Gain</v>
      </c>
      <c r="V483" s="16">
        <f>IF(Table1[[#This Row],[Gain/Loss]]="Gain",Table1[[#This Row],[Quantity]], 0)</f>
        <v>6</v>
      </c>
      <c r="W483" s="16">
        <f>IF(Table1[[#This Row],[Gain/Loss]]="Loss",Table1[[#This Row],[Quantity]],0)</f>
        <v>0</v>
      </c>
      <c r="X483" s="16">
        <f>IF(OR(Table1[[#This Row],[Gain/Loss]]="Gain",Table1[[#This Row],[Gain/Loss]]="Loss"),Table1[[#This Row],[Quantity]],"")</f>
        <v>6</v>
      </c>
    </row>
    <row r="484" spans="1:24" x14ac:dyDescent="0.25">
      <c r="A484">
        <v>10483</v>
      </c>
      <c r="B484" s="1">
        <v>46140</v>
      </c>
      <c r="C484" s="1" t="str">
        <f>TEXT(Table1[[#This Row],[Order_Date]],"DD")</f>
        <v>28</v>
      </c>
      <c r="D484" s="1" t="str">
        <f>TEXT(Table1[[#This Row],[Order_Date]],"MMM")</f>
        <v>Apr</v>
      </c>
      <c r="E484" s="1" t="str">
        <f>TEXT(Table1[[#This Row],[Order_Date]],"YYYY")</f>
        <v>2026</v>
      </c>
      <c r="F484">
        <v>3129</v>
      </c>
      <c r="G484" t="s">
        <v>17</v>
      </c>
      <c r="H484" t="s">
        <v>18</v>
      </c>
      <c r="I484" t="s">
        <v>33</v>
      </c>
      <c r="J484" t="s">
        <v>20</v>
      </c>
      <c r="K484">
        <v>5</v>
      </c>
      <c r="L484" s="2">
        <v>54.43</v>
      </c>
      <c r="M484" s="3">
        <v>0.15</v>
      </c>
      <c r="N484" s="2">
        <v>272.14999999999998</v>
      </c>
      <c r="O484" s="2">
        <v>40.822499999999998</v>
      </c>
      <c r="P484" s="2">
        <v>231.32749999999999</v>
      </c>
      <c r="Q484" s="2">
        <v>68.010000000000005</v>
      </c>
      <c r="R484" s="2">
        <v>340.05</v>
      </c>
      <c r="S484" s="2">
        <v>-108.7225</v>
      </c>
      <c r="T484" s="3">
        <v>-0.46999383990230298</v>
      </c>
      <c r="U484" s="2" t="str">
        <f>IF(Table1[[#This Row],[Net_Revenue]]&lt;Table1[[#This Row],[Total_Cost]], "Loss", "Gain")</f>
        <v>Loss</v>
      </c>
      <c r="V484" s="16">
        <f>IF(Table1[[#This Row],[Gain/Loss]]="Gain",Table1[[#This Row],[Quantity]], 0)</f>
        <v>0</v>
      </c>
      <c r="W484" s="16">
        <f>IF(Table1[[#This Row],[Gain/Loss]]="Loss",Table1[[#This Row],[Quantity]],0)</f>
        <v>5</v>
      </c>
      <c r="X484" s="16">
        <f>IF(OR(Table1[[#This Row],[Gain/Loss]]="Gain",Table1[[#This Row],[Gain/Loss]]="Loss"),Table1[[#This Row],[Quantity]],"")</f>
        <v>5</v>
      </c>
    </row>
    <row r="485" spans="1:24" x14ac:dyDescent="0.25">
      <c r="A485">
        <v>10484</v>
      </c>
      <c r="B485" s="1">
        <v>46141</v>
      </c>
      <c r="C485" s="1" t="str">
        <f>TEXT(Table1[[#This Row],[Order_Date]],"DD")</f>
        <v>29</v>
      </c>
      <c r="D485" s="1" t="str">
        <f>TEXT(Table1[[#This Row],[Order_Date]],"MMM")</f>
        <v>Apr</v>
      </c>
      <c r="E485" s="1" t="str">
        <f>TEXT(Table1[[#This Row],[Order_Date]],"YYYY")</f>
        <v>2026</v>
      </c>
      <c r="F485">
        <v>3805</v>
      </c>
      <c r="G485" t="s">
        <v>17</v>
      </c>
      <c r="H485" t="s">
        <v>24</v>
      </c>
      <c r="I485" t="s">
        <v>26</v>
      </c>
      <c r="J485" t="s">
        <v>28</v>
      </c>
      <c r="K485">
        <v>1</v>
      </c>
      <c r="L485" s="2">
        <v>120.33</v>
      </c>
      <c r="M485" s="3">
        <v>0.05</v>
      </c>
      <c r="N485" s="2">
        <v>120.33</v>
      </c>
      <c r="O485" s="2">
        <v>6.0164999999999997</v>
      </c>
      <c r="P485" s="2">
        <v>114.3135</v>
      </c>
      <c r="Q485" s="2">
        <v>33.130000000000003</v>
      </c>
      <c r="R485" s="2">
        <v>33.130000000000003</v>
      </c>
      <c r="S485" s="2">
        <v>81.183499999999995</v>
      </c>
      <c r="T485" s="3">
        <v>0.71018296176742002</v>
      </c>
      <c r="U485" s="2" t="str">
        <f>IF(Table1[[#This Row],[Net_Revenue]]&lt;Table1[[#This Row],[Total_Cost]], "Loss", "Gain")</f>
        <v>Gain</v>
      </c>
      <c r="V485" s="16">
        <f>IF(Table1[[#This Row],[Gain/Loss]]="Gain",Table1[[#This Row],[Quantity]], 0)</f>
        <v>1</v>
      </c>
      <c r="W485" s="16">
        <f>IF(Table1[[#This Row],[Gain/Loss]]="Loss",Table1[[#This Row],[Quantity]],0)</f>
        <v>0</v>
      </c>
      <c r="X485" s="16">
        <f>IF(OR(Table1[[#This Row],[Gain/Loss]]="Gain",Table1[[#This Row],[Gain/Loss]]="Loss"),Table1[[#This Row],[Quantity]],"")</f>
        <v>1</v>
      </c>
    </row>
    <row r="486" spans="1:24" x14ac:dyDescent="0.25">
      <c r="A486">
        <v>10485</v>
      </c>
      <c r="B486" s="1">
        <v>46142</v>
      </c>
      <c r="C486" s="1" t="str">
        <f>TEXT(Table1[[#This Row],[Order_Date]],"DD")</f>
        <v>30</v>
      </c>
      <c r="D486" s="1" t="str">
        <f>TEXT(Table1[[#This Row],[Order_Date]],"MMM")</f>
        <v>Apr</v>
      </c>
      <c r="E486" s="1" t="str">
        <f>TEXT(Table1[[#This Row],[Order_Date]],"YYYY")</f>
        <v>2026</v>
      </c>
      <c r="F486">
        <v>3805</v>
      </c>
      <c r="G486" t="s">
        <v>21</v>
      </c>
      <c r="H486" t="s">
        <v>18</v>
      </c>
      <c r="I486" t="s">
        <v>19</v>
      </c>
      <c r="J486" t="s">
        <v>27</v>
      </c>
      <c r="K486">
        <v>8</v>
      </c>
      <c r="L486" s="2">
        <v>226.79</v>
      </c>
      <c r="M486" s="3">
        <v>0.2</v>
      </c>
      <c r="N486" s="2">
        <v>1814.32</v>
      </c>
      <c r="O486" s="2">
        <v>362.86399999999998</v>
      </c>
      <c r="P486" s="2">
        <v>1451.4559999999999</v>
      </c>
      <c r="Q486" s="2">
        <v>88.16</v>
      </c>
      <c r="R486" s="2">
        <v>705.28</v>
      </c>
      <c r="S486" s="2">
        <v>746.17599999999902</v>
      </c>
      <c r="T486" s="3">
        <v>0.51408792274791604</v>
      </c>
      <c r="U486" s="2" t="str">
        <f>IF(Table1[[#This Row],[Net_Revenue]]&lt;Table1[[#This Row],[Total_Cost]], "Loss", "Gain")</f>
        <v>Gain</v>
      </c>
      <c r="V486" s="16">
        <f>IF(Table1[[#This Row],[Gain/Loss]]="Gain",Table1[[#This Row],[Quantity]], 0)</f>
        <v>8</v>
      </c>
      <c r="W486" s="16">
        <f>IF(Table1[[#This Row],[Gain/Loss]]="Loss",Table1[[#This Row],[Quantity]],0)</f>
        <v>0</v>
      </c>
      <c r="X486" s="16">
        <f>IF(OR(Table1[[#This Row],[Gain/Loss]]="Gain",Table1[[#This Row],[Gain/Loss]]="Loss"),Table1[[#This Row],[Quantity]],"")</f>
        <v>8</v>
      </c>
    </row>
    <row r="487" spans="1:24" x14ac:dyDescent="0.25">
      <c r="A487">
        <v>10486</v>
      </c>
      <c r="B487" s="1">
        <v>46143</v>
      </c>
      <c r="C487" s="1" t="str">
        <f>TEXT(Table1[[#This Row],[Order_Date]],"DD")</f>
        <v>01</v>
      </c>
      <c r="D487" s="1" t="str">
        <f>TEXT(Table1[[#This Row],[Order_Date]],"MMM")</f>
        <v>May</v>
      </c>
      <c r="E487" s="1" t="str">
        <f>TEXT(Table1[[#This Row],[Order_Date]],"YYYY")</f>
        <v>2026</v>
      </c>
      <c r="F487">
        <v>3950</v>
      </c>
      <c r="G487" t="s">
        <v>29</v>
      </c>
      <c r="H487" t="s">
        <v>24</v>
      </c>
      <c r="I487" t="s">
        <v>25</v>
      </c>
      <c r="J487" t="s">
        <v>32</v>
      </c>
      <c r="K487">
        <v>6</v>
      </c>
      <c r="L487" s="2">
        <v>241.95</v>
      </c>
      <c r="M487" s="3">
        <v>0</v>
      </c>
      <c r="N487" s="2">
        <v>1451.69999999999</v>
      </c>
      <c r="O487" s="2">
        <v>0</v>
      </c>
      <c r="P487" s="2">
        <v>1451.69999999999</v>
      </c>
      <c r="Q487" s="2">
        <v>87.17</v>
      </c>
      <c r="R487" s="2">
        <v>523.02</v>
      </c>
      <c r="S487" s="2">
        <v>928.67999999999904</v>
      </c>
      <c r="T487" s="3">
        <v>0.63971895019632097</v>
      </c>
      <c r="U487" s="2" t="str">
        <f>IF(Table1[[#This Row],[Net_Revenue]]&lt;Table1[[#This Row],[Total_Cost]], "Loss", "Gain")</f>
        <v>Gain</v>
      </c>
      <c r="V487" s="16">
        <f>IF(Table1[[#This Row],[Gain/Loss]]="Gain",Table1[[#This Row],[Quantity]], 0)</f>
        <v>6</v>
      </c>
      <c r="W487" s="16">
        <f>IF(Table1[[#This Row],[Gain/Loss]]="Loss",Table1[[#This Row],[Quantity]],0)</f>
        <v>0</v>
      </c>
      <c r="X487" s="16">
        <f>IF(OR(Table1[[#This Row],[Gain/Loss]]="Gain",Table1[[#This Row],[Gain/Loss]]="Loss"),Table1[[#This Row],[Quantity]],"")</f>
        <v>6</v>
      </c>
    </row>
    <row r="488" spans="1:24" x14ac:dyDescent="0.25">
      <c r="A488">
        <v>10487</v>
      </c>
      <c r="B488" s="1">
        <v>46144</v>
      </c>
      <c r="C488" s="1" t="str">
        <f>TEXT(Table1[[#This Row],[Order_Date]],"DD")</f>
        <v>02</v>
      </c>
      <c r="D488" s="1" t="str">
        <f>TEXT(Table1[[#This Row],[Order_Date]],"MMM")</f>
        <v>May</v>
      </c>
      <c r="E488" s="1" t="str">
        <f>TEXT(Table1[[#This Row],[Order_Date]],"YYYY")</f>
        <v>2026</v>
      </c>
      <c r="F488">
        <v>3496</v>
      </c>
      <c r="G488" t="s">
        <v>29</v>
      </c>
      <c r="H488" t="s">
        <v>24</v>
      </c>
      <c r="I488" t="s">
        <v>26</v>
      </c>
      <c r="J488" t="s">
        <v>30</v>
      </c>
      <c r="K488">
        <v>4</v>
      </c>
      <c r="L488" s="2">
        <v>48.13</v>
      </c>
      <c r="M488" s="3">
        <v>0</v>
      </c>
      <c r="N488" s="2">
        <v>192.52</v>
      </c>
      <c r="O488" s="2">
        <v>0</v>
      </c>
      <c r="P488" s="2">
        <v>192.52</v>
      </c>
      <c r="Q488" s="2">
        <v>28.15</v>
      </c>
      <c r="R488" s="2">
        <v>112.6</v>
      </c>
      <c r="S488" s="2">
        <v>79.92</v>
      </c>
      <c r="T488" s="3">
        <v>0.41512570122584597</v>
      </c>
      <c r="U488" s="2" t="str">
        <f>IF(Table1[[#This Row],[Net_Revenue]]&lt;Table1[[#This Row],[Total_Cost]], "Loss", "Gain")</f>
        <v>Gain</v>
      </c>
      <c r="V488" s="16">
        <f>IF(Table1[[#This Row],[Gain/Loss]]="Gain",Table1[[#This Row],[Quantity]], 0)</f>
        <v>4</v>
      </c>
      <c r="W488" s="16">
        <f>IF(Table1[[#This Row],[Gain/Loss]]="Loss",Table1[[#This Row],[Quantity]],0)</f>
        <v>0</v>
      </c>
      <c r="X488" s="16">
        <f>IF(OR(Table1[[#This Row],[Gain/Loss]]="Gain",Table1[[#This Row],[Gain/Loss]]="Loss"),Table1[[#This Row],[Quantity]],"")</f>
        <v>4</v>
      </c>
    </row>
    <row r="489" spans="1:24" x14ac:dyDescent="0.25">
      <c r="A489">
        <v>10488</v>
      </c>
      <c r="B489" s="1">
        <v>46145</v>
      </c>
      <c r="C489" s="1" t="str">
        <f>TEXT(Table1[[#This Row],[Order_Date]],"DD")</f>
        <v>03</v>
      </c>
      <c r="D489" s="1" t="str">
        <f>TEXT(Table1[[#This Row],[Order_Date]],"MMM")</f>
        <v>May</v>
      </c>
      <c r="E489" s="1" t="str">
        <f>TEXT(Table1[[#This Row],[Order_Date]],"YYYY")</f>
        <v>2026</v>
      </c>
      <c r="F489">
        <v>3969</v>
      </c>
      <c r="G489" t="s">
        <v>29</v>
      </c>
      <c r="H489" t="s">
        <v>18</v>
      </c>
      <c r="I489" t="s">
        <v>26</v>
      </c>
      <c r="J489" t="s">
        <v>30</v>
      </c>
      <c r="K489">
        <v>8</v>
      </c>
      <c r="L489" s="2">
        <v>232.92</v>
      </c>
      <c r="M489" s="3">
        <v>0.05</v>
      </c>
      <c r="N489" s="2">
        <v>1863.36</v>
      </c>
      <c r="O489" s="2">
        <v>93.168000000000006</v>
      </c>
      <c r="P489" s="2">
        <v>1770.192</v>
      </c>
      <c r="Q489" s="2">
        <v>65.150000000000006</v>
      </c>
      <c r="R489" s="2">
        <v>521.20000000000005</v>
      </c>
      <c r="S489" s="2">
        <v>1248.992</v>
      </c>
      <c r="T489" s="3">
        <v>0.70556866147852804</v>
      </c>
      <c r="U489" s="2" t="str">
        <f>IF(Table1[[#This Row],[Net_Revenue]]&lt;Table1[[#This Row],[Total_Cost]], "Loss", "Gain")</f>
        <v>Gain</v>
      </c>
      <c r="V489" s="16">
        <f>IF(Table1[[#This Row],[Gain/Loss]]="Gain",Table1[[#This Row],[Quantity]], 0)</f>
        <v>8</v>
      </c>
      <c r="W489" s="16">
        <f>IF(Table1[[#This Row],[Gain/Loss]]="Loss",Table1[[#This Row],[Quantity]],0)</f>
        <v>0</v>
      </c>
      <c r="X489" s="16">
        <f>IF(OR(Table1[[#This Row],[Gain/Loss]]="Gain",Table1[[#This Row],[Gain/Loss]]="Loss"),Table1[[#This Row],[Quantity]],"")</f>
        <v>8</v>
      </c>
    </row>
    <row r="490" spans="1:24" x14ac:dyDescent="0.25">
      <c r="A490">
        <v>10489</v>
      </c>
      <c r="B490" s="1">
        <v>46146</v>
      </c>
      <c r="C490" s="1" t="str">
        <f>TEXT(Table1[[#This Row],[Order_Date]],"DD")</f>
        <v>04</v>
      </c>
      <c r="D490" s="1" t="str">
        <f>TEXT(Table1[[#This Row],[Order_Date]],"MMM")</f>
        <v>May</v>
      </c>
      <c r="E490" s="1" t="str">
        <f>TEXT(Table1[[#This Row],[Order_Date]],"YYYY")</f>
        <v>2026</v>
      </c>
      <c r="F490">
        <v>3859</v>
      </c>
      <c r="G490" t="s">
        <v>23</v>
      </c>
      <c r="H490" t="s">
        <v>24</v>
      </c>
      <c r="I490" t="s">
        <v>26</v>
      </c>
      <c r="J490" t="s">
        <v>28</v>
      </c>
      <c r="K490">
        <v>8</v>
      </c>
      <c r="L490" s="2">
        <v>57.01</v>
      </c>
      <c r="M490" s="3">
        <v>0.15</v>
      </c>
      <c r="N490" s="2">
        <v>456.08</v>
      </c>
      <c r="O490" s="2">
        <v>68.411999999999907</v>
      </c>
      <c r="P490" s="2">
        <v>387.66800000000001</v>
      </c>
      <c r="Q490" s="2">
        <v>43.61</v>
      </c>
      <c r="R490" s="2">
        <v>348.88</v>
      </c>
      <c r="S490" s="2">
        <v>38.787999999999997</v>
      </c>
      <c r="T490" s="3">
        <v>0.100054685968405</v>
      </c>
      <c r="U490" s="2" t="str">
        <f>IF(Table1[[#This Row],[Net_Revenue]]&lt;Table1[[#This Row],[Total_Cost]], "Loss", "Gain")</f>
        <v>Gain</v>
      </c>
      <c r="V490" s="16">
        <f>IF(Table1[[#This Row],[Gain/Loss]]="Gain",Table1[[#This Row],[Quantity]], 0)</f>
        <v>8</v>
      </c>
      <c r="W490" s="16">
        <f>IF(Table1[[#This Row],[Gain/Loss]]="Loss",Table1[[#This Row],[Quantity]],0)</f>
        <v>0</v>
      </c>
      <c r="X490" s="16">
        <f>IF(OR(Table1[[#This Row],[Gain/Loss]]="Gain",Table1[[#This Row],[Gain/Loss]]="Loss"),Table1[[#This Row],[Quantity]],"")</f>
        <v>8</v>
      </c>
    </row>
    <row r="491" spans="1:24" x14ac:dyDescent="0.25">
      <c r="A491">
        <v>10490</v>
      </c>
      <c r="B491" s="1">
        <v>46147</v>
      </c>
      <c r="C491" s="1" t="str">
        <f>TEXT(Table1[[#This Row],[Order_Date]],"DD")</f>
        <v>05</v>
      </c>
      <c r="D491" s="1" t="str">
        <f>TEXT(Table1[[#This Row],[Order_Date]],"MMM")</f>
        <v>May</v>
      </c>
      <c r="E491" s="1" t="str">
        <f>TEXT(Table1[[#This Row],[Order_Date]],"YYYY")</f>
        <v>2026</v>
      </c>
      <c r="F491">
        <v>3723</v>
      </c>
      <c r="G491" t="s">
        <v>23</v>
      </c>
      <c r="H491" t="s">
        <v>24</v>
      </c>
      <c r="I491" t="s">
        <v>25</v>
      </c>
      <c r="J491" t="s">
        <v>22</v>
      </c>
      <c r="K491">
        <v>6</v>
      </c>
      <c r="L491" s="2">
        <v>220.77</v>
      </c>
      <c r="M491" s="3">
        <v>0</v>
      </c>
      <c r="N491" s="2">
        <v>1324.62</v>
      </c>
      <c r="O491" s="2">
        <v>0</v>
      </c>
      <c r="P491" s="2">
        <v>1324.62</v>
      </c>
      <c r="Q491" s="2">
        <v>134.86000000000001</v>
      </c>
      <c r="R491" s="2">
        <v>809.16</v>
      </c>
      <c r="S491" s="2">
        <v>515.46</v>
      </c>
      <c r="T491" s="3">
        <v>0.38913801694070699</v>
      </c>
      <c r="U491" s="2" t="str">
        <f>IF(Table1[[#This Row],[Net_Revenue]]&lt;Table1[[#This Row],[Total_Cost]], "Loss", "Gain")</f>
        <v>Gain</v>
      </c>
      <c r="V491" s="16">
        <f>IF(Table1[[#This Row],[Gain/Loss]]="Gain",Table1[[#This Row],[Quantity]], 0)</f>
        <v>6</v>
      </c>
      <c r="W491" s="16">
        <f>IF(Table1[[#This Row],[Gain/Loss]]="Loss",Table1[[#This Row],[Quantity]],0)</f>
        <v>0</v>
      </c>
      <c r="X491" s="16">
        <f>IF(OR(Table1[[#This Row],[Gain/Loss]]="Gain",Table1[[#This Row],[Gain/Loss]]="Loss"),Table1[[#This Row],[Quantity]],"")</f>
        <v>6</v>
      </c>
    </row>
    <row r="492" spans="1:24" x14ac:dyDescent="0.25">
      <c r="A492">
        <v>10491</v>
      </c>
      <c r="B492" s="1">
        <v>46148</v>
      </c>
      <c r="C492" s="1" t="str">
        <f>TEXT(Table1[[#This Row],[Order_Date]],"DD")</f>
        <v>06</v>
      </c>
      <c r="D492" s="1" t="str">
        <f>TEXT(Table1[[#This Row],[Order_Date]],"MMM")</f>
        <v>May</v>
      </c>
      <c r="E492" s="1" t="str">
        <f>TEXT(Table1[[#This Row],[Order_Date]],"YYYY")</f>
        <v>2026</v>
      </c>
      <c r="F492">
        <v>3555</v>
      </c>
      <c r="G492" t="s">
        <v>29</v>
      </c>
      <c r="H492" t="s">
        <v>18</v>
      </c>
      <c r="I492" t="s">
        <v>33</v>
      </c>
      <c r="J492" t="s">
        <v>20</v>
      </c>
      <c r="K492">
        <v>6</v>
      </c>
      <c r="L492" s="2">
        <v>200.99</v>
      </c>
      <c r="M492" s="3">
        <v>0.2</v>
      </c>
      <c r="N492" s="2">
        <v>1205.94</v>
      </c>
      <c r="O492" s="2">
        <v>241.18799999999999</v>
      </c>
      <c r="P492" s="2">
        <v>964.75199999999995</v>
      </c>
      <c r="Q492" s="2">
        <v>33.25</v>
      </c>
      <c r="R492" s="2">
        <v>199.5</v>
      </c>
      <c r="S492" s="2">
        <v>765.25199999999995</v>
      </c>
      <c r="T492" s="3">
        <v>0.79321110503010106</v>
      </c>
      <c r="U492" s="2" t="str">
        <f>IF(Table1[[#This Row],[Net_Revenue]]&lt;Table1[[#This Row],[Total_Cost]], "Loss", "Gain")</f>
        <v>Gain</v>
      </c>
      <c r="V492" s="16">
        <f>IF(Table1[[#This Row],[Gain/Loss]]="Gain",Table1[[#This Row],[Quantity]], 0)</f>
        <v>6</v>
      </c>
      <c r="W492" s="16">
        <f>IF(Table1[[#This Row],[Gain/Loss]]="Loss",Table1[[#This Row],[Quantity]],0)</f>
        <v>0</v>
      </c>
      <c r="X492" s="16">
        <f>IF(OR(Table1[[#This Row],[Gain/Loss]]="Gain",Table1[[#This Row],[Gain/Loss]]="Loss"),Table1[[#This Row],[Quantity]],"")</f>
        <v>6</v>
      </c>
    </row>
    <row r="493" spans="1:24" x14ac:dyDescent="0.25">
      <c r="A493">
        <v>10492</v>
      </c>
      <c r="B493" s="1">
        <v>46149</v>
      </c>
      <c r="C493" s="1" t="str">
        <f>TEXT(Table1[[#This Row],[Order_Date]],"DD")</f>
        <v>07</v>
      </c>
      <c r="D493" s="1" t="str">
        <f>TEXT(Table1[[#This Row],[Order_Date]],"MMM")</f>
        <v>May</v>
      </c>
      <c r="E493" s="1" t="str">
        <f>TEXT(Table1[[#This Row],[Order_Date]],"YYYY")</f>
        <v>2026</v>
      </c>
      <c r="F493">
        <v>3178</v>
      </c>
      <c r="G493" t="s">
        <v>17</v>
      </c>
      <c r="H493" t="s">
        <v>18</v>
      </c>
      <c r="I493" t="s">
        <v>26</v>
      </c>
      <c r="J493" t="s">
        <v>30</v>
      </c>
      <c r="K493">
        <v>1</v>
      </c>
      <c r="L493" s="2">
        <v>17.32</v>
      </c>
      <c r="M493" s="3">
        <v>0.15</v>
      </c>
      <c r="N493" s="2">
        <v>17.32</v>
      </c>
      <c r="O493" s="2">
        <v>2.5979999999999999</v>
      </c>
      <c r="P493" s="2">
        <v>14.722</v>
      </c>
      <c r="Q493" s="2">
        <v>93.21</v>
      </c>
      <c r="R493" s="2">
        <v>93.21</v>
      </c>
      <c r="S493" s="2">
        <v>-78.488</v>
      </c>
      <c r="T493" s="3">
        <v>-5.3313408504279298</v>
      </c>
      <c r="U493" s="2" t="str">
        <f>IF(Table1[[#This Row],[Net_Revenue]]&lt;Table1[[#This Row],[Total_Cost]], "Loss", "Gain")</f>
        <v>Loss</v>
      </c>
      <c r="V493" s="16">
        <f>IF(Table1[[#This Row],[Gain/Loss]]="Gain",Table1[[#This Row],[Quantity]], 0)</f>
        <v>0</v>
      </c>
      <c r="W493" s="16">
        <f>IF(Table1[[#This Row],[Gain/Loss]]="Loss",Table1[[#This Row],[Quantity]],0)</f>
        <v>1</v>
      </c>
      <c r="X493" s="16">
        <f>IF(OR(Table1[[#This Row],[Gain/Loss]]="Gain",Table1[[#This Row],[Gain/Loss]]="Loss"),Table1[[#This Row],[Quantity]],"")</f>
        <v>1</v>
      </c>
    </row>
    <row r="494" spans="1:24" x14ac:dyDescent="0.25">
      <c r="A494">
        <v>10493</v>
      </c>
      <c r="B494" s="1">
        <v>46150</v>
      </c>
      <c r="C494" s="1" t="str">
        <f>TEXT(Table1[[#This Row],[Order_Date]],"DD")</f>
        <v>08</v>
      </c>
      <c r="D494" s="1" t="str">
        <f>TEXT(Table1[[#This Row],[Order_Date]],"MMM")</f>
        <v>May</v>
      </c>
      <c r="E494" s="1" t="str">
        <f>TEXT(Table1[[#This Row],[Order_Date]],"YYYY")</f>
        <v>2026</v>
      </c>
      <c r="F494">
        <v>3852</v>
      </c>
      <c r="G494" t="s">
        <v>23</v>
      </c>
      <c r="H494" t="s">
        <v>18</v>
      </c>
      <c r="I494" t="s">
        <v>26</v>
      </c>
      <c r="J494" t="s">
        <v>31</v>
      </c>
      <c r="K494">
        <v>9</v>
      </c>
      <c r="L494" s="2">
        <v>99.41</v>
      </c>
      <c r="M494" s="3">
        <v>0.1</v>
      </c>
      <c r="N494" s="2">
        <v>894.68999999999903</v>
      </c>
      <c r="O494" s="2">
        <v>89.468999999999994</v>
      </c>
      <c r="P494" s="2">
        <v>805.221</v>
      </c>
      <c r="Q494" s="2">
        <v>97.82</v>
      </c>
      <c r="R494" s="2">
        <v>880.37999999999897</v>
      </c>
      <c r="S494" s="2">
        <v>-75.158999999999807</v>
      </c>
      <c r="T494" s="3">
        <v>-9.3339592484547498E-2</v>
      </c>
      <c r="U494" s="2" t="str">
        <f>IF(Table1[[#This Row],[Net_Revenue]]&lt;Table1[[#This Row],[Total_Cost]], "Loss", "Gain")</f>
        <v>Loss</v>
      </c>
      <c r="V494" s="16">
        <f>IF(Table1[[#This Row],[Gain/Loss]]="Gain",Table1[[#This Row],[Quantity]], 0)</f>
        <v>0</v>
      </c>
      <c r="W494" s="16">
        <f>IF(Table1[[#This Row],[Gain/Loss]]="Loss",Table1[[#This Row],[Quantity]],0)</f>
        <v>9</v>
      </c>
      <c r="X494" s="16">
        <f>IF(OR(Table1[[#This Row],[Gain/Loss]]="Gain",Table1[[#This Row],[Gain/Loss]]="Loss"),Table1[[#This Row],[Quantity]],"")</f>
        <v>9</v>
      </c>
    </row>
    <row r="495" spans="1:24" x14ac:dyDescent="0.25">
      <c r="A495">
        <v>10494</v>
      </c>
      <c r="B495" s="1">
        <v>46151</v>
      </c>
      <c r="C495" s="1" t="str">
        <f>TEXT(Table1[[#This Row],[Order_Date]],"DD")</f>
        <v>09</v>
      </c>
      <c r="D495" s="1" t="str">
        <f>TEXT(Table1[[#This Row],[Order_Date]],"MMM")</f>
        <v>May</v>
      </c>
      <c r="E495" s="1" t="str">
        <f>TEXT(Table1[[#This Row],[Order_Date]],"YYYY")</f>
        <v>2026</v>
      </c>
      <c r="F495">
        <v>3194</v>
      </c>
      <c r="G495" t="s">
        <v>29</v>
      </c>
      <c r="H495" t="s">
        <v>24</v>
      </c>
      <c r="I495" t="s">
        <v>33</v>
      </c>
      <c r="J495" t="s">
        <v>20</v>
      </c>
      <c r="K495">
        <v>1</v>
      </c>
      <c r="L495" s="2">
        <v>79.66</v>
      </c>
      <c r="M495" s="3">
        <v>0.05</v>
      </c>
      <c r="N495" s="2">
        <v>79.66</v>
      </c>
      <c r="O495" s="2">
        <v>3.9830000000000001</v>
      </c>
      <c r="P495" s="2">
        <v>75.676999999999893</v>
      </c>
      <c r="Q495" s="2">
        <v>92.54</v>
      </c>
      <c r="R495" s="2">
        <v>92.54</v>
      </c>
      <c r="S495" s="2">
        <v>-16.863</v>
      </c>
      <c r="T495" s="3">
        <v>-0.22282860049949099</v>
      </c>
      <c r="U495" s="2" t="str">
        <f>IF(Table1[[#This Row],[Net_Revenue]]&lt;Table1[[#This Row],[Total_Cost]], "Loss", "Gain")</f>
        <v>Loss</v>
      </c>
      <c r="V495" s="16">
        <f>IF(Table1[[#This Row],[Gain/Loss]]="Gain",Table1[[#This Row],[Quantity]], 0)</f>
        <v>0</v>
      </c>
      <c r="W495" s="16">
        <f>IF(Table1[[#This Row],[Gain/Loss]]="Loss",Table1[[#This Row],[Quantity]],0)</f>
        <v>1</v>
      </c>
      <c r="X495" s="16">
        <f>IF(OR(Table1[[#This Row],[Gain/Loss]]="Gain",Table1[[#This Row],[Gain/Loss]]="Loss"),Table1[[#This Row],[Quantity]],"")</f>
        <v>1</v>
      </c>
    </row>
    <row r="496" spans="1:24" x14ac:dyDescent="0.25">
      <c r="A496">
        <v>10495</v>
      </c>
      <c r="B496" s="1">
        <v>46152</v>
      </c>
      <c r="C496" s="1" t="str">
        <f>TEXT(Table1[[#This Row],[Order_Date]],"DD")</f>
        <v>10</v>
      </c>
      <c r="D496" s="1" t="str">
        <f>TEXT(Table1[[#This Row],[Order_Date]],"MMM")</f>
        <v>May</v>
      </c>
      <c r="E496" s="1" t="str">
        <f>TEXT(Table1[[#This Row],[Order_Date]],"YYYY")</f>
        <v>2026</v>
      </c>
      <c r="F496">
        <v>3111</v>
      </c>
      <c r="G496" t="s">
        <v>29</v>
      </c>
      <c r="H496" t="s">
        <v>18</v>
      </c>
      <c r="I496" t="s">
        <v>26</v>
      </c>
      <c r="J496" t="s">
        <v>30</v>
      </c>
      <c r="K496">
        <v>4</v>
      </c>
      <c r="L496" s="2">
        <v>213.83</v>
      </c>
      <c r="M496" s="3">
        <v>0.2</v>
      </c>
      <c r="N496" s="2">
        <v>855.32</v>
      </c>
      <c r="O496" s="2">
        <v>171.06399999999999</v>
      </c>
      <c r="P496" s="2">
        <v>684.25599999999997</v>
      </c>
      <c r="Q496" s="2">
        <v>59.1</v>
      </c>
      <c r="R496" s="2">
        <v>236.4</v>
      </c>
      <c r="S496" s="2">
        <v>447.85599999999999</v>
      </c>
      <c r="T496" s="3">
        <v>0.65451526913903502</v>
      </c>
      <c r="U496" s="2" t="str">
        <f>IF(Table1[[#This Row],[Net_Revenue]]&lt;Table1[[#This Row],[Total_Cost]], "Loss", "Gain")</f>
        <v>Gain</v>
      </c>
      <c r="V496" s="16">
        <f>IF(Table1[[#This Row],[Gain/Loss]]="Gain",Table1[[#This Row],[Quantity]], 0)</f>
        <v>4</v>
      </c>
      <c r="W496" s="16">
        <f>IF(Table1[[#This Row],[Gain/Loss]]="Loss",Table1[[#This Row],[Quantity]],0)</f>
        <v>0</v>
      </c>
      <c r="X496" s="16">
        <f>IF(OR(Table1[[#This Row],[Gain/Loss]]="Gain",Table1[[#This Row],[Gain/Loss]]="Loss"),Table1[[#This Row],[Quantity]],"")</f>
        <v>4</v>
      </c>
    </row>
    <row r="497" spans="1:24" x14ac:dyDescent="0.25">
      <c r="A497">
        <v>10496</v>
      </c>
      <c r="B497" s="1">
        <v>46153</v>
      </c>
      <c r="C497" s="1" t="str">
        <f>TEXT(Table1[[#This Row],[Order_Date]],"DD")</f>
        <v>11</v>
      </c>
      <c r="D497" s="1" t="str">
        <f>TEXT(Table1[[#This Row],[Order_Date]],"MMM")</f>
        <v>May</v>
      </c>
      <c r="E497" s="1" t="str">
        <f>TEXT(Table1[[#This Row],[Order_Date]],"YYYY")</f>
        <v>2026</v>
      </c>
      <c r="F497">
        <v>3136</v>
      </c>
      <c r="G497" t="s">
        <v>29</v>
      </c>
      <c r="H497" t="s">
        <v>18</v>
      </c>
      <c r="I497" t="s">
        <v>26</v>
      </c>
      <c r="J497" t="s">
        <v>28</v>
      </c>
      <c r="K497">
        <v>1</v>
      </c>
      <c r="L497" s="2">
        <v>67.5</v>
      </c>
      <c r="M497" s="3">
        <v>0</v>
      </c>
      <c r="N497" s="2">
        <v>67.5</v>
      </c>
      <c r="O497" s="2">
        <v>0</v>
      </c>
      <c r="P497" s="2">
        <v>67.5</v>
      </c>
      <c r="Q497" s="2">
        <v>40.47</v>
      </c>
      <c r="R497" s="2">
        <v>40.47</v>
      </c>
      <c r="S497" s="2">
        <v>27.03</v>
      </c>
      <c r="T497" s="3">
        <v>0.40044444444444399</v>
      </c>
      <c r="U497" s="2" t="str">
        <f>IF(Table1[[#This Row],[Net_Revenue]]&lt;Table1[[#This Row],[Total_Cost]], "Loss", "Gain")</f>
        <v>Gain</v>
      </c>
      <c r="V497" s="16">
        <f>IF(Table1[[#This Row],[Gain/Loss]]="Gain",Table1[[#This Row],[Quantity]], 0)</f>
        <v>1</v>
      </c>
      <c r="W497" s="16">
        <f>IF(Table1[[#This Row],[Gain/Loss]]="Loss",Table1[[#This Row],[Quantity]],0)</f>
        <v>0</v>
      </c>
      <c r="X497" s="16">
        <f>IF(OR(Table1[[#This Row],[Gain/Loss]]="Gain",Table1[[#This Row],[Gain/Loss]]="Loss"),Table1[[#This Row],[Quantity]],"")</f>
        <v>1</v>
      </c>
    </row>
    <row r="498" spans="1:24" x14ac:dyDescent="0.25">
      <c r="A498">
        <v>10497</v>
      </c>
      <c r="B498" s="1">
        <v>46154</v>
      </c>
      <c r="C498" s="1" t="str">
        <f>TEXT(Table1[[#This Row],[Order_Date]],"DD")</f>
        <v>12</v>
      </c>
      <c r="D498" s="1" t="str">
        <f>TEXT(Table1[[#This Row],[Order_Date]],"MMM")</f>
        <v>May</v>
      </c>
      <c r="E498" s="1" t="str">
        <f>TEXT(Table1[[#This Row],[Order_Date]],"YYYY")</f>
        <v>2026</v>
      </c>
      <c r="F498">
        <v>3762</v>
      </c>
      <c r="G498" t="s">
        <v>23</v>
      </c>
      <c r="H498" t="s">
        <v>24</v>
      </c>
      <c r="I498" t="s">
        <v>26</v>
      </c>
      <c r="J498" t="s">
        <v>31</v>
      </c>
      <c r="K498">
        <v>5</v>
      </c>
      <c r="L498" s="2">
        <v>120.59</v>
      </c>
      <c r="M498" s="3">
        <v>0.1</v>
      </c>
      <c r="N498" s="2">
        <v>602.95000000000005</v>
      </c>
      <c r="O498" s="2">
        <v>60.295000000000002</v>
      </c>
      <c r="P498" s="2">
        <v>542.65499999999997</v>
      </c>
      <c r="Q498" s="2">
        <v>6.2</v>
      </c>
      <c r="R498" s="2">
        <v>31</v>
      </c>
      <c r="S498" s="2">
        <v>511.65499999999997</v>
      </c>
      <c r="T498" s="3">
        <v>0.94287346472436395</v>
      </c>
      <c r="U498" s="2" t="str">
        <f>IF(Table1[[#This Row],[Net_Revenue]]&lt;Table1[[#This Row],[Total_Cost]], "Loss", "Gain")</f>
        <v>Gain</v>
      </c>
      <c r="V498" s="16">
        <f>IF(Table1[[#This Row],[Gain/Loss]]="Gain",Table1[[#This Row],[Quantity]], 0)</f>
        <v>5</v>
      </c>
      <c r="W498" s="16">
        <f>IF(Table1[[#This Row],[Gain/Loss]]="Loss",Table1[[#This Row],[Quantity]],0)</f>
        <v>0</v>
      </c>
      <c r="X498" s="16">
        <f>IF(OR(Table1[[#This Row],[Gain/Loss]]="Gain",Table1[[#This Row],[Gain/Loss]]="Loss"),Table1[[#This Row],[Quantity]],"")</f>
        <v>5</v>
      </c>
    </row>
    <row r="499" spans="1:24" x14ac:dyDescent="0.25">
      <c r="A499">
        <v>10498</v>
      </c>
      <c r="B499" s="1">
        <v>46155</v>
      </c>
      <c r="C499" s="1" t="str">
        <f>TEXT(Table1[[#This Row],[Order_Date]],"DD")</f>
        <v>13</v>
      </c>
      <c r="D499" s="1" t="str">
        <f>TEXT(Table1[[#This Row],[Order_Date]],"MMM")</f>
        <v>May</v>
      </c>
      <c r="E499" s="1" t="str">
        <f>TEXT(Table1[[#This Row],[Order_Date]],"YYYY")</f>
        <v>2026</v>
      </c>
      <c r="F499">
        <v>3574</v>
      </c>
      <c r="G499" t="s">
        <v>17</v>
      </c>
      <c r="H499" t="s">
        <v>24</v>
      </c>
      <c r="I499" t="s">
        <v>26</v>
      </c>
      <c r="J499" t="s">
        <v>31</v>
      </c>
      <c r="K499">
        <v>3</v>
      </c>
      <c r="L499" s="2">
        <v>182.53</v>
      </c>
      <c r="M499" s="3">
        <v>0.2</v>
      </c>
      <c r="N499" s="2">
        <v>547.59</v>
      </c>
      <c r="O499" s="2">
        <v>109.518</v>
      </c>
      <c r="P499" s="2">
        <v>438.072</v>
      </c>
      <c r="Q499" s="2">
        <v>34.68</v>
      </c>
      <c r="R499" s="2">
        <v>104.039999999999</v>
      </c>
      <c r="S499" s="2">
        <v>334.03199999999998</v>
      </c>
      <c r="T499" s="3">
        <v>0.76250479373253699</v>
      </c>
      <c r="U499" s="2" t="str">
        <f>IF(Table1[[#This Row],[Net_Revenue]]&lt;Table1[[#This Row],[Total_Cost]], "Loss", "Gain")</f>
        <v>Gain</v>
      </c>
      <c r="V499" s="16">
        <f>IF(Table1[[#This Row],[Gain/Loss]]="Gain",Table1[[#This Row],[Quantity]], 0)</f>
        <v>3</v>
      </c>
      <c r="W499" s="16">
        <f>IF(Table1[[#This Row],[Gain/Loss]]="Loss",Table1[[#This Row],[Quantity]],0)</f>
        <v>0</v>
      </c>
      <c r="X499" s="16">
        <f>IF(OR(Table1[[#This Row],[Gain/Loss]]="Gain",Table1[[#This Row],[Gain/Loss]]="Loss"),Table1[[#This Row],[Quantity]],"")</f>
        <v>3</v>
      </c>
    </row>
    <row r="500" spans="1:24" x14ac:dyDescent="0.25">
      <c r="A500">
        <v>10499</v>
      </c>
      <c r="B500" s="1">
        <v>46156</v>
      </c>
      <c r="C500" s="1" t="str">
        <f>TEXT(Table1[[#This Row],[Order_Date]],"DD")</f>
        <v>14</v>
      </c>
      <c r="D500" s="1" t="str">
        <f>TEXT(Table1[[#This Row],[Order_Date]],"MMM")</f>
        <v>May</v>
      </c>
      <c r="E500" s="1" t="str">
        <f>TEXT(Table1[[#This Row],[Order_Date]],"YYYY")</f>
        <v>2026</v>
      </c>
      <c r="F500">
        <v>3084</v>
      </c>
      <c r="G500" t="s">
        <v>29</v>
      </c>
      <c r="H500" t="s">
        <v>18</v>
      </c>
      <c r="I500" t="s">
        <v>25</v>
      </c>
      <c r="J500" t="s">
        <v>22</v>
      </c>
      <c r="K500">
        <v>1</v>
      </c>
      <c r="L500" s="2">
        <v>182.53</v>
      </c>
      <c r="M500" s="3">
        <v>0.15</v>
      </c>
      <c r="N500" s="2">
        <v>249.83</v>
      </c>
      <c r="O500" s="2">
        <v>37.474499999999999</v>
      </c>
      <c r="P500" s="2">
        <v>212.35550000000001</v>
      </c>
      <c r="Q500" s="2">
        <v>123.04</v>
      </c>
      <c r="R500" s="2">
        <v>123.04</v>
      </c>
      <c r="S500" s="2">
        <v>89.3155</v>
      </c>
      <c r="T500" s="3">
        <v>0.42059423937689305</v>
      </c>
      <c r="U500" s="2" t="str">
        <f>IF(Table1[[#This Row],[Net_Revenue]]&lt;Table1[[#This Row],[Total_Cost]], "Loss", "Gain")</f>
        <v>Gain</v>
      </c>
      <c r="V500" s="16">
        <f>IF(Table1[[#This Row],[Gain/Loss]]="Gain",Table1[[#This Row],[Quantity]], 0)</f>
        <v>1</v>
      </c>
      <c r="W500" s="16">
        <f>IF(Table1[[#This Row],[Gain/Loss]]="Loss",Table1[[#This Row],[Quantity]],0)</f>
        <v>0</v>
      </c>
      <c r="X500" s="16">
        <f>IF(OR(Table1[[#This Row],[Gain/Loss]]="Gain",Table1[[#This Row],[Gain/Loss]]="Loss"),Table1[[#This Row],[Quantity]],"")</f>
        <v>1</v>
      </c>
    </row>
    <row r="501" spans="1:24" x14ac:dyDescent="0.25">
      <c r="A501">
        <v>10500</v>
      </c>
      <c r="B501" s="1">
        <v>46157</v>
      </c>
      <c r="C501" s="1" t="str">
        <f>TEXT(Table1[[#This Row],[Order_Date]],"DD")</f>
        <v>15</v>
      </c>
      <c r="D501" s="1" t="str">
        <f>TEXT(Table1[[#This Row],[Order_Date]],"MMM")</f>
        <v>May</v>
      </c>
      <c r="E501" s="1" t="str">
        <f>TEXT(Table1[[#This Row],[Order_Date]],"YYYY")</f>
        <v>2026</v>
      </c>
      <c r="F501">
        <v>3313</v>
      </c>
      <c r="G501" t="s">
        <v>29</v>
      </c>
      <c r="H501" t="s">
        <v>18</v>
      </c>
      <c r="I501" t="s">
        <v>19</v>
      </c>
      <c r="J501" t="s">
        <v>27</v>
      </c>
      <c r="K501">
        <v>7</v>
      </c>
      <c r="L501" s="2">
        <v>97.16</v>
      </c>
      <c r="M501" s="3">
        <v>0.2</v>
      </c>
      <c r="N501" s="2">
        <v>680.12</v>
      </c>
      <c r="O501" s="2">
        <v>136.024</v>
      </c>
      <c r="P501" s="2">
        <v>544.096</v>
      </c>
      <c r="Q501" s="2">
        <v>45.31</v>
      </c>
      <c r="R501" s="2">
        <v>317.17</v>
      </c>
      <c r="S501" s="2">
        <v>226.92599999999999</v>
      </c>
      <c r="T501" s="3">
        <v>0.41706978180321103</v>
      </c>
      <c r="U501" s="2" t="str">
        <f>IF(Table1[[#This Row],[Net_Revenue]]&lt;Table1[[#This Row],[Total_Cost]], "Loss", "Gain")</f>
        <v>Gain</v>
      </c>
      <c r="V501" s="16">
        <f>IF(Table1[[#This Row],[Gain/Loss]]="Gain",Table1[[#This Row],[Quantity]], 0)</f>
        <v>7</v>
      </c>
      <c r="W501" s="16">
        <f>IF(Table1[[#This Row],[Gain/Loss]]="Loss",Table1[[#This Row],[Quantity]],0)</f>
        <v>0</v>
      </c>
      <c r="X501" s="16">
        <f>IF(OR(Table1[[#This Row],[Gain/Loss]]="Gain",Table1[[#This Row],[Gain/Loss]]="Loss"),Table1[[#This Row],[Quantity]],"")</f>
        <v>7</v>
      </c>
    </row>
    <row r="502" spans="1:24" x14ac:dyDescent="0.25">
      <c r="B502" s="1"/>
      <c r="C502" s="1"/>
      <c r="D502" s="1"/>
      <c r="E502" s="1"/>
      <c r="M502" s="3"/>
      <c r="T502" s="3"/>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042C-0167-42A8-ACDF-44AFF09844EC}">
  <dimension ref="A1:Z401"/>
  <sheetViews>
    <sheetView workbookViewId="0">
      <selection activeCell="A12" sqref="A12:C18"/>
    </sheetView>
  </sheetViews>
  <sheetFormatPr defaultRowHeight="15" x14ac:dyDescent="0.25"/>
  <cols>
    <col min="1" max="1" width="13.140625" bestFit="1" customWidth="1"/>
    <col min="2" max="2" width="14.140625" bestFit="1" customWidth="1"/>
    <col min="3" max="3" width="8.5703125" bestFit="1" customWidth="1"/>
    <col min="4" max="4" width="4.42578125" customWidth="1"/>
    <col min="5" max="5" width="13.140625" bestFit="1" customWidth="1"/>
    <col min="6" max="6" width="24" bestFit="1" customWidth="1"/>
    <col min="7" max="7" width="17.28515625" bestFit="1" customWidth="1"/>
    <col min="8" max="8" width="13.140625" bestFit="1" customWidth="1"/>
    <col min="9" max="9" width="13.85546875" bestFit="1" customWidth="1"/>
    <col min="10" max="10" width="13.42578125" bestFit="1" customWidth="1"/>
    <col min="11" max="11" width="11.28515625" bestFit="1" customWidth="1"/>
    <col min="12" max="12" width="5.140625" customWidth="1"/>
    <col min="13" max="13" width="13.140625" bestFit="1" customWidth="1"/>
    <col min="14" max="14" width="17.28515625" bestFit="1" customWidth="1"/>
    <col min="16" max="16" width="4.7109375" customWidth="1"/>
    <col min="21" max="21" width="13.140625" bestFit="1" customWidth="1"/>
    <col min="22" max="22" width="20" bestFit="1" customWidth="1"/>
    <col min="23" max="23" width="8.5703125" bestFit="1" customWidth="1"/>
    <col min="24" max="24" width="12.5703125" bestFit="1" customWidth="1"/>
    <col min="25" max="25" width="8.5703125" bestFit="1" customWidth="1"/>
    <col min="26" max="26" width="25" bestFit="1" customWidth="1"/>
    <col min="27" max="27" width="17.7109375" bestFit="1" customWidth="1"/>
  </cols>
  <sheetData>
    <row r="1" spans="1:19" x14ac:dyDescent="0.25">
      <c r="A1" s="24" t="s">
        <v>67</v>
      </c>
      <c r="B1" s="24"/>
      <c r="C1" s="24"/>
      <c r="E1" s="24" t="s">
        <v>75</v>
      </c>
      <c r="F1" s="24"/>
      <c r="H1" s="24" t="s">
        <v>76</v>
      </c>
      <c r="I1" s="24"/>
      <c r="J1" s="24"/>
      <c r="K1" s="24"/>
      <c r="M1" s="24" t="s">
        <v>78</v>
      </c>
      <c r="N1" s="24"/>
      <c r="O1" s="24"/>
    </row>
    <row r="2" spans="1:19" x14ac:dyDescent="0.25">
      <c r="A2" s="4" t="s">
        <v>37</v>
      </c>
      <c r="B2" t="s">
        <v>87</v>
      </c>
      <c r="C2" t="s">
        <v>88</v>
      </c>
      <c r="E2" s="4" t="s">
        <v>37</v>
      </c>
      <c r="F2" t="s">
        <v>41</v>
      </c>
      <c r="H2" s="4" t="s">
        <v>39</v>
      </c>
      <c r="I2" s="4" t="s">
        <v>56</v>
      </c>
      <c r="M2" s="4" t="s">
        <v>37</v>
      </c>
      <c r="N2" t="s">
        <v>62</v>
      </c>
      <c r="O2" t="s">
        <v>72</v>
      </c>
      <c r="Q2" t="s">
        <v>2</v>
      </c>
      <c r="R2" t="s">
        <v>0</v>
      </c>
      <c r="S2" t="s">
        <v>63</v>
      </c>
    </row>
    <row r="3" spans="1:19" x14ac:dyDescent="0.25">
      <c r="A3" s="5" t="s">
        <v>28</v>
      </c>
      <c r="B3" s="2">
        <v>48250.289499999999</v>
      </c>
      <c r="C3" s="2">
        <v>14853.969499999994</v>
      </c>
      <c r="E3" s="5" t="s">
        <v>28</v>
      </c>
      <c r="F3">
        <v>410</v>
      </c>
      <c r="H3" s="4" t="s">
        <v>37</v>
      </c>
      <c r="I3" t="s">
        <v>57</v>
      </c>
      <c r="J3" t="s">
        <v>58</v>
      </c>
      <c r="K3" t="s">
        <v>38</v>
      </c>
      <c r="M3" s="5">
        <v>3001</v>
      </c>
      <c r="N3">
        <v>1</v>
      </c>
      <c r="O3" t="str">
        <f>IF(GETPIVOTDATA("Order_ID",$M$2, "Customer_ID",M3)=1, "One-time", IF(GETPIVOTDATA("Order_ID",$M$2, "Customer_ID",M3)&lt;=3, "Repeat", "Loyal"))</f>
        <v>One-time</v>
      </c>
      <c r="Q3">
        <v>3001</v>
      </c>
      <c r="R3">
        <v>1</v>
      </c>
      <c r="S3" t="s">
        <v>64</v>
      </c>
    </row>
    <row r="4" spans="1:19" x14ac:dyDescent="0.25">
      <c r="A4" s="5" t="s">
        <v>20</v>
      </c>
      <c r="B4" s="2">
        <v>46515.5075</v>
      </c>
      <c r="C4" s="2">
        <v>15625.957499999982</v>
      </c>
      <c r="E4" s="5" t="s">
        <v>20</v>
      </c>
      <c r="F4">
        <v>383</v>
      </c>
      <c r="H4" s="5" t="s">
        <v>42</v>
      </c>
      <c r="I4" s="2">
        <v>15354.435999999996</v>
      </c>
      <c r="J4" s="2">
        <v>20090.045999999951</v>
      </c>
      <c r="K4" s="2">
        <v>35444.481999999945</v>
      </c>
      <c r="M4" s="5">
        <v>3005</v>
      </c>
      <c r="N4">
        <v>2</v>
      </c>
      <c r="O4" t="str">
        <f t="shared" ref="O4:O67" si="0">IF(GETPIVOTDATA("Order_ID",$M$2, "Customer_ID",M4)=1, "One-time", IF(GETPIVOTDATA("Order_ID",$M$2, "Customer_ID",M4)&lt;=3, "Repeat", "Loyal"))</f>
        <v>Repeat</v>
      </c>
      <c r="Q4">
        <v>3005</v>
      </c>
      <c r="R4">
        <v>2</v>
      </c>
      <c r="S4" t="s">
        <v>65</v>
      </c>
    </row>
    <row r="5" spans="1:19" x14ac:dyDescent="0.25">
      <c r="A5" s="5" t="s">
        <v>30</v>
      </c>
      <c r="B5" s="2">
        <v>44334.661499999936</v>
      </c>
      <c r="C5" s="2">
        <v>17605.211499999965</v>
      </c>
      <c r="E5" s="5" t="s">
        <v>31</v>
      </c>
      <c r="F5">
        <v>380</v>
      </c>
      <c r="H5" s="5" t="s">
        <v>43</v>
      </c>
      <c r="I5" s="2">
        <v>18495.753499999992</v>
      </c>
      <c r="J5" s="2">
        <v>19512.253499999973</v>
      </c>
      <c r="K5" s="2">
        <v>38008.006999999969</v>
      </c>
      <c r="M5" s="5">
        <v>3006</v>
      </c>
      <c r="N5">
        <v>1</v>
      </c>
      <c r="O5" t="str">
        <f t="shared" si="0"/>
        <v>One-time</v>
      </c>
      <c r="Q5">
        <v>3006</v>
      </c>
      <c r="R5">
        <v>1</v>
      </c>
      <c r="S5" t="s">
        <v>64</v>
      </c>
    </row>
    <row r="6" spans="1:19" x14ac:dyDescent="0.25">
      <c r="A6" s="5" t="s">
        <v>31</v>
      </c>
      <c r="B6" s="2">
        <v>43706.118999999926</v>
      </c>
      <c r="C6" s="2">
        <v>14055.838999999987</v>
      </c>
      <c r="E6" s="5" t="s">
        <v>38</v>
      </c>
      <c r="F6">
        <v>1173</v>
      </c>
      <c r="H6" s="5" t="s">
        <v>44</v>
      </c>
      <c r="I6" s="2">
        <v>18895.978499999987</v>
      </c>
      <c r="J6" s="2">
        <v>16489.738499999989</v>
      </c>
      <c r="K6" s="2">
        <v>35385.716999999975</v>
      </c>
      <c r="M6" s="5">
        <v>3008</v>
      </c>
      <c r="N6">
        <v>1</v>
      </c>
      <c r="O6" t="str">
        <f t="shared" si="0"/>
        <v>One-time</v>
      </c>
      <c r="Q6">
        <v>3008</v>
      </c>
      <c r="R6">
        <v>1</v>
      </c>
      <c r="S6" t="s">
        <v>64</v>
      </c>
    </row>
    <row r="7" spans="1:19" x14ac:dyDescent="0.25">
      <c r="A7" s="5" t="s">
        <v>27</v>
      </c>
      <c r="B7" s="2">
        <v>42961.70949999999</v>
      </c>
      <c r="C7" s="2">
        <v>15315.539499999999</v>
      </c>
      <c r="H7" s="5" t="s">
        <v>45</v>
      </c>
      <c r="I7" s="2">
        <v>13665.40749999997</v>
      </c>
      <c r="J7" s="2">
        <v>17029.756499999996</v>
      </c>
      <c r="K7" s="2">
        <v>30695.163999999968</v>
      </c>
      <c r="M7" s="5">
        <v>3011</v>
      </c>
      <c r="N7">
        <v>1</v>
      </c>
      <c r="O7" t="str">
        <f t="shared" si="0"/>
        <v>One-time</v>
      </c>
      <c r="Q7">
        <v>3011</v>
      </c>
      <c r="R7">
        <v>1</v>
      </c>
      <c r="S7" t="s">
        <v>64</v>
      </c>
    </row>
    <row r="8" spans="1:19" x14ac:dyDescent="0.25">
      <c r="A8" s="5" t="s">
        <v>32</v>
      </c>
      <c r="B8" s="2">
        <v>37457.424499999972</v>
      </c>
      <c r="C8" s="2">
        <v>13078.384499999969</v>
      </c>
      <c r="E8" s="24" t="s">
        <v>73</v>
      </c>
      <c r="F8" s="24"/>
      <c r="H8" s="5" t="s">
        <v>46</v>
      </c>
      <c r="I8" s="2">
        <v>21678.336499999994</v>
      </c>
      <c r="J8" s="2">
        <v>9476.0064999999886</v>
      </c>
      <c r="K8" s="2">
        <v>31154.342999999983</v>
      </c>
      <c r="M8" s="5">
        <v>3012</v>
      </c>
      <c r="N8">
        <v>1</v>
      </c>
      <c r="O8" t="str">
        <f t="shared" si="0"/>
        <v>One-time</v>
      </c>
      <c r="Q8">
        <v>3012</v>
      </c>
      <c r="R8">
        <v>1</v>
      </c>
      <c r="S8" t="s">
        <v>64</v>
      </c>
    </row>
    <row r="9" spans="1:19" x14ac:dyDescent="0.25">
      <c r="A9" s="5" t="s">
        <v>22</v>
      </c>
      <c r="B9" s="2">
        <v>31122.671999999973</v>
      </c>
      <c r="C9" s="2">
        <v>8528.8719999999776</v>
      </c>
      <c r="E9" s="4" t="s">
        <v>37</v>
      </c>
      <c r="F9" t="s">
        <v>39</v>
      </c>
      <c r="H9" s="5" t="s">
        <v>47</v>
      </c>
      <c r="I9" s="2">
        <v>18623.816999999985</v>
      </c>
      <c r="J9" s="2"/>
      <c r="K9" s="2">
        <v>18623.816999999985</v>
      </c>
      <c r="M9" s="5">
        <v>3016</v>
      </c>
      <c r="N9">
        <v>1</v>
      </c>
      <c r="O9" t="str">
        <f t="shared" si="0"/>
        <v>One-time</v>
      </c>
      <c r="Q9">
        <v>3016</v>
      </c>
      <c r="R9">
        <v>1</v>
      </c>
      <c r="S9" t="s">
        <v>64</v>
      </c>
    </row>
    <row r="10" spans="1:19" x14ac:dyDescent="0.25">
      <c r="A10" s="5" t="s">
        <v>38</v>
      </c>
      <c r="B10" s="2">
        <v>294348.38349999976</v>
      </c>
      <c r="C10" s="2">
        <v>99063.773499999865</v>
      </c>
      <c r="E10" s="5" t="s">
        <v>18</v>
      </c>
      <c r="F10" s="2">
        <v>144694.4359999999</v>
      </c>
      <c r="H10" s="5" t="s">
        <v>48</v>
      </c>
      <c r="I10" s="2">
        <v>21368.689999999995</v>
      </c>
      <c r="J10" s="2"/>
      <c r="K10" s="2">
        <v>21368.689999999995</v>
      </c>
      <c r="M10" s="5">
        <v>3018</v>
      </c>
      <c r="N10">
        <v>1</v>
      </c>
      <c r="O10" t="str">
        <f t="shared" si="0"/>
        <v>One-time</v>
      </c>
      <c r="Q10">
        <v>3018</v>
      </c>
      <c r="R10">
        <v>1</v>
      </c>
      <c r="S10" t="s">
        <v>64</v>
      </c>
    </row>
    <row r="11" spans="1:19" x14ac:dyDescent="0.25">
      <c r="E11" s="5" t="s">
        <v>24</v>
      </c>
      <c r="F11" s="2">
        <v>149653.94749999986</v>
      </c>
      <c r="H11" s="5" t="s">
        <v>49</v>
      </c>
      <c r="I11" s="2">
        <v>21150.483499999962</v>
      </c>
      <c r="J11" s="2"/>
      <c r="K11" s="2">
        <v>21150.483499999962</v>
      </c>
      <c r="M11" s="5">
        <v>3019</v>
      </c>
      <c r="N11">
        <v>1</v>
      </c>
      <c r="O11" t="str">
        <f t="shared" si="0"/>
        <v>One-time</v>
      </c>
      <c r="Q11">
        <v>3019</v>
      </c>
      <c r="R11">
        <v>1</v>
      </c>
      <c r="S11" t="s">
        <v>64</v>
      </c>
    </row>
    <row r="12" spans="1:19" x14ac:dyDescent="0.25">
      <c r="A12" s="24" t="s">
        <v>68</v>
      </c>
      <c r="B12" s="24"/>
      <c r="C12" s="24"/>
      <c r="E12" s="5" t="s">
        <v>38</v>
      </c>
      <c r="F12" s="2">
        <v>294348.38349999976</v>
      </c>
      <c r="H12" s="5" t="s">
        <v>50</v>
      </c>
      <c r="I12" s="2">
        <v>14660.303999999996</v>
      </c>
      <c r="J12" s="2"/>
      <c r="K12" s="2">
        <v>14660.303999999996</v>
      </c>
      <c r="M12" s="5">
        <v>3021</v>
      </c>
      <c r="N12">
        <v>1</v>
      </c>
      <c r="O12" t="str">
        <f t="shared" si="0"/>
        <v>One-time</v>
      </c>
      <c r="Q12">
        <v>3021</v>
      </c>
      <c r="R12">
        <v>1</v>
      </c>
      <c r="S12" t="s">
        <v>64</v>
      </c>
    </row>
    <row r="13" spans="1:19" x14ac:dyDescent="0.25">
      <c r="A13" s="4" t="s">
        <v>37</v>
      </c>
      <c r="B13" t="s">
        <v>89</v>
      </c>
      <c r="C13" t="s">
        <v>90</v>
      </c>
      <c r="H13" s="5" t="s">
        <v>51</v>
      </c>
      <c r="I13" s="2">
        <v>20405.617999999995</v>
      </c>
      <c r="J13" s="2"/>
      <c r="K13" s="2">
        <v>20405.617999999995</v>
      </c>
      <c r="M13" s="5">
        <v>3029</v>
      </c>
      <c r="N13">
        <v>1</v>
      </c>
      <c r="O13" t="str">
        <f t="shared" si="0"/>
        <v>One-time</v>
      </c>
      <c r="Q13">
        <v>3029</v>
      </c>
      <c r="R13">
        <v>1</v>
      </c>
      <c r="S13" t="s">
        <v>64</v>
      </c>
    </row>
    <row r="14" spans="1:19" x14ac:dyDescent="0.25">
      <c r="A14" s="5" t="s">
        <v>23</v>
      </c>
      <c r="B14" s="2">
        <v>71096.773999999947</v>
      </c>
      <c r="C14" s="2">
        <v>19646.413999999961</v>
      </c>
      <c r="E14" s="24" t="s">
        <v>74</v>
      </c>
      <c r="F14" s="24"/>
      <c r="H14" s="5" t="s">
        <v>52</v>
      </c>
      <c r="I14" s="2">
        <v>12319.746499999988</v>
      </c>
      <c r="J14" s="2"/>
      <c r="K14" s="2">
        <v>12319.746499999988</v>
      </c>
      <c r="M14" s="5">
        <v>3033</v>
      </c>
      <c r="N14">
        <v>2</v>
      </c>
      <c r="O14" t="str">
        <f t="shared" si="0"/>
        <v>Repeat</v>
      </c>
      <c r="Q14">
        <v>3033</v>
      </c>
      <c r="R14">
        <v>2</v>
      </c>
      <c r="S14" t="s">
        <v>65</v>
      </c>
    </row>
    <row r="15" spans="1:19" x14ac:dyDescent="0.25">
      <c r="A15" s="5" t="s">
        <v>21</v>
      </c>
      <c r="B15" s="2">
        <v>81211.251499999926</v>
      </c>
      <c r="C15" s="2">
        <v>27633.011499999971</v>
      </c>
      <c r="E15" s="4" t="s">
        <v>55</v>
      </c>
      <c r="H15" s="5" t="s">
        <v>53</v>
      </c>
      <c r="I15" s="2">
        <v>15132.011499999991</v>
      </c>
      <c r="J15" s="2"/>
      <c r="K15" s="2">
        <v>15132.011499999991</v>
      </c>
      <c r="M15" s="5">
        <v>3035</v>
      </c>
      <c r="N15">
        <v>2</v>
      </c>
      <c r="O15" t="str">
        <f t="shared" si="0"/>
        <v>Repeat</v>
      </c>
      <c r="Q15">
        <v>3035</v>
      </c>
      <c r="R15">
        <v>2</v>
      </c>
      <c r="S15" t="s">
        <v>65</v>
      </c>
    </row>
    <row r="16" spans="1:19" x14ac:dyDescent="0.25">
      <c r="A16" s="5" t="s">
        <v>29</v>
      </c>
      <c r="B16" s="2">
        <v>71008.218999999939</v>
      </c>
      <c r="C16" s="2">
        <v>27758.378999999975</v>
      </c>
      <c r="E16" s="5" t="s">
        <v>41</v>
      </c>
      <c r="F16">
        <v>2467</v>
      </c>
      <c r="H16" s="5" t="s">
        <v>38</v>
      </c>
      <c r="I16" s="2">
        <v>211750.58249999984</v>
      </c>
      <c r="J16" s="2">
        <v>82597.80099999989</v>
      </c>
      <c r="K16" s="2">
        <v>294348.38349999976</v>
      </c>
      <c r="M16" s="5">
        <v>3036</v>
      </c>
      <c r="N16">
        <v>1</v>
      </c>
      <c r="O16" t="str">
        <f t="shared" si="0"/>
        <v>One-time</v>
      </c>
      <c r="Q16">
        <v>3036</v>
      </c>
      <c r="R16">
        <v>1</v>
      </c>
      <c r="S16" t="s">
        <v>64</v>
      </c>
    </row>
    <row r="17" spans="1:26" x14ac:dyDescent="0.25">
      <c r="A17" s="5" t="s">
        <v>17</v>
      </c>
      <c r="B17" s="2">
        <v>71032.138999999937</v>
      </c>
      <c r="C17" s="2">
        <v>24025.968999999957</v>
      </c>
      <c r="E17" s="5" t="s">
        <v>39</v>
      </c>
      <c r="F17" s="10">
        <v>294348.3835</v>
      </c>
      <c r="M17" s="5">
        <v>3039</v>
      </c>
      <c r="N17">
        <v>1</v>
      </c>
      <c r="O17" t="str">
        <f t="shared" si="0"/>
        <v>One-time</v>
      </c>
      <c r="Q17">
        <v>3039</v>
      </c>
      <c r="R17">
        <v>1</v>
      </c>
      <c r="S17" t="s">
        <v>64</v>
      </c>
    </row>
    <row r="18" spans="1:26" x14ac:dyDescent="0.25">
      <c r="A18" s="5" t="s">
        <v>38</v>
      </c>
      <c r="B18" s="2">
        <v>294348.38349999976</v>
      </c>
      <c r="C18" s="2">
        <v>99063.773499999865</v>
      </c>
      <c r="E18" s="5" t="s">
        <v>40</v>
      </c>
      <c r="F18" s="10">
        <v>99063.773499999836</v>
      </c>
      <c r="H18" s="24" t="s">
        <v>77</v>
      </c>
      <c r="I18" s="24"/>
      <c r="J18" s="24"/>
      <c r="K18" s="24"/>
      <c r="M18" s="5">
        <v>3042</v>
      </c>
      <c r="N18">
        <v>1</v>
      </c>
      <c r="O18" t="str">
        <f t="shared" si="0"/>
        <v>One-time</v>
      </c>
      <c r="Q18">
        <v>3042</v>
      </c>
      <c r="R18">
        <v>1</v>
      </c>
      <c r="S18" t="s">
        <v>64</v>
      </c>
    </row>
    <row r="19" spans="1:26" x14ac:dyDescent="0.25">
      <c r="H19" s="4" t="s">
        <v>40</v>
      </c>
      <c r="I19" s="4" t="s">
        <v>56</v>
      </c>
      <c r="M19" s="5">
        <v>3044</v>
      </c>
      <c r="N19">
        <v>4</v>
      </c>
      <c r="O19" t="str">
        <f t="shared" si="0"/>
        <v>Loyal</v>
      </c>
      <c r="Q19">
        <v>3044</v>
      </c>
      <c r="R19">
        <v>4</v>
      </c>
      <c r="S19" t="s">
        <v>66</v>
      </c>
    </row>
    <row r="20" spans="1:26" x14ac:dyDescent="0.25">
      <c r="A20" s="24" t="s">
        <v>69</v>
      </c>
      <c r="B20" s="24"/>
      <c r="C20" s="24"/>
      <c r="E20" s="24" t="s">
        <v>71</v>
      </c>
      <c r="F20" s="24"/>
      <c r="H20" s="4" t="s">
        <v>37</v>
      </c>
      <c r="I20" t="s">
        <v>57</v>
      </c>
      <c r="J20" t="s">
        <v>58</v>
      </c>
      <c r="K20" t="s">
        <v>38</v>
      </c>
      <c r="M20" s="5">
        <v>3045</v>
      </c>
      <c r="N20">
        <v>2</v>
      </c>
      <c r="O20" t="str">
        <f>IF(GETPIVOTDATA("Order_ID",$M$2, "Customer_ID",M20)=1, "One-time", IF(GETPIVOTDATA("Order_ID",$M$2, "Customer_ID",M20)&lt;=3, "Repeat", "Loyal"))</f>
        <v>Repeat</v>
      </c>
      <c r="Q20">
        <v>3045</v>
      </c>
      <c r="R20">
        <v>2</v>
      </c>
      <c r="S20" t="s">
        <v>65</v>
      </c>
    </row>
    <row r="21" spans="1:26" x14ac:dyDescent="0.25">
      <c r="A21" s="4" t="s">
        <v>9</v>
      </c>
      <c r="B21" t="s">
        <v>59</v>
      </c>
      <c r="C21" t="s">
        <v>60</v>
      </c>
      <c r="E21" s="4" t="s">
        <v>37</v>
      </c>
      <c r="F21" t="s">
        <v>61</v>
      </c>
      <c r="H21" s="5" t="s">
        <v>42</v>
      </c>
      <c r="I21" s="2">
        <v>2029.3959999999968</v>
      </c>
      <c r="J21" s="2">
        <v>9268.6359999999822</v>
      </c>
      <c r="K21" s="2">
        <v>11298.031999999979</v>
      </c>
      <c r="M21" s="5">
        <v>3047</v>
      </c>
      <c r="N21">
        <v>1</v>
      </c>
      <c r="O21" t="str">
        <f t="shared" si="0"/>
        <v>One-time</v>
      </c>
      <c r="Q21">
        <v>3047</v>
      </c>
      <c r="R21">
        <v>1</v>
      </c>
      <c r="S21" t="s">
        <v>64</v>
      </c>
    </row>
    <row r="22" spans="1:26" x14ac:dyDescent="0.25">
      <c r="A22" s="6">
        <v>0</v>
      </c>
      <c r="B22" s="2">
        <v>310.98144230769208</v>
      </c>
      <c r="C22" s="3">
        <v>-0.11375916236738684</v>
      </c>
      <c r="E22" s="5" t="s">
        <v>66</v>
      </c>
      <c r="F22">
        <v>12</v>
      </c>
      <c r="H22" s="5" t="s">
        <v>43</v>
      </c>
      <c r="I22" s="2">
        <v>7084.7134999999971</v>
      </c>
      <c r="J22" s="2">
        <v>8965.1434999999856</v>
      </c>
      <c r="K22" s="2">
        <v>16049.856999999982</v>
      </c>
      <c r="M22" s="5">
        <v>3049</v>
      </c>
      <c r="N22">
        <v>2</v>
      </c>
      <c r="O22" t="str">
        <f t="shared" si="0"/>
        <v>Repeat</v>
      </c>
      <c r="Q22">
        <v>3049</v>
      </c>
      <c r="R22">
        <v>2</v>
      </c>
      <c r="S22" t="s">
        <v>65</v>
      </c>
    </row>
    <row r="23" spans="1:26" x14ac:dyDescent="0.25">
      <c r="A23" s="6">
        <v>0.05</v>
      </c>
      <c r="B23" s="2">
        <v>224.2678705882349</v>
      </c>
      <c r="C23" s="3">
        <v>-8.3534260021130416E-2</v>
      </c>
      <c r="E23" s="5" t="s">
        <v>64</v>
      </c>
      <c r="F23">
        <v>312</v>
      </c>
      <c r="H23" s="5" t="s">
        <v>44</v>
      </c>
      <c r="I23" s="2">
        <v>5171.7884999999915</v>
      </c>
      <c r="J23" s="2">
        <v>3657.3784999999998</v>
      </c>
      <c r="K23" s="2">
        <v>8829.1669999999904</v>
      </c>
      <c r="M23" s="5">
        <v>3067</v>
      </c>
      <c r="N23">
        <v>1</v>
      </c>
      <c r="O23" t="str">
        <f t="shared" si="0"/>
        <v>One-time</v>
      </c>
      <c r="Q23">
        <v>3067</v>
      </c>
      <c r="R23">
        <v>1</v>
      </c>
      <c r="S23" t="s">
        <v>64</v>
      </c>
    </row>
    <row r="24" spans="1:26" x14ac:dyDescent="0.25">
      <c r="A24" s="6">
        <v>0.1</v>
      </c>
      <c r="B24" s="2">
        <v>233.50509009008962</v>
      </c>
      <c r="C24" s="3">
        <v>5.4477029547866387E-2</v>
      </c>
      <c r="E24" s="5" t="s">
        <v>65</v>
      </c>
      <c r="F24">
        <v>176</v>
      </c>
      <c r="H24" s="5" t="s">
        <v>45</v>
      </c>
      <c r="I24" s="2">
        <v>3954.8374999999892</v>
      </c>
      <c r="J24" s="2">
        <v>3968.6864999999966</v>
      </c>
      <c r="K24" s="2">
        <v>7923.5239999999858</v>
      </c>
      <c r="M24" s="5">
        <v>3068</v>
      </c>
      <c r="N24">
        <v>3</v>
      </c>
      <c r="O24" t="str">
        <f t="shared" si="0"/>
        <v>Repeat</v>
      </c>
      <c r="Q24">
        <v>3068</v>
      </c>
      <c r="R24">
        <v>3</v>
      </c>
      <c r="S24" t="s">
        <v>65</v>
      </c>
      <c r="Z24" t="s">
        <v>79</v>
      </c>
    </row>
    <row r="25" spans="1:26" x14ac:dyDescent="0.25">
      <c r="A25" s="6">
        <v>0.15</v>
      </c>
      <c r="B25" s="2">
        <v>64.912977272727275</v>
      </c>
      <c r="C25" s="3">
        <v>-0.4340740653732299</v>
      </c>
      <c r="E25" s="5" t="s">
        <v>38</v>
      </c>
      <c r="F25">
        <v>500</v>
      </c>
      <c r="H25" s="5" t="s">
        <v>46</v>
      </c>
      <c r="I25" s="2">
        <v>7792.0664999999872</v>
      </c>
      <c r="J25" s="2">
        <v>5043.3964999999998</v>
      </c>
      <c r="K25" s="2">
        <v>12835.462999999987</v>
      </c>
      <c r="M25" s="5">
        <v>3069</v>
      </c>
      <c r="N25">
        <v>1</v>
      </c>
      <c r="O25" t="str">
        <f t="shared" si="0"/>
        <v>One-time</v>
      </c>
      <c r="Q25">
        <v>3069</v>
      </c>
      <c r="R25">
        <v>1</v>
      </c>
      <c r="S25" t="s">
        <v>64</v>
      </c>
    </row>
    <row r="26" spans="1:26" x14ac:dyDescent="0.25">
      <c r="A26" s="6">
        <v>0.2</v>
      </c>
      <c r="B26" s="2">
        <v>162.21602222222191</v>
      </c>
      <c r="C26" s="3">
        <v>-0.16544017134611066</v>
      </c>
      <c r="D26" s="6"/>
      <c r="H26" s="5" t="s">
        <v>47</v>
      </c>
      <c r="I26" s="2">
        <v>3519.6070000000004</v>
      </c>
      <c r="J26" s="2"/>
      <c r="K26" s="2">
        <v>3519.6070000000004</v>
      </c>
      <c r="M26" s="5">
        <v>3072</v>
      </c>
      <c r="N26">
        <v>1</v>
      </c>
      <c r="O26" t="str">
        <f t="shared" si="0"/>
        <v>One-time</v>
      </c>
      <c r="Q26">
        <v>3072</v>
      </c>
      <c r="R26">
        <v>1</v>
      </c>
      <c r="S26" t="s">
        <v>64</v>
      </c>
    </row>
    <row r="27" spans="1:26" x14ac:dyDescent="0.25">
      <c r="A27" s="6" t="s">
        <v>38</v>
      </c>
      <c r="B27" s="2">
        <v>198.12754699999954</v>
      </c>
      <c r="C27" s="3">
        <v>-0.15104435464079286</v>
      </c>
      <c r="D27" s="6"/>
      <c r="E27" s="24" t="s">
        <v>93</v>
      </c>
      <c r="F27" s="24"/>
      <c r="H27" s="5" t="s">
        <v>48</v>
      </c>
      <c r="I27" s="2">
        <v>9437.5099999999948</v>
      </c>
      <c r="J27" s="2"/>
      <c r="K27" s="2">
        <v>9437.5099999999948</v>
      </c>
      <c r="M27" s="5">
        <v>3073</v>
      </c>
      <c r="N27">
        <v>1</v>
      </c>
      <c r="O27" t="str">
        <f t="shared" si="0"/>
        <v>One-time</v>
      </c>
      <c r="Q27">
        <v>3073</v>
      </c>
      <c r="R27">
        <v>1</v>
      </c>
      <c r="S27" t="s">
        <v>64</v>
      </c>
    </row>
    <row r="28" spans="1:26" x14ac:dyDescent="0.25">
      <c r="D28" s="6"/>
      <c r="E28" s="4" t="s">
        <v>37</v>
      </c>
      <c r="F28" t="s">
        <v>41</v>
      </c>
      <c r="H28" s="5" t="s">
        <v>49</v>
      </c>
      <c r="I28" s="2">
        <v>7626.4734999999746</v>
      </c>
      <c r="J28" s="2"/>
      <c r="K28" s="2">
        <v>7626.4734999999746</v>
      </c>
      <c r="M28" s="5">
        <v>3075</v>
      </c>
      <c r="N28">
        <v>1</v>
      </c>
      <c r="O28" t="str">
        <f t="shared" si="0"/>
        <v>One-time</v>
      </c>
      <c r="Q28">
        <v>3075</v>
      </c>
      <c r="R28">
        <v>1</v>
      </c>
      <c r="S28" t="s">
        <v>64</v>
      </c>
    </row>
    <row r="29" spans="1:26" x14ac:dyDescent="0.25">
      <c r="A29" s="24" t="s">
        <v>70</v>
      </c>
      <c r="B29" s="24"/>
      <c r="C29" s="24"/>
      <c r="E29" s="5" t="s">
        <v>18</v>
      </c>
      <c r="F29">
        <v>1194</v>
      </c>
      <c r="H29" s="5" t="s">
        <v>50</v>
      </c>
      <c r="I29" s="2">
        <v>5820.2939999999971</v>
      </c>
      <c r="J29" s="2"/>
      <c r="K29" s="2">
        <v>5820.2939999999971</v>
      </c>
      <c r="M29" s="5">
        <v>3076</v>
      </c>
      <c r="N29">
        <v>1</v>
      </c>
      <c r="O29" t="str">
        <f t="shared" si="0"/>
        <v>One-time</v>
      </c>
      <c r="Q29">
        <v>3076</v>
      </c>
      <c r="R29">
        <v>1</v>
      </c>
      <c r="S29" t="s">
        <v>64</v>
      </c>
    </row>
    <row r="30" spans="1:26" x14ac:dyDescent="0.25">
      <c r="A30" s="4" t="s">
        <v>37</v>
      </c>
      <c r="B30" t="s">
        <v>87</v>
      </c>
      <c r="C30" t="s">
        <v>88</v>
      </c>
      <c r="E30" s="5" t="s">
        <v>24</v>
      </c>
      <c r="F30">
        <v>1273</v>
      </c>
      <c r="H30" s="5" t="s">
        <v>51</v>
      </c>
      <c r="I30" s="2">
        <v>10800.577999999985</v>
      </c>
      <c r="J30" s="2"/>
      <c r="K30" s="2">
        <v>10800.577999999985</v>
      </c>
      <c r="M30" s="5">
        <v>3077</v>
      </c>
      <c r="N30">
        <v>1</v>
      </c>
      <c r="O30" t="str">
        <f t="shared" si="0"/>
        <v>One-time</v>
      </c>
      <c r="Q30">
        <v>3077</v>
      </c>
      <c r="R30">
        <v>1</v>
      </c>
      <c r="S30" t="s">
        <v>64</v>
      </c>
    </row>
    <row r="31" spans="1:26" x14ac:dyDescent="0.25">
      <c r="A31" s="5" t="s">
        <v>25</v>
      </c>
      <c r="B31" s="2">
        <v>68580.096499999956</v>
      </c>
      <c r="C31" s="2">
        <v>21607.256499999967</v>
      </c>
      <c r="E31" s="5" t="s">
        <v>38</v>
      </c>
      <c r="F31">
        <v>2467</v>
      </c>
      <c r="H31" s="5" t="s">
        <v>52</v>
      </c>
      <c r="I31" s="2">
        <v>2878.1564999999987</v>
      </c>
      <c r="J31" s="2"/>
      <c r="K31" s="2">
        <v>2878.1564999999987</v>
      </c>
      <c r="M31" s="5">
        <v>3078</v>
      </c>
      <c r="N31">
        <v>1</v>
      </c>
      <c r="O31" t="str">
        <f t="shared" si="0"/>
        <v>One-time</v>
      </c>
      <c r="Q31">
        <v>3078</v>
      </c>
      <c r="R31">
        <v>1</v>
      </c>
      <c r="S31" t="s">
        <v>64</v>
      </c>
    </row>
    <row r="32" spans="1:26" x14ac:dyDescent="0.25">
      <c r="A32" s="5" t="s">
        <v>26</v>
      </c>
      <c r="B32" s="2">
        <v>136291.06999999986</v>
      </c>
      <c r="C32" s="2">
        <v>46515.019999999931</v>
      </c>
      <c r="H32" s="5" t="s">
        <v>53</v>
      </c>
      <c r="I32" s="2">
        <v>2045.1114999999957</v>
      </c>
      <c r="J32" s="2"/>
      <c r="K32" s="2">
        <v>2045.1114999999957</v>
      </c>
      <c r="M32" s="5">
        <v>3083</v>
      </c>
      <c r="N32">
        <v>1</v>
      </c>
      <c r="O32" t="str">
        <f t="shared" si="0"/>
        <v>One-time</v>
      </c>
      <c r="Q32">
        <v>3083</v>
      </c>
      <c r="R32">
        <v>1</v>
      </c>
      <c r="S32" t="s">
        <v>64</v>
      </c>
    </row>
    <row r="33" spans="1:19" x14ac:dyDescent="0.25">
      <c r="A33" s="5" t="s">
        <v>33</v>
      </c>
      <c r="B33" s="2">
        <v>46515.5075</v>
      </c>
      <c r="C33" s="2">
        <v>15625.957499999982</v>
      </c>
      <c r="E33" s="24" t="s">
        <v>94</v>
      </c>
      <c r="F33" s="24"/>
      <c r="H33" s="5" t="s">
        <v>38</v>
      </c>
      <c r="I33" s="2">
        <v>68160.532499999914</v>
      </c>
      <c r="J33" s="2">
        <v>30903.240999999962</v>
      </c>
      <c r="K33" s="2">
        <v>99063.773499999865</v>
      </c>
      <c r="M33" s="5">
        <v>3084</v>
      </c>
      <c r="N33">
        <v>1</v>
      </c>
      <c r="O33" t="str">
        <f t="shared" si="0"/>
        <v>One-time</v>
      </c>
      <c r="Q33">
        <v>3084</v>
      </c>
      <c r="R33">
        <v>1</v>
      </c>
      <c r="S33" t="s">
        <v>64</v>
      </c>
    </row>
    <row r="34" spans="1:19" x14ac:dyDescent="0.25">
      <c r="A34" s="5" t="s">
        <v>19</v>
      </c>
      <c r="B34" s="2">
        <v>42961.70949999999</v>
      </c>
      <c r="C34" s="2">
        <v>15315.539499999999</v>
      </c>
      <c r="E34" s="4" t="s">
        <v>37</v>
      </c>
      <c r="F34" t="s">
        <v>92</v>
      </c>
      <c r="M34" s="5">
        <v>3085</v>
      </c>
      <c r="N34">
        <v>2</v>
      </c>
      <c r="O34" t="str">
        <f t="shared" si="0"/>
        <v>Repeat</v>
      </c>
      <c r="Q34">
        <v>3085</v>
      </c>
      <c r="R34">
        <v>2</v>
      </c>
      <c r="S34" t="s">
        <v>65</v>
      </c>
    </row>
    <row r="35" spans="1:19" x14ac:dyDescent="0.25">
      <c r="A35" s="5" t="s">
        <v>38</v>
      </c>
      <c r="B35" s="2">
        <v>294348.38349999982</v>
      </c>
      <c r="C35" s="2">
        <v>99063.773499999879</v>
      </c>
      <c r="E35" s="5" t="s">
        <v>81</v>
      </c>
      <c r="F35" s="16">
        <v>1668</v>
      </c>
      <c r="H35" s="24" t="s">
        <v>95</v>
      </c>
      <c r="I35" s="24"/>
      <c r="J35" s="24"/>
      <c r="M35" s="5">
        <v>3088</v>
      </c>
      <c r="N35">
        <v>1</v>
      </c>
      <c r="O35" t="str">
        <f t="shared" si="0"/>
        <v>One-time</v>
      </c>
      <c r="Q35">
        <v>3088</v>
      </c>
      <c r="R35">
        <v>1</v>
      </c>
      <c r="S35" t="s">
        <v>64</v>
      </c>
    </row>
    <row r="36" spans="1:19" x14ac:dyDescent="0.25">
      <c r="E36" s="5" t="s">
        <v>82</v>
      </c>
      <c r="F36" s="16">
        <v>799</v>
      </c>
      <c r="H36" s="4" t="s">
        <v>37</v>
      </c>
      <c r="I36" t="s">
        <v>85</v>
      </c>
      <c r="J36" t="s">
        <v>86</v>
      </c>
      <c r="M36" s="5">
        <v>3091</v>
      </c>
      <c r="N36">
        <v>1</v>
      </c>
      <c r="O36" t="str">
        <f t="shared" si="0"/>
        <v>One-time</v>
      </c>
      <c r="Q36">
        <v>3091</v>
      </c>
      <c r="R36">
        <v>1</v>
      </c>
      <c r="S36" t="s">
        <v>64</v>
      </c>
    </row>
    <row r="37" spans="1:19" x14ac:dyDescent="0.25">
      <c r="E37" s="5" t="s">
        <v>38</v>
      </c>
      <c r="F37" s="16">
        <v>2467</v>
      </c>
      <c r="H37" s="5" t="s">
        <v>32</v>
      </c>
      <c r="I37" s="16">
        <v>213</v>
      </c>
      <c r="J37" s="16">
        <v>116</v>
      </c>
      <c r="M37" s="5">
        <v>3092</v>
      </c>
      <c r="N37">
        <v>2</v>
      </c>
      <c r="O37" t="str">
        <f t="shared" si="0"/>
        <v>Repeat</v>
      </c>
      <c r="Q37">
        <v>3092</v>
      </c>
      <c r="R37">
        <v>2</v>
      </c>
      <c r="S37" t="s">
        <v>65</v>
      </c>
    </row>
    <row r="38" spans="1:19" x14ac:dyDescent="0.25">
      <c r="A38" t="str">
        <f>A21</f>
        <v>Discount_Pct</v>
      </c>
      <c r="B38" t="str">
        <f>B21</f>
        <v>Average Profit</v>
      </c>
      <c r="C38" t="str">
        <f>C21</f>
        <v>Average Profit_Margin_Pct</v>
      </c>
      <c r="H38" s="5" t="s">
        <v>27</v>
      </c>
      <c r="I38" s="16">
        <v>242</v>
      </c>
      <c r="J38" s="16">
        <v>107</v>
      </c>
      <c r="M38" s="5">
        <v>3095</v>
      </c>
      <c r="N38">
        <v>1</v>
      </c>
      <c r="O38" t="str">
        <f t="shared" si="0"/>
        <v>One-time</v>
      </c>
      <c r="Q38">
        <v>3095</v>
      </c>
      <c r="R38">
        <v>1</v>
      </c>
      <c r="S38" t="s">
        <v>64</v>
      </c>
    </row>
    <row r="39" spans="1:19" x14ac:dyDescent="0.25">
      <c r="A39" s="6">
        <v>0</v>
      </c>
      <c r="B39" s="2">
        <v>310.98144230769208</v>
      </c>
      <c r="C39" s="3">
        <v>-0.11375916236738684</v>
      </c>
      <c r="H39" s="5" t="s">
        <v>20</v>
      </c>
      <c r="I39" s="16">
        <v>254</v>
      </c>
      <c r="J39" s="16">
        <v>129</v>
      </c>
      <c r="M39" s="5">
        <v>3100</v>
      </c>
      <c r="N39">
        <v>1</v>
      </c>
      <c r="O39" t="str">
        <f t="shared" si="0"/>
        <v>One-time</v>
      </c>
      <c r="Q39">
        <v>3100</v>
      </c>
      <c r="R39">
        <v>1</v>
      </c>
      <c r="S39" t="s">
        <v>64</v>
      </c>
    </row>
    <row r="40" spans="1:19" x14ac:dyDescent="0.25">
      <c r="A40" s="6">
        <v>0.05</v>
      </c>
      <c r="B40" s="2">
        <v>224.2678705882349</v>
      </c>
      <c r="C40" s="3">
        <v>-8.3534260021130416E-2</v>
      </c>
      <c r="H40" s="5" t="s">
        <v>31</v>
      </c>
      <c r="I40" s="16">
        <v>269</v>
      </c>
      <c r="J40" s="16">
        <v>111</v>
      </c>
      <c r="M40" s="5">
        <v>3102</v>
      </c>
      <c r="N40">
        <v>1</v>
      </c>
      <c r="O40" t="str">
        <f t="shared" si="0"/>
        <v>One-time</v>
      </c>
      <c r="Q40">
        <v>3102</v>
      </c>
      <c r="R40">
        <v>1</v>
      </c>
      <c r="S40" t="s">
        <v>64</v>
      </c>
    </row>
    <row r="41" spans="1:19" x14ac:dyDescent="0.25">
      <c r="A41" s="6">
        <v>0.1</v>
      </c>
      <c r="B41" s="2">
        <v>233.50509009008962</v>
      </c>
      <c r="C41" s="3">
        <v>5.4477029547866387E-2</v>
      </c>
      <c r="H41" s="5" t="s">
        <v>28</v>
      </c>
      <c r="I41" s="16">
        <v>265</v>
      </c>
      <c r="J41" s="16">
        <v>145</v>
      </c>
      <c r="M41" s="5">
        <v>3103</v>
      </c>
      <c r="N41">
        <v>1</v>
      </c>
      <c r="O41" t="str">
        <f t="shared" si="0"/>
        <v>One-time</v>
      </c>
      <c r="Q41">
        <v>3103</v>
      </c>
      <c r="R41">
        <v>1</v>
      </c>
      <c r="S41" t="s">
        <v>64</v>
      </c>
    </row>
    <row r="42" spans="1:19" x14ac:dyDescent="0.25">
      <c r="A42" s="6">
        <v>0.15</v>
      </c>
      <c r="B42" s="2">
        <v>64.912977272727275</v>
      </c>
      <c r="C42" s="3">
        <v>-0.4340740653732299</v>
      </c>
      <c r="H42" s="5" t="s">
        <v>30</v>
      </c>
      <c r="I42" s="16">
        <v>250</v>
      </c>
      <c r="J42" s="16">
        <v>91</v>
      </c>
      <c r="M42" s="5">
        <v>3104</v>
      </c>
      <c r="N42">
        <v>1</v>
      </c>
      <c r="O42" t="str">
        <f t="shared" si="0"/>
        <v>One-time</v>
      </c>
      <c r="Q42">
        <v>3104</v>
      </c>
      <c r="R42">
        <v>1</v>
      </c>
      <c r="S42" t="s">
        <v>64</v>
      </c>
    </row>
    <row r="43" spans="1:19" x14ac:dyDescent="0.25">
      <c r="A43" s="6">
        <v>0.2</v>
      </c>
      <c r="B43" s="2">
        <v>162.21602222222191</v>
      </c>
      <c r="C43" s="3">
        <v>-0.16544017134611066</v>
      </c>
      <c r="H43" s="5" t="s">
        <v>22</v>
      </c>
      <c r="I43" s="16">
        <v>175</v>
      </c>
      <c r="J43" s="16">
        <v>100</v>
      </c>
      <c r="M43" s="5">
        <v>3105</v>
      </c>
      <c r="N43">
        <v>1</v>
      </c>
      <c r="O43" t="str">
        <f t="shared" si="0"/>
        <v>One-time</v>
      </c>
      <c r="Q43">
        <v>3105</v>
      </c>
      <c r="R43">
        <v>1</v>
      </c>
      <c r="S43" t="s">
        <v>64</v>
      </c>
    </row>
    <row r="44" spans="1:19" x14ac:dyDescent="0.25">
      <c r="H44" s="5" t="s">
        <v>38</v>
      </c>
      <c r="I44" s="16">
        <v>1668</v>
      </c>
      <c r="J44" s="16">
        <v>799</v>
      </c>
      <c r="M44" s="5">
        <v>3106</v>
      </c>
      <c r="N44">
        <v>1</v>
      </c>
      <c r="O44" t="str">
        <f t="shared" si="0"/>
        <v>One-time</v>
      </c>
      <c r="Q44">
        <v>3106</v>
      </c>
      <c r="R44">
        <v>1</v>
      </c>
      <c r="S44" t="s">
        <v>64</v>
      </c>
    </row>
    <row r="45" spans="1:19" x14ac:dyDescent="0.25">
      <c r="M45" s="5">
        <v>3107</v>
      </c>
      <c r="N45">
        <v>1</v>
      </c>
      <c r="O45" t="str">
        <f t="shared" si="0"/>
        <v>One-time</v>
      </c>
      <c r="Q45">
        <v>3107</v>
      </c>
      <c r="R45">
        <v>1</v>
      </c>
      <c r="S45" t="s">
        <v>64</v>
      </c>
    </row>
    <row r="46" spans="1:19" x14ac:dyDescent="0.25">
      <c r="M46" s="5">
        <v>3111</v>
      </c>
      <c r="N46">
        <v>1</v>
      </c>
      <c r="O46" t="str">
        <f t="shared" si="0"/>
        <v>One-time</v>
      </c>
      <c r="Q46">
        <v>3111</v>
      </c>
      <c r="R46">
        <v>1</v>
      </c>
      <c r="S46" t="s">
        <v>64</v>
      </c>
    </row>
    <row r="47" spans="1:19" x14ac:dyDescent="0.25">
      <c r="M47" s="5">
        <v>3112</v>
      </c>
      <c r="N47">
        <v>1</v>
      </c>
      <c r="O47" t="str">
        <f t="shared" si="0"/>
        <v>One-time</v>
      </c>
      <c r="Q47">
        <v>3112</v>
      </c>
      <c r="R47">
        <v>1</v>
      </c>
      <c r="S47" t="s">
        <v>64</v>
      </c>
    </row>
    <row r="48" spans="1:19" x14ac:dyDescent="0.25">
      <c r="M48" s="5">
        <v>3121</v>
      </c>
      <c r="N48">
        <v>1</v>
      </c>
      <c r="O48" t="str">
        <f t="shared" si="0"/>
        <v>One-time</v>
      </c>
      <c r="Q48">
        <v>3121</v>
      </c>
      <c r="R48">
        <v>1</v>
      </c>
      <c r="S48" t="s">
        <v>64</v>
      </c>
    </row>
    <row r="49" spans="1:19" x14ac:dyDescent="0.25">
      <c r="M49" s="5">
        <v>3123</v>
      </c>
      <c r="N49">
        <v>1</v>
      </c>
      <c r="O49" t="str">
        <f t="shared" si="0"/>
        <v>One-time</v>
      </c>
      <c r="Q49">
        <v>3123</v>
      </c>
      <c r="R49">
        <v>1</v>
      </c>
      <c r="S49" t="s">
        <v>64</v>
      </c>
    </row>
    <row r="50" spans="1:19" x14ac:dyDescent="0.25">
      <c r="M50" s="5">
        <v>3124</v>
      </c>
      <c r="N50">
        <v>1</v>
      </c>
      <c r="O50" t="str">
        <f t="shared" si="0"/>
        <v>One-time</v>
      </c>
      <c r="Q50">
        <v>3124</v>
      </c>
      <c r="R50">
        <v>1</v>
      </c>
      <c r="S50" t="s">
        <v>64</v>
      </c>
    </row>
    <row r="51" spans="1:19" x14ac:dyDescent="0.25">
      <c r="M51" s="5">
        <v>3126</v>
      </c>
      <c r="N51">
        <v>1</v>
      </c>
      <c r="O51" t="str">
        <f t="shared" si="0"/>
        <v>One-time</v>
      </c>
      <c r="Q51">
        <v>3126</v>
      </c>
      <c r="R51">
        <v>1</v>
      </c>
      <c r="S51" t="s">
        <v>64</v>
      </c>
    </row>
    <row r="52" spans="1:19" x14ac:dyDescent="0.25">
      <c r="A52" s="15"/>
      <c r="B52" s="15"/>
      <c r="C52" s="15"/>
      <c r="M52" s="5">
        <v>3129</v>
      </c>
      <c r="N52">
        <v>1</v>
      </c>
      <c r="O52" t="str">
        <f t="shared" si="0"/>
        <v>One-time</v>
      </c>
      <c r="Q52">
        <v>3129</v>
      </c>
      <c r="R52">
        <v>1</v>
      </c>
      <c r="S52" t="s">
        <v>64</v>
      </c>
    </row>
    <row r="53" spans="1:19" x14ac:dyDescent="0.25">
      <c r="M53" s="5">
        <v>3130</v>
      </c>
      <c r="N53">
        <v>1</v>
      </c>
      <c r="O53" t="str">
        <f t="shared" si="0"/>
        <v>One-time</v>
      </c>
      <c r="Q53">
        <v>3130</v>
      </c>
      <c r="R53">
        <v>1</v>
      </c>
      <c r="S53" t="s">
        <v>64</v>
      </c>
    </row>
    <row r="54" spans="1:19" x14ac:dyDescent="0.25">
      <c r="M54" s="5">
        <v>3131</v>
      </c>
      <c r="N54">
        <v>1</v>
      </c>
      <c r="O54" t="str">
        <f t="shared" si="0"/>
        <v>One-time</v>
      </c>
      <c r="Q54">
        <v>3131</v>
      </c>
      <c r="R54">
        <v>1</v>
      </c>
      <c r="S54" t="s">
        <v>64</v>
      </c>
    </row>
    <row r="55" spans="1:19" x14ac:dyDescent="0.25">
      <c r="M55" s="5">
        <v>3136</v>
      </c>
      <c r="N55">
        <v>1</v>
      </c>
      <c r="O55" t="str">
        <f t="shared" si="0"/>
        <v>One-time</v>
      </c>
      <c r="Q55">
        <v>3136</v>
      </c>
      <c r="R55">
        <v>1</v>
      </c>
      <c r="S55" t="s">
        <v>64</v>
      </c>
    </row>
    <row r="56" spans="1:19" x14ac:dyDescent="0.25">
      <c r="M56" s="5">
        <v>3137</v>
      </c>
      <c r="N56">
        <v>1</v>
      </c>
      <c r="O56" t="str">
        <f t="shared" si="0"/>
        <v>One-time</v>
      </c>
      <c r="Q56">
        <v>3137</v>
      </c>
      <c r="R56">
        <v>1</v>
      </c>
      <c r="S56" t="s">
        <v>64</v>
      </c>
    </row>
    <row r="57" spans="1:19" x14ac:dyDescent="0.25">
      <c r="M57" s="5">
        <v>3139</v>
      </c>
      <c r="N57">
        <v>1</v>
      </c>
      <c r="O57" t="str">
        <f t="shared" si="0"/>
        <v>One-time</v>
      </c>
      <c r="Q57">
        <v>3139</v>
      </c>
      <c r="R57">
        <v>1</v>
      </c>
      <c r="S57" t="s">
        <v>64</v>
      </c>
    </row>
    <row r="58" spans="1:19" x14ac:dyDescent="0.25">
      <c r="M58" s="5">
        <v>3143</v>
      </c>
      <c r="N58">
        <v>1</v>
      </c>
      <c r="O58" t="str">
        <f t="shared" si="0"/>
        <v>One-time</v>
      </c>
      <c r="Q58">
        <v>3143</v>
      </c>
      <c r="R58">
        <v>1</v>
      </c>
      <c r="S58" t="s">
        <v>64</v>
      </c>
    </row>
    <row r="59" spans="1:19" x14ac:dyDescent="0.25">
      <c r="M59" s="5">
        <v>3144</v>
      </c>
      <c r="N59">
        <v>1</v>
      </c>
      <c r="O59" t="str">
        <f t="shared" si="0"/>
        <v>One-time</v>
      </c>
      <c r="Q59">
        <v>3144</v>
      </c>
      <c r="R59">
        <v>1</v>
      </c>
      <c r="S59" t="s">
        <v>64</v>
      </c>
    </row>
    <row r="60" spans="1:19" x14ac:dyDescent="0.25">
      <c r="M60" s="5">
        <v>3151</v>
      </c>
      <c r="N60">
        <v>1</v>
      </c>
      <c r="O60" t="str">
        <f t="shared" si="0"/>
        <v>One-time</v>
      </c>
      <c r="Q60">
        <v>3151</v>
      </c>
      <c r="R60">
        <v>1</v>
      </c>
      <c r="S60" t="s">
        <v>64</v>
      </c>
    </row>
    <row r="61" spans="1:19" x14ac:dyDescent="0.25">
      <c r="M61" s="5">
        <v>3152</v>
      </c>
      <c r="N61">
        <v>2</v>
      </c>
      <c r="O61" t="str">
        <f t="shared" si="0"/>
        <v>Repeat</v>
      </c>
      <c r="Q61">
        <v>3152</v>
      </c>
      <c r="R61">
        <v>2</v>
      </c>
      <c r="S61" t="s">
        <v>65</v>
      </c>
    </row>
    <row r="62" spans="1:19" x14ac:dyDescent="0.25">
      <c r="M62" s="5">
        <v>3156</v>
      </c>
      <c r="N62">
        <v>1</v>
      </c>
      <c r="O62" t="str">
        <f t="shared" si="0"/>
        <v>One-time</v>
      </c>
      <c r="Q62">
        <v>3156</v>
      </c>
      <c r="R62">
        <v>1</v>
      </c>
      <c r="S62" t="s">
        <v>64</v>
      </c>
    </row>
    <row r="63" spans="1:19" x14ac:dyDescent="0.25">
      <c r="M63" s="5">
        <v>3157</v>
      </c>
      <c r="N63">
        <v>1</v>
      </c>
      <c r="O63" t="str">
        <f t="shared" si="0"/>
        <v>One-time</v>
      </c>
      <c r="Q63">
        <v>3157</v>
      </c>
      <c r="R63">
        <v>1</v>
      </c>
      <c r="S63" t="s">
        <v>64</v>
      </c>
    </row>
    <row r="64" spans="1:19" x14ac:dyDescent="0.25">
      <c r="M64" s="5">
        <v>3160</v>
      </c>
      <c r="N64">
        <v>1</v>
      </c>
      <c r="O64" t="str">
        <f t="shared" si="0"/>
        <v>One-time</v>
      </c>
      <c r="Q64">
        <v>3160</v>
      </c>
      <c r="R64">
        <v>1</v>
      </c>
      <c r="S64" t="s">
        <v>64</v>
      </c>
    </row>
    <row r="65" spans="13:19" x14ac:dyDescent="0.25">
      <c r="M65" s="5">
        <v>3161</v>
      </c>
      <c r="N65">
        <v>2</v>
      </c>
      <c r="O65" t="str">
        <f t="shared" si="0"/>
        <v>Repeat</v>
      </c>
      <c r="Q65">
        <v>3161</v>
      </c>
      <c r="R65">
        <v>2</v>
      </c>
      <c r="S65" t="s">
        <v>65</v>
      </c>
    </row>
    <row r="66" spans="13:19" x14ac:dyDescent="0.25">
      <c r="M66" s="5">
        <v>3167</v>
      </c>
      <c r="N66">
        <v>1</v>
      </c>
      <c r="O66" t="str">
        <f t="shared" si="0"/>
        <v>One-time</v>
      </c>
      <c r="Q66">
        <v>3167</v>
      </c>
      <c r="R66">
        <v>1</v>
      </c>
      <c r="S66" t="s">
        <v>64</v>
      </c>
    </row>
    <row r="67" spans="13:19" x14ac:dyDescent="0.25">
      <c r="M67" s="5">
        <v>3169</v>
      </c>
      <c r="N67">
        <v>1</v>
      </c>
      <c r="O67" t="str">
        <f t="shared" si="0"/>
        <v>One-time</v>
      </c>
      <c r="Q67">
        <v>3169</v>
      </c>
      <c r="R67">
        <v>1</v>
      </c>
      <c r="S67" t="s">
        <v>64</v>
      </c>
    </row>
    <row r="68" spans="13:19" x14ac:dyDescent="0.25">
      <c r="M68" s="5">
        <v>3175</v>
      </c>
      <c r="N68">
        <v>1</v>
      </c>
      <c r="O68" t="str">
        <f t="shared" ref="O68:O131" si="1">IF(GETPIVOTDATA("Order_ID",$M$2, "Customer_ID",M68)=1, "One-time", IF(GETPIVOTDATA("Order_ID",$M$2, "Customer_ID",M68)&lt;=3, "Repeat", "Loyal"))</f>
        <v>One-time</v>
      </c>
      <c r="Q68">
        <v>3175</v>
      </c>
      <c r="R68">
        <v>1</v>
      </c>
      <c r="S68" t="s">
        <v>64</v>
      </c>
    </row>
    <row r="69" spans="13:19" x14ac:dyDescent="0.25">
      <c r="M69" s="5">
        <v>3176</v>
      </c>
      <c r="N69">
        <v>1</v>
      </c>
      <c r="O69" t="str">
        <f t="shared" si="1"/>
        <v>One-time</v>
      </c>
      <c r="Q69">
        <v>3176</v>
      </c>
      <c r="R69">
        <v>1</v>
      </c>
      <c r="S69" t="s">
        <v>64</v>
      </c>
    </row>
    <row r="70" spans="13:19" x14ac:dyDescent="0.25">
      <c r="M70" s="5">
        <v>3178</v>
      </c>
      <c r="N70">
        <v>1</v>
      </c>
      <c r="O70" t="str">
        <f t="shared" si="1"/>
        <v>One-time</v>
      </c>
      <c r="Q70">
        <v>3178</v>
      </c>
      <c r="R70">
        <v>1</v>
      </c>
      <c r="S70" t="s">
        <v>64</v>
      </c>
    </row>
    <row r="71" spans="13:19" x14ac:dyDescent="0.25">
      <c r="M71" s="5">
        <v>3180</v>
      </c>
      <c r="N71">
        <v>1</v>
      </c>
      <c r="O71" t="str">
        <f t="shared" si="1"/>
        <v>One-time</v>
      </c>
      <c r="Q71">
        <v>3180</v>
      </c>
      <c r="R71">
        <v>1</v>
      </c>
      <c r="S71" t="s">
        <v>64</v>
      </c>
    </row>
    <row r="72" spans="13:19" x14ac:dyDescent="0.25">
      <c r="M72" s="5">
        <v>3181</v>
      </c>
      <c r="N72">
        <v>1</v>
      </c>
      <c r="O72" t="str">
        <f t="shared" si="1"/>
        <v>One-time</v>
      </c>
      <c r="Q72">
        <v>3181</v>
      </c>
      <c r="R72">
        <v>1</v>
      </c>
      <c r="S72" t="s">
        <v>64</v>
      </c>
    </row>
    <row r="73" spans="13:19" x14ac:dyDescent="0.25">
      <c r="M73" s="5">
        <v>3182</v>
      </c>
      <c r="N73">
        <v>1</v>
      </c>
      <c r="O73" t="str">
        <f t="shared" si="1"/>
        <v>One-time</v>
      </c>
      <c r="Q73">
        <v>3182</v>
      </c>
      <c r="R73">
        <v>1</v>
      </c>
      <c r="S73" t="s">
        <v>64</v>
      </c>
    </row>
    <row r="74" spans="13:19" x14ac:dyDescent="0.25">
      <c r="M74" s="5">
        <v>3183</v>
      </c>
      <c r="N74">
        <v>3</v>
      </c>
      <c r="O74" t="str">
        <f t="shared" si="1"/>
        <v>Repeat</v>
      </c>
      <c r="Q74">
        <v>3183</v>
      </c>
      <c r="R74">
        <v>3</v>
      </c>
      <c r="S74" t="s">
        <v>65</v>
      </c>
    </row>
    <row r="75" spans="13:19" x14ac:dyDescent="0.25">
      <c r="M75" s="5">
        <v>3184</v>
      </c>
      <c r="N75">
        <v>2</v>
      </c>
      <c r="O75" t="str">
        <f t="shared" si="1"/>
        <v>Repeat</v>
      </c>
      <c r="Q75">
        <v>3184</v>
      </c>
      <c r="R75">
        <v>2</v>
      </c>
      <c r="S75" t="s">
        <v>65</v>
      </c>
    </row>
    <row r="76" spans="13:19" x14ac:dyDescent="0.25">
      <c r="M76" s="5">
        <v>3185</v>
      </c>
      <c r="N76">
        <v>1</v>
      </c>
      <c r="O76" t="str">
        <f t="shared" si="1"/>
        <v>One-time</v>
      </c>
      <c r="Q76">
        <v>3185</v>
      </c>
      <c r="R76">
        <v>1</v>
      </c>
      <c r="S76" t="s">
        <v>64</v>
      </c>
    </row>
    <row r="77" spans="13:19" x14ac:dyDescent="0.25">
      <c r="M77" s="5">
        <v>3189</v>
      </c>
      <c r="N77">
        <v>1</v>
      </c>
      <c r="O77" t="str">
        <f t="shared" si="1"/>
        <v>One-time</v>
      </c>
      <c r="Q77">
        <v>3189</v>
      </c>
      <c r="R77">
        <v>1</v>
      </c>
      <c r="S77" t="s">
        <v>64</v>
      </c>
    </row>
    <row r="78" spans="13:19" x14ac:dyDescent="0.25">
      <c r="M78" s="5">
        <v>3190</v>
      </c>
      <c r="N78">
        <v>2</v>
      </c>
      <c r="O78" t="str">
        <f t="shared" si="1"/>
        <v>Repeat</v>
      </c>
      <c r="Q78">
        <v>3190</v>
      </c>
      <c r="R78">
        <v>2</v>
      </c>
      <c r="S78" t="s">
        <v>65</v>
      </c>
    </row>
    <row r="79" spans="13:19" x14ac:dyDescent="0.25">
      <c r="M79" s="5">
        <v>3194</v>
      </c>
      <c r="N79">
        <v>1</v>
      </c>
      <c r="O79" t="str">
        <f t="shared" si="1"/>
        <v>One-time</v>
      </c>
      <c r="Q79">
        <v>3194</v>
      </c>
      <c r="R79">
        <v>1</v>
      </c>
      <c r="S79" t="s">
        <v>64</v>
      </c>
    </row>
    <row r="80" spans="13:19" x14ac:dyDescent="0.25">
      <c r="M80" s="5">
        <v>3195</v>
      </c>
      <c r="N80">
        <v>2</v>
      </c>
      <c r="O80" t="str">
        <f t="shared" si="1"/>
        <v>Repeat</v>
      </c>
      <c r="Q80">
        <v>3195</v>
      </c>
      <c r="R80">
        <v>2</v>
      </c>
      <c r="S80" t="s">
        <v>65</v>
      </c>
    </row>
    <row r="81" spans="13:19" x14ac:dyDescent="0.25">
      <c r="M81" s="5">
        <v>3196</v>
      </c>
      <c r="N81">
        <v>1</v>
      </c>
      <c r="O81" t="str">
        <f t="shared" si="1"/>
        <v>One-time</v>
      </c>
      <c r="Q81">
        <v>3196</v>
      </c>
      <c r="R81">
        <v>1</v>
      </c>
      <c r="S81" t="s">
        <v>64</v>
      </c>
    </row>
    <row r="82" spans="13:19" x14ac:dyDescent="0.25">
      <c r="M82" s="5">
        <v>3197</v>
      </c>
      <c r="N82">
        <v>1</v>
      </c>
      <c r="O82" t="str">
        <f t="shared" si="1"/>
        <v>One-time</v>
      </c>
      <c r="Q82">
        <v>3197</v>
      </c>
      <c r="R82">
        <v>1</v>
      </c>
      <c r="S82" t="s">
        <v>64</v>
      </c>
    </row>
    <row r="83" spans="13:19" x14ac:dyDescent="0.25">
      <c r="M83" s="5">
        <v>3198</v>
      </c>
      <c r="N83">
        <v>1</v>
      </c>
      <c r="O83" t="str">
        <f t="shared" si="1"/>
        <v>One-time</v>
      </c>
      <c r="Q83">
        <v>3198</v>
      </c>
      <c r="R83">
        <v>1</v>
      </c>
      <c r="S83" t="s">
        <v>64</v>
      </c>
    </row>
    <row r="84" spans="13:19" x14ac:dyDescent="0.25">
      <c r="M84" s="5">
        <v>3201</v>
      </c>
      <c r="N84">
        <v>1</v>
      </c>
      <c r="O84" t="str">
        <f t="shared" si="1"/>
        <v>One-time</v>
      </c>
      <c r="Q84">
        <v>3201</v>
      </c>
      <c r="R84">
        <v>1</v>
      </c>
      <c r="S84" t="s">
        <v>64</v>
      </c>
    </row>
    <row r="85" spans="13:19" x14ac:dyDescent="0.25">
      <c r="M85" s="5">
        <v>3203</v>
      </c>
      <c r="N85">
        <v>1</v>
      </c>
      <c r="O85" t="str">
        <f t="shared" si="1"/>
        <v>One-time</v>
      </c>
      <c r="Q85">
        <v>3203</v>
      </c>
      <c r="R85">
        <v>1</v>
      </c>
      <c r="S85" t="s">
        <v>64</v>
      </c>
    </row>
    <row r="86" spans="13:19" x14ac:dyDescent="0.25">
      <c r="M86" s="5">
        <v>3206</v>
      </c>
      <c r="N86">
        <v>1</v>
      </c>
      <c r="O86" t="str">
        <f t="shared" si="1"/>
        <v>One-time</v>
      </c>
      <c r="Q86">
        <v>3206</v>
      </c>
      <c r="R86">
        <v>1</v>
      </c>
      <c r="S86" t="s">
        <v>64</v>
      </c>
    </row>
    <row r="87" spans="13:19" x14ac:dyDescent="0.25">
      <c r="M87" s="5">
        <v>3208</v>
      </c>
      <c r="N87">
        <v>1</v>
      </c>
      <c r="O87" t="str">
        <f t="shared" si="1"/>
        <v>One-time</v>
      </c>
      <c r="Q87">
        <v>3208</v>
      </c>
      <c r="R87">
        <v>1</v>
      </c>
      <c r="S87" t="s">
        <v>64</v>
      </c>
    </row>
    <row r="88" spans="13:19" x14ac:dyDescent="0.25">
      <c r="M88" s="5">
        <v>3210</v>
      </c>
      <c r="N88">
        <v>1</v>
      </c>
      <c r="O88" t="str">
        <f t="shared" si="1"/>
        <v>One-time</v>
      </c>
      <c r="Q88">
        <v>3210</v>
      </c>
      <c r="R88">
        <v>1</v>
      </c>
      <c r="S88" t="s">
        <v>64</v>
      </c>
    </row>
    <row r="89" spans="13:19" x14ac:dyDescent="0.25">
      <c r="M89" s="5">
        <v>3211</v>
      </c>
      <c r="N89">
        <v>2</v>
      </c>
      <c r="O89" t="str">
        <f t="shared" si="1"/>
        <v>Repeat</v>
      </c>
      <c r="Q89">
        <v>3211</v>
      </c>
      <c r="R89">
        <v>2</v>
      </c>
      <c r="S89" t="s">
        <v>65</v>
      </c>
    </row>
    <row r="90" spans="13:19" x14ac:dyDescent="0.25">
      <c r="M90" s="5">
        <v>3212</v>
      </c>
      <c r="N90">
        <v>1</v>
      </c>
      <c r="O90" t="str">
        <f t="shared" si="1"/>
        <v>One-time</v>
      </c>
      <c r="Q90">
        <v>3212</v>
      </c>
      <c r="R90">
        <v>1</v>
      </c>
      <c r="S90" t="s">
        <v>64</v>
      </c>
    </row>
    <row r="91" spans="13:19" x14ac:dyDescent="0.25">
      <c r="M91" s="5">
        <v>3215</v>
      </c>
      <c r="N91">
        <v>1</v>
      </c>
      <c r="O91" t="str">
        <f t="shared" si="1"/>
        <v>One-time</v>
      </c>
      <c r="Q91">
        <v>3215</v>
      </c>
      <c r="R91">
        <v>1</v>
      </c>
      <c r="S91" t="s">
        <v>64</v>
      </c>
    </row>
    <row r="92" spans="13:19" x14ac:dyDescent="0.25">
      <c r="M92" s="5">
        <v>3219</v>
      </c>
      <c r="N92">
        <v>1</v>
      </c>
      <c r="O92" t="str">
        <f t="shared" si="1"/>
        <v>One-time</v>
      </c>
      <c r="Q92">
        <v>3219</v>
      </c>
      <c r="R92">
        <v>1</v>
      </c>
      <c r="S92" t="s">
        <v>64</v>
      </c>
    </row>
    <row r="93" spans="13:19" x14ac:dyDescent="0.25">
      <c r="M93" s="5">
        <v>3224</v>
      </c>
      <c r="N93">
        <v>1</v>
      </c>
      <c r="O93" t="str">
        <f t="shared" si="1"/>
        <v>One-time</v>
      </c>
      <c r="Q93">
        <v>3224</v>
      </c>
      <c r="R93">
        <v>1</v>
      </c>
      <c r="S93" t="s">
        <v>64</v>
      </c>
    </row>
    <row r="94" spans="13:19" x14ac:dyDescent="0.25">
      <c r="M94" s="5">
        <v>3225</v>
      </c>
      <c r="N94">
        <v>1</v>
      </c>
      <c r="O94" t="str">
        <f t="shared" si="1"/>
        <v>One-time</v>
      </c>
      <c r="Q94">
        <v>3225</v>
      </c>
      <c r="R94">
        <v>1</v>
      </c>
      <c r="S94" t="s">
        <v>64</v>
      </c>
    </row>
    <row r="95" spans="13:19" x14ac:dyDescent="0.25">
      <c r="M95" s="5">
        <v>3226</v>
      </c>
      <c r="N95">
        <v>1</v>
      </c>
      <c r="O95" t="str">
        <f t="shared" si="1"/>
        <v>One-time</v>
      </c>
      <c r="Q95">
        <v>3226</v>
      </c>
      <c r="R95">
        <v>1</v>
      </c>
      <c r="S95" t="s">
        <v>64</v>
      </c>
    </row>
    <row r="96" spans="13:19" x14ac:dyDescent="0.25">
      <c r="M96" s="5">
        <v>3227</v>
      </c>
      <c r="N96">
        <v>1</v>
      </c>
      <c r="O96" t="str">
        <f t="shared" si="1"/>
        <v>One-time</v>
      </c>
      <c r="Q96">
        <v>3227</v>
      </c>
      <c r="R96">
        <v>1</v>
      </c>
      <c r="S96" t="s">
        <v>64</v>
      </c>
    </row>
    <row r="97" spans="13:19" x14ac:dyDescent="0.25">
      <c r="M97" s="5">
        <v>3230</v>
      </c>
      <c r="N97">
        <v>3</v>
      </c>
      <c r="O97" t="str">
        <f t="shared" si="1"/>
        <v>Repeat</v>
      </c>
      <c r="Q97">
        <v>3230</v>
      </c>
      <c r="R97">
        <v>3</v>
      </c>
      <c r="S97" t="s">
        <v>65</v>
      </c>
    </row>
    <row r="98" spans="13:19" x14ac:dyDescent="0.25">
      <c r="M98" s="5">
        <v>3231</v>
      </c>
      <c r="N98">
        <v>1</v>
      </c>
      <c r="O98" t="str">
        <f t="shared" si="1"/>
        <v>One-time</v>
      </c>
      <c r="Q98">
        <v>3231</v>
      </c>
      <c r="R98">
        <v>1</v>
      </c>
      <c r="S98" t="s">
        <v>64</v>
      </c>
    </row>
    <row r="99" spans="13:19" x14ac:dyDescent="0.25">
      <c r="M99" s="5">
        <v>3233</v>
      </c>
      <c r="N99">
        <v>1</v>
      </c>
      <c r="O99" t="str">
        <f t="shared" si="1"/>
        <v>One-time</v>
      </c>
      <c r="Q99">
        <v>3233</v>
      </c>
      <c r="R99">
        <v>1</v>
      </c>
      <c r="S99" t="s">
        <v>64</v>
      </c>
    </row>
    <row r="100" spans="13:19" x14ac:dyDescent="0.25">
      <c r="M100" s="5">
        <v>3234</v>
      </c>
      <c r="N100">
        <v>1</v>
      </c>
      <c r="O100" t="str">
        <f t="shared" si="1"/>
        <v>One-time</v>
      </c>
      <c r="Q100">
        <v>3234</v>
      </c>
      <c r="R100">
        <v>1</v>
      </c>
      <c r="S100" t="s">
        <v>64</v>
      </c>
    </row>
    <row r="101" spans="13:19" x14ac:dyDescent="0.25">
      <c r="M101" s="5">
        <v>3238</v>
      </c>
      <c r="N101">
        <v>1</v>
      </c>
      <c r="O101" t="str">
        <f t="shared" si="1"/>
        <v>One-time</v>
      </c>
      <c r="Q101">
        <v>3238</v>
      </c>
      <c r="R101">
        <v>1</v>
      </c>
      <c r="S101" t="s">
        <v>64</v>
      </c>
    </row>
    <row r="102" spans="13:19" x14ac:dyDescent="0.25">
      <c r="M102" s="5">
        <v>3241</v>
      </c>
      <c r="N102">
        <v>1</v>
      </c>
      <c r="O102" t="str">
        <f t="shared" si="1"/>
        <v>One-time</v>
      </c>
      <c r="Q102">
        <v>3241</v>
      </c>
      <c r="R102">
        <v>1</v>
      </c>
      <c r="S102" t="s">
        <v>64</v>
      </c>
    </row>
    <row r="103" spans="13:19" x14ac:dyDescent="0.25">
      <c r="M103" s="5">
        <v>3246</v>
      </c>
      <c r="N103">
        <v>1</v>
      </c>
      <c r="O103" t="str">
        <f t="shared" si="1"/>
        <v>One-time</v>
      </c>
      <c r="Q103">
        <v>3246</v>
      </c>
      <c r="R103">
        <v>1</v>
      </c>
      <c r="S103" t="s">
        <v>64</v>
      </c>
    </row>
    <row r="104" spans="13:19" x14ac:dyDescent="0.25">
      <c r="M104" s="5">
        <v>3247</v>
      </c>
      <c r="N104">
        <v>2</v>
      </c>
      <c r="O104" t="str">
        <f t="shared" si="1"/>
        <v>Repeat</v>
      </c>
      <c r="Q104">
        <v>3247</v>
      </c>
      <c r="R104">
        <v>2</v>
      </c>
      <c r="S104" t="s">
        <v>65</v>
      </c>
    </row>
    <row r="105" spans="13:19" x14ac:dyDescent="0.25">
      <c r="M105" s="5">
        <v>3250</v>
      </c>
      <c r="N105">
        <v>1</v>
      </c>
      <c r="O105" t="str">
        <f t="shared" si="1"/>
        <v>One-time</v>
      </c>
      <c r="Q105">
        <v>3250</v>
      </c>
      <c r="R105">
        <v>1</v>
      </c>
      <c r="S105" t="s">
        <v>64</v>
      </c>
    </row>
    <row r="106" spans="13:19" x14ac:dyDescent="0.25">
      <c r="M106" s="5">
        <v>3255</v>
      </c>
      <c r="N106">
        <v>1</v>
      </c>
      <c r="O106" t="str">
        <f t="shared" si="1"/>
        <v>One-time</v>
      </c>
      <c r="Q106">
        <v>3255</v>
      </c>
      <c r="R106">
        <v>1</v>
      </c>
      <c r="S106" t="s">
        <v>64</v>
      </c>
    </row>
    <row r="107" spans="13:19" x14ac:dyDescent="0.25">
      <c r="M107" s="5">
        <v>3257</v>
      </c>
      <c r="N107">
        <v>1</v>
      </c>
      <c r="O107" t="str">
        <f t="shared" si="1"/>
        <v>One-time</v>
      </c>
      <c r="Q107">
        <v>3257</v>
      </c>
      <c r="R107">
        <v>1</v>
      </c>
      <c r="S107" t="s">
        <v>64</v>
      </c>
    </row>
    <row r="108" spans="13:19" x14ac:dyDescent="0.25">
      <c r="M108" s="5">
        <v>3260</v>
      </c>
      <c r="N108">
        <v>3</v>
      </c>
      <c r="O108" t="str">
        <f t="shared" si="1"/>
        <v>Repeat</v>
      </c>
      <c r="Q108">
        <v>3260</v>
      </c>
      <c r="R108">
        <v>3</v>
      </c>
      <c r="S108" t="s">
        <v>65</v>
      </c>
    </row>
    <row r="109" spans="13:19" x14ac:dyDescent="0.25">
      <c r="M109" s="5">
        <v>3265</v>
      </c>
      <c r="N109">
        <v>2</v>
      </c>
      <c r="O109" t="str">
        <f t="shared" si="1"/>
        <v>Repeat</v>
      </c>
      <c r="Q109">
        <v>3265</v>
      </c>
      <c r="R109">
        <v>2</v>
      </c>
      <c r="S109" t="s">
        <v>65</v>
      </c>
    </row>
    <row r="110" spans="13:19" x14ac:dyDescent="0.25">
      <c r="M110" s="5">
        <v>3266</v>
      </c>
      <c r="N110">
        <v>1</v>
      </c>
      <c r="O110" t="str">
        <f t="shared" si="1"/>
        <v>One-time</v>
      </c>
      <c r="Q110">
        <v>3266</v>
      </c>
      <c r="R110">
        <v>1</v>
      </c>
      <c r="S110" t="s">
        <v>64</v>
      </c>
    </row>
    <row r="111" spans="13:19" x14ac:dyDescent="0.25">
      <c r="M111" s="5">
        <v>3267</v>
      </c>
      <c r="N111">
        <v>1</v>
      </c>
      <c r="O111" t="str">
        <f t="shared" si="1"/>
        <v>One-time</v>
      </c>
      <c r="Q111">
        <v>3267</v>
      </c>
      <c r="R111">
        <v>1</v>
      </c>
      <c r="S111" t="s">
        <v>64</v>
      </c>
    </row>
    <row r="112" spans="13:19" x14ac:dyDescent="0.25">
      <c r="M112" s="5">
        <v>3268</v>
      </c>
      <c r="N112">
        <v>1</v>
      </c>
      <c r="O112" t="str">
        <f t="shared" si="1"/>
        <v>One-time</v>
      </c>
      <c r="Q112">
        <v>3268</v>
      </c>
      <c r="R112">
        <v>1</v>
      </c>
      <c r="S112" t="s">
        <v>64</v>
      </c>
    </row>
    <row r="113" spans="13:19" x14ac:dyDescent="0.25">
      <c r="M113" s="5">
        <v>3269</v>
      </c>
      <c r="N113">
        <v>1</v>
      </c>
      <c r="O113" t="str">
        <f t="shared" si="1"/>
        <v>One-time</v>
      </c>
      <c r="Q113">
        <v>3269</v>
      </c>
      <c r="R113">
        <v>1</v>
      </c>
      <c r="S113" t="s">
        <v>64</v>
      </c>
    </row>
    <row r="114" spans="13:19" x14ac:dyDescent="0.25">
      <c r="M114" s="5">
        <v>3274</v>
      </c>
      <c r="N114">
        <v>1</v>
      </c>
      <c r="O114" t="str">
        <f t="shared" si="1"/>
        <v>One-time</v>
      </c>
      <c r="Q114">
        <v>3274</v>
      </c>
      <c r="R114">
        <v>1</v>
      </c>
      <c r="S114" t="s">
        <v>64</v>
      </c>
    </row>
    <row r="115" spans="13:19" x14ac:dyDescent="0.25">
      <c r="M115" s="5">
        <v>3275</v>
      </c>
      <c r="N115">
        <v>1</v>
      </c>
      <c r="O115" t="str">
        <f t="shared" si="1"/>
        <v>One-time</v>
      </c>
      <c r="Q115">
        <v>3275</v>
      </c>
      <c r="R115">
        <v>1</v>
      </c>
      <c r="S115" t="s">
        <v>64</v>
      </c>
    </row>
    <row r="116" spans="13:19" x14ac:dyDescent="0.25">
      <c r="M116" s="5">
        <v>3276</v>
      </c>
      <c r="N116">
        <v>2</v>
      </c>
      <c r="O116" t="str">
        <f t="shared" si="1"/>
        <v>Repeat</v>
      </c>
      <c r="Q116">
        <v>3276</v>
      </c>
      <c r="R116">
        <v>2</v>
      </c>
      <c r="S116" t="s">
        <v>65</v>
      </c>
    </row>
    <row r="117" spans="13:19" x14ac:dyDescent="0.25">
      <c r="M117" s="5">
        <v>3279</v>
      </c>
      <c r="N117">
        <v>1</v>
      </c>
      <c r="O117" t="str">
        <f t="shared" si="1"/>
        <v>One-time</v>
      </c>
      <c r="Q117">
        <v>3279</v>
      </c>
      <c r="R117">
        <v>1</v>
      </c>
      <c r="S117" t="s">
        <v>64</v>
      </c>
    </row>
    <row r="118" spans="13:19" x14ac:dyDescent="0.25">
      <c r="M118" s="5">
        <v>3282</v>
      </c>
      <c r="N118">
        <v>1</v>
      </c>
      <c r="O118" t="str">
        <f t="shared" si="1"/>
        <v>One-time</v>
      </c>
      <c r="Q118">
        <v>3282</v>
      </c>
      <c r="R118">
        <v>1</v>
      </c>
      <c r="S118" t="s">
        <v>64</v>
      </c>
    </row>
    <row r="119" spans="13:19" x14ac:dyDescent="0.25">
      <c r="M119" s="5">
        <v>3286</v>
      </c>
      <c r="N119">
        <v>1</v>
      </c>
      <c r="O119" t="str">
        <f t="shared" si="1"/>
        <v>One-time</v>
      </c>
      <c r="Q119">
        <v>3286</v>
      </c>
      <c r="R119">
        <v>1</v>
      </c>
      <c r="S119" t="s">
        <v>64</v>
      </c>
    </row>
    <row r="120" spans="13:19" x14ac:dyDescent="0.25">
      <c r="M120" s="5">
        <v>3287</v>
      </c>
      <c r="N120">
        <v>1</v>
      </c>
      <c r="O120" t="str">
        <f t="shared" si="1"/>
        <v>One-time</v>
      </c>
      <c r="Q120">
        <v>3287</v>
      </c>
      <c r="R120">
        <v>1</v>
      </c>
      <c r="S120" t="s">
        <v>64</v>
      </c>
    </row>
    <row r="121" spans="13:19" x14ac:dyDescent="0.25">
      <c r="M121" s="5">
        <v>3288</v>
      </c>
      <c r="N121">
        <v>1</v>
      </c>
      <c r="O121" t="str">
        <f t="shared" si="1"/>
        <v>One-time</v>
      </c>
      <c r="Q121">
        <v>3288</v>
      </c>
      <c r="R121">
        <v>1</v>
      </c>
      <c r="S121" t="s">
        <v>64</v>
      </c>
    </row>
    <row r="122" spans="13:19" x14ac:dyDescent="0.25">
      <c r="M122" s="5">
        <v>3290</v>
      </c>
      <c r="N122">
        <v>2</v>
      </c>
      <c r="O122" t="str">
        <f t="shared" si="1"/>
        <v>Repeat</v>
      </c>
      <c r="Q122">
        <v>3290</v>
      </c>
      <c r="R122">
        <v>2</v>
      </c>
      <c r="S122" t="s">
        <v>65</v>
      </c>
    </row>
    <row r="123" spans="13:19" x14ac:dyDescent="0.25">
      <c r="M123" s="5">
        <v>3295</v>
      </c>
      <c r="N123">
        <v>1</v>
      </c>
      <c r="O123" t="str">
        <f t="shared" si="1"/>
        <v>One-time</v>
      </c>
      <c r="Q123">
        <v>3295</v>
      </c>
      <c r="R123">
        <v>1</v>
      </c>
      <c r="S123" t="s">
        <v>64</v>
      </c>
    </row>
    <row r="124" spans="13:19" x14ac:dyDescent="0.25">
      <c r="M124" s="5">
        <v>3298</v>
      </c>
      <c r="N124">
        <v>1</v>
      </c>
      <c r="O124" t="str">
        <f t="shared" si="1"/>
        <v>One-time</v>
      </c>
      <c r="Q124">
        <v>3298</v>
      </c>
      <c r="R124">
        <v>1</v>
      </c>
      <c r="S124" t="s">
        <v>64</v>
      </c>
    </row>
    <row r="125" spans="13:19" x14ac:dyDescent="0.25">
      <c r="M125" s="5">
        <v>3301</v>
      </c>
      <c r="N125">
        <v>1</v>
      </c>
      <c r="O125" t="str">
        <f t="shared" si="1"/>
        <v>One-time</v>
      </c>
      <c r="Q125">
        <v>3301</v>
      </c>
      <c r="R125">
        <v>1</v>
      </c>
      <c r="S125" t="s">
        <v>64</v>
      </c>
    </row>
    <row r="126" spans="13:19" x14ac:dyDescent="0.25">
      <c r="M126" s="5">
        <v>3303</v>
      </c>
      <c r="N126">
        <v>1</v>
      </c>
      <c r="O126" t="str">
        <f t="shared" si="1"/>
        <v>One-time</v>
      </c>
      <c r="Q126">
        <v>3303</v>
      </c>
      <c r="R126">
        <v>1</v>
      </c>
      <c r="S126" t="s">
        <v>64</v>
      </c>
    </row>
    <row r="127" spans="13:19" x14ac:dyDescent="0.25">
      <c r="M127" s="5">
        <v>3309</v>
      </c>
      <c r="N127">
        <v>1</v>
      </c>
      <c r="O127" t="str">
        <f t="shared" si="1"/>
        <v>One-time</v>
      </c>
      <c r="Q127">
        <v>3309</v>
      </c>
      <c r="R127">
        <v>1</v>
      </c>
      <c r="S127" t="s">
        <v>64</v>
      </c>
    </row>
    <row r="128" spans="13:19" x14ac:dyDescent="0.25">
      <c r="M128" s="5">
        <v>3311</v>
      </c>
      <c r="N128">
        <v>1</v>
      </c>
      <c r="O128" t="str">
        <f t="shared" si="1"/>
        <v>One-time</v>
      </c>
      <c r="Q128">
        <v>3311</v>
      </c>
      <c r="R128">
        <v>1</v>
      </c>
      <c r="S128" t="s">
        <v>64</v>
      </c>
    </row>
    <row r="129" spans="13:19" x14ac:dyDescent="0.25">
      <c r="M129" s="5">
        <v>3312</v>
      </c>
      <c r="N129">
        <v>1</v>
      </c>
      <c r="O129" t="str">
        <f t="shared" si="1"/>
        <v>One-time</v>
      </c>
      <c r="Q129">
        <v>3312</v>
      </c>
      <c r="R129">
        <v>1</v>
      </c>
      <c r="S129" t="s">
        <v>64</v>
      </c>
    </row>
    <row r="130" spans="13:19" x14ac:dyDescent="0.25">
      <c r="M130" s="5">
        <v>3313</v>
      </c>
      <c r="N130">
        <v>1</v>
      </c>
      <c r="O130" t="str">
        <f t="shared" si="1"/>
        <v>One-time</v>
      </c>
      <c r="Q130">
        <v>3313</v>
      </c>
      <c r="R130">
        <v>1</v>
      </c>
      <c r="S130" t="s">
        <v>64</v>
      </c>
    </row>
    <row r="131" spans="13:19" x14ac:dyDescent="0.25">
      <c r="M131" s="5">
        <v>3315</v>
      </c>
      <c r="N131">
        <v>1</v>
      </c>
      <c r="O131" t="str">
        <f t="shared" si="1"/>
        <v>One-time</v>
      </c>
      <c r="Q131">
        <v>3315</v>
      </c>
      <c r="R131">
        <v>1</v>
      </c>
      <c r="S131" t="s">
        <v>64</v>
      </c>
    </row>
    <row r="132" spans="13:19" x14ac:dyDescent="0.25">
      <c r="M132" s="5">
        <v>3317</v>
      </c>
      <c r="N132">
        <v>1</v>
      </c>
      <c r="O132" t="str">
        <f t="shared" ref="O132:O195" si="2">IF(GETPIVOTDATA("Order_ID",$M$2, "Customer_ID",M132)=1, "One-time", IF(GETPIVOTDATA("Order_ID",$M$2, "Customer_ID",M132)&lt;=3, "Repeat", "Loyal"))</f>
        <v>One-time</v>
      </c>
      <c r="Q132">
        <v>3317</v>
      </c>
      <c r="R132">
        <v>1</v>
      </c>
      <c r="S132" t="s">
        <v>64</v>
      </c>
    </row>
    <row r="133" spans="13:19" x14ac:dyDescent="0.25">
      <c r="M133" s="5">
        <v>3325</v>
      </c>
      <c r="N133">
        <v>1</v>
      </c>
      <c r="O133" t="str">
        <f t="shared" si="2"/>
        <v>One-time</v>
      </c>
      <c r="Q133">
        <v>3325</v>
      </c>
      <c r="R133">
        <v>1</v>
      </c>
      <c r="S133" t="s">
        <v>64</v>
      </c>
    </row>
    <row r="134" spans="13:19" x14ac:dyDescent="0.25">
      <c r="M134" s="5">
        <v>3331</v>
      </c>
      <c r="N134">
        <v>2</v>
      </c>
      <c r="O134" t="str">
        <f t="shared" si="2"/>
        <v>Repeat</v>
      </c>
      <c r="Q134">
        <v>3331</v>
      </c>
      <c r="R134">
        <v>2</v>
      </c>
      <c r="S134" t="s">
        <v>65</v>
      </c>
    </row>
    <row r="135" spans="13:19" x14ac:dyDescent="0.25">
      <c r="M135" s="5">
        <v>3332</v>
      </c>
      <c r="N135">
        <v>1</v>
      </c>
      <c r="O135" t="str">
        <f t="shared" si="2"/>
        <v>One-time</v>
      </c>
      <c r="Q135">
        <v>3332</v>
      </c>
      <c r="R135">
        <v>1</v>
      </c>
      <c r="S135" t="s">
        <v>64</v>
      </c>
    </row>
    <row r="136" spans="13:19" x14ac:dyDescent="0.25">
      <c r="M136" s="5">
        <v>3337</v>
      </c>
      <c r="N136">
        <v>1</v>
      </c>
      <c r="O136" t="str">
        <f t="shared" si="2"/>
        <v>One-time</v>
      </c>
      <c r="Q136">
        <v>3337</v>
      </c>
      <c r="R136">
        <v>1</v>
      </c>
      <c r="S136" t="s">
        <v>64</v>
      </c>
    </row>
    <row r="137" spans="13:19" x14ac:dyDescent="0.25">
      <c r="M137" s="5">
        <v>3338</v>
      </c>
      <c r="N137">
        <v>1</v>
      </c>
      <c r="O137" t="str">
        <f t="shared" si="2"/>
        <v>One-time</v>
      </c>
      <c r="Q137">
        <v>3338</v>
      </c>
      <c r="R137">
        <v>1</v>
      </c>
      <c r="S137" t="s">
        <v>64</v>
      </c>
    </row>
    <row r="138" spans="13:19" x14ac:dyDescent="0.25">
      <c r="M138" s="5">
        <v>3341</v>
      </c>
      <c r="N138">
        <v>1</v>
      </c>
      <c r="O138" t="str">
        <f t="shared" si="2"/>
        <v>One-time</v>
      </c>
      <c r="Q138">
        <v>3341</v>
      </c>
      <c r="R138">
        <v>1</v>
      </c>
      <c r="S138" t="s">
        <v>64</v>
      </c>
    </row>
    <row r="139" spans="13:19" x14ac:dyDescent="0.25">
      <c r="M139" s="5">
        <v>3342</v>
      </c>
      <c r="N139">
        <v>1</v>
      </c>
      <c r="O139" t="str">
        <f t="shared" si="2"/>
        <v>One-time</v>
      </c>
      <c r="Q139">
        <v>3342</v>
      </c>
      <c r="R139">
        <v>1</v>
      </c>
      <c r="S139" t="s">
        <v>64</v>
      </c>
    </row>
    <row r="140" spans="13:19" x14ac:dyDescent="0.25">
      <c r="M140" s="5">
        <v>3345</v>
      </c>
      <c r="N140">
        <v>1</v>
      </c>
      <c r="O140" t="str">
        <f t="shared" si="2"/>
        <v>One-time</v>
      </c>
      <c r="Q140">
        <v>3345</v>
      </c>
      <c r="R140">
        <v>1</v>
      </c>
      <c r="S140" t="s">
        <v>64</v>
      </c>
    </row>
    <row r="141" spans="13:19" x14ac:dyDescent="0.25">
      <c r="M141" s="5">
        <v>3348</v>
      </c>
      <c r="N141">
        <v>2</v>
      </c>
      <c r="O141" t="str">
        <f t="shared" si="2"/>
        <v>Repeat</v>
      </c>
      <c r="Q141">
        <v>3348</v>
      </c>
      <c r="R141">
        <v>2</v>
      </c>
      <c r="S141" t="s">
        <v>65</v>
      </c>
    </row>
    <row r="142" spans="13:19" x14ac:dyDescent="0.25">
      <c r="M142" s="5">
        <v>3349</v>
      </c>
      <c r="N142">
        <v>3</v>
      </c>
      <c r="O142" t="str">
        <f t="shared" si="2"/>
        <v>Repeat</v>
      </c>
      <c r="Q142">
        <v>3349</v>
      </c>
      <c r="R142">
        <v>3</v>
      </c>
      <c r="S142" t="s">
        <v>65</v>
      </c>
    </row>
    <row r="143" spans="13:19" x14ac:dyDescent="0.25">
      <c r="M143" s="5">
        <v>3356</v>
      </c>
      <c r="N143">
        <v>1</v>
      </c>
      <c r="O143" t="str">
        <f t="shared" si="2"/>
        <v>One-time</v>
      </c>
      <c r="Q143">
        <v>3356</v>
      </c>
      <c r="R143">
        <v>1</v>
      </c>
      <c r="S143" t="s">
        <v>64</v>
      </c>
    </row>
    <row r="144" spans="13:19" x14ac:dyDescent="0.25">
      <c r="M144" s="5">
        <v>3363</v>
      </c>
      <c r="N144">
        <v>1</v>
      </c>
      <c r="O144" t="str">
        <f t="shared" si="2"/>
        <v>One-time</v>
      </c>
      <c r="Q144">
        <v>3363</v>
      </c>
      <c r="R144">
        <v>1</v>
      </c>
      <c r="S144" t="s">
        <v>64</v>
      </c>
    </row>
    <row r="145" spans="13:19" x14ac:dyDescent="0.25">
      <c r="M145" s="5">
        <v>3366</v>
      </c>
      <c r="N145">
        <v>2</v>
      </c>
      <c r="O145" t="str">
        <f t="shared" si="2"/>
        <v>Repeat</v>
      </c>
      <c r="Q145">
        <v>3366</v>
      </c>
      <c r="R145">
        <v>2</v>
      </c>
      <c r="S145" t="s">
        <v>65</v>
      </c>
    </row>
    <row r="146" spans="13:19" x14ac:dyDescent="0.25">
      <c r="M146" s="5">
        <v>3369</v>
      </c>
      <c r="N146">
        <v>1</v>
      </c>
      <c r="O146" t="str">
        <f t="shared" si="2"/>
        <v>One-time</v>
      </c>
      <c r="Q146">
        <v>3369</v>
      </c>
      <c r="R146">
        <v>1</v>
      </c>
      <c r="S146" t="s">
        <v>64</v>
      </c>
    </row>
    <row r="147" spans="13:19" x14ac:dyDescent="0.25">
      <c r="M147" s="5">
        <v>3373</v>
      </c>
      <c r="N147">
        <v>1</v>
      </c>
      <c r="O147" t="str">
        <f t="shared" si="2"/>
        <v>One-time</v>
      </c>
      <c r="Q147">
        <v>3373</v>
      </c>
      <c r="R147">
        <v>1</v>
      </c>
      <c r="S147" t="s">
        <v>64</v>
      </c>
    </row>
    <row r="148" spans="13:19" x14ac:dyDescent="0.25">
      <c r="M148" s="5">
        <v>3374</v>
      </c>
      <c r="N148">
        <v>1</v>
      </c>
      <c r="O148" t="str">
        <f t="shared" si="2"/>
        <v>One-time</v>
      </c>
      <c r="Q148">
        <v>3374</v>
      </c>
      <c r="R148">
        <v>1</v>
      </c>
      <c r="S148" t="s">
        <v>64</v>
      </c>
    </row>
    <row r="149" spans="13:19" x14ac:dyDescent="0.25">
      <c r="M149" s="5">
        <v>3380</v>
      </c>
      <c r="N149">
        <v>2</v>
      </c>
      <c r="O149" t="str">
        <f t="shared" si="2"/>
        <v>Repeat</v>
      </c>
      <c r="Q149">
        <v>3380</v>
      </c>
      <c r="R149">
        <v>2</v>
      </c>
      <c r="S149" t="s">
        <v>65</v>
      </c>
    </row>
    <row r="150" spans="13:19" x14ac:dyDescent="0.25">
      <c r="M150" s="5">
        <v>3386</v>
      </c>
      <c r="N150">
        <v>1</v>
      </c>
      <c r="O150" t="str">
        <f t="shared" si="2"/>
        <v>One-time</v>
      </c>
      <c r="Q150">
        <v>3386</v>
      </c>
      <c r="R150">
        <v>1</v>
      </c>
      <c r="S150" t="s">
        <v>64</v>
      </c>
    </row>
    <row r="151" spans="13:19" x14ac:dyDescent="0.25">
      <c r="M151" s="5">
        <v>3391</v>
      </c>
      <c r="N151">
        <v>2</v>
      </c>
      <c r="O151" t="str">
        <f t="shared" si="2"/>
        <v>Repeat</v>
      </c>
      <c r="Q151">
        <v>3391</v>
      </c>
      <c r="R151">
        <v>2</v>
      </c>
      <c r="S151" t="s">
        <v>65</v>
      </c>
    </row>
    <row r="152" spans="13:19" x14ac:dyDescent="0.25">
      <c r="M152" s="5">
        <v>3393</v>
      </c>
      <c r="N152">
        <v>1</v>
      </c>
      <c r="O152" t="str">
        <f t="shared" si="2"/>
        <v>One-time</v>
      </c>
      <c r="Q152">
        <v>3393</v>
      </c>
      <c r="R152">
        <v>1</v>
      </c>
      <c r="S152" t="s">
        <v>64</v>
      </c>
    </row>
    <row r="153" spans="13:19" x14ac:dyDescent="0.25">
      <c r="M153" s="5">
        <v>3398</v>
      </c>
      <c r="N153">
        <v>2</v>
      </c>
      <c r="O153" t="str">
        <f t="shared" si="2"/>
        <v>Repeat</v>
      </c>
      <c r="Q153">
        <v>3398</v>
      </c>
      <c r="R153">
        <v>2</v>
      </c>
      <c r="S153" t="s">
        <v>65</v>
      </c>
    </row>
    <row r="154" spans="13:19" x14ac:dyDescent="0.25">
      <c r="M154" s="5">
        <v>3400</v>
      </c>
      <c r="N154">
        <v>4</v>
      </c>
      <c r="O154" t="str">
        <f t="shared" si="2"/>
        <v>Loyal</v>
      </c>
      <c r="Q154">
        <v>3400</v>
      </c>
      <c r="R154">
        <v>4</v>
      </c>
      <c r="S154" t="s">
        <v>66</v>
      </c>
    </row>
    <row r="155" spans="13:19" x14ac:dyDescent="0.25">
      <c r="M155" s="5">
        <v>3402</v>
      </c>
      <c r="N155">
        <v>1</v>
      </c>
      <c r="O155" t="str">
        <f t="shared" si="2"/>
        <v>One-time</v>
      </c>
      <c r="Q155">
        <v>3402</v>
      </c>
      <c r="R155">
        <v>1</v>
      </c>
      <c r="S155" t="s">
        <v>64</v>
      </c>
    </row>
    <row r="156" spans="13:19" x14ac:dyDescent="0.25">
      <c r="M156" s="5">
        <v>3405</v>
      </c>
      <c r="N156">
        <v>1</v>
      </c>
      <c r="O156" t="str">
        <f t="shared" si="2"/>
        <v>One-time</v>
      </c>
      <c r="Q156">
        <v>3405</v>
      </c>
      <c r="R156">
        <v>1</v>
      </c>
      <c r="S156" t="s">
        <v>64</v>
      </c>
    </row>
    <row r="157" spans="13:19" x14ac:dyDescent="0.25">
      <c r="M157" s="5">
        <v>3406</v>
      </c>
      <c r="N157">
        <v>2</v>
      </c>
      <c r="O157" t="str">
        <f t="shared" si="2"/>
        <v>Repeat</v>
      </c>
      <c r="Q157">
        <v>3406</v>
      </c>
      <c r="R157">
        <v>2</v>
      </c>
      <c r="S157" t="s">
        <v>65</v>
      </c>
    </row>
    <row r="158" spans="13:19" x14ac:dyDescent="0.25">
      <c r="M158" s="5">
        <v>3410</v>
      </c>
      <c r="N158">
        <v>1</v>
      </c>
      <c r="O158" t="str">
        <f t="shared" si="2"/>
        <v>One-time</v>
      </c>
      <c r="Q158">
        <v>3410</v>
      </c>
      <c r="R158">
        <v>1</v>
      </c>
      <c r="S158" t="s">
        <v>64</v>
      </c>
    </row>
    <row r="159" spans="13:19" x14ac:dyDescent="0.25">
      <c r="M159" s="5">
        <v>3413</v>
      </c>
      <c r="N159">
        <v>1</v>
      </c>
      <c r="O159" t="str">
        <f t="shared" si="2"/>
        <v>One-time</v>
      </c>
      <c r="Q159">
        <v>3413</v>
      </c>
      <c r="R159">
        <v>1</v>
      </c>
      <c r="S159" t="s">
        <v>64</v>
      </c>
    </row>
    <row r="160" spans="13:19" x14ac:dyDescent="0.25">
      <c r="M160" s="5">
        <v>3415</v>
      </c>
      <c r="N160">
        <v>1</v>
      </c>
      <c r="O160" t="str">
        <f t="shared" si="2"/>
        <v>One-time</v>
      </c>
      <c r="Q160">
        <v>3415</v>
      </c>
      <c r="R160">
        <v>1</v>
      </c>
      <c r="S160" t="s">
        <v>64</v>
      </c>
    </row>
    <row r="161" spans="13:19" x14ac:dyDescent="0.25">
      <c r="M161" s="5">
        <v>3416</v>
      </c>
      <c r="N161">
        <v>1</v>
      </c>
      <c r="O161" t="str">
        <f t="shared" si="2"/>
        <v>One-time</v>
      </c>
      <c r="Q161">
        <v>3416</v>
      </c>
      <c r="R161">
        <v>1</v>
      </c>
      <c r="S161" t="s">
        <v>64</v>
      </c>
    </row>
    <row r="162" spans="13:19" x14ac:dyDescent="0.25">
      <c r="M162" s="5">
        <v>3421</v>
      </c>
      <c r="N162">
        <v>1</v>
      </c>
      <c r="O162" t="str">
        <f t="shared" si="2"/>
        <v>One-time</v>
      </c>
      <c r="Q162">
        <v>3421</v>
      </c>
      <c r="R162">
        <v>1</v>
      </c>
      <c r="S162" t="s">
        <v>64</v>
      </c>
    </row>
    <row r="163" spans="13:19" x14ac:dyDescent="0.25">
      <c r="M163" s="5">
        <v>3427</v>
      </c>
      <c r="N163">
        <v>2</v>
      </c>
      <c r="O163" t="str">
        <f t="shared" si="2"/>
        <v>Repeat</v>
      </c>
      <c r="Q163">
        <v>3427</v>
      </c>
      <c r="R163">
        <v>2</v>
      </c>
      <c r="S163" t="s">
        <v>65</v>
      </c>
    </row>
    <row r="164" spans="13:19" x14ac:dyDescent="0.25">
      <c r="M164" s="5">
        <v>3428</v>
      </c>
      <c r="N164">
        <v>2</v>
      </c>
      <c r="O164" t="str">
        <f t="shared" si="2"/>
        <v>Repeat</v>
      </c>
      <c r="Q164">
        <v>3428</v>
      </c>
      <c r="R164">
        <v>2</v>
      </c>
      <c r="S164" t="s">
        <v>65</v>
      </c>
    </row>
    <row r="165" spans="13:19" x14ac:dyDescent="0.25">
      <c r="M165" s="5">
        <v>3432</v>
      </c>
      <c r="N165">
        <v>1</v>
      </c>
      <c r="O165" t="str">
        <f t="shared" si="2"/>
        <v>One-time</v>
      </c>
      <c r="Q165">
        <v>3432</v>
      </c>
      <c r="R165">
        <v>1</v>
      </c>
      <c r="S165" t="s">
        <v>64</v>
      </c>
    </row>
    <row r="166" spans="13:19" x14ac:dyDescent="0.25">
      <c r="M166" s="5">
        <v>3433</v>
      </c>
      <c r="N166">
        <v>1</v>
      </c>
      <c r="O166" t="str">
        <f t="shared" si="2"/>
        <v>One-time</v>
      </c>
      <c r="Q166">
        <v>3433</v>
      </c>
      <c r="R166">
        <v>1</v>
      </c>
      <c r="S166" t="s">
        <v>64</v>
      </c>
    </row>
    <row r="167" spans="13:19" x14ac:dyDescent="0.25">
      <c r="M167" s="5">
        <v>3434</v>
      </c>
      <c r="N167">
        <v>2</v>
      </c>
      <c r="O167" t="str">
        <f t="shared" si="2"/>
        <v>Repeat</v>
      </c>
      <c r="Q167">
        <v>3434</v>
      </c>
      <c r="R167">
        <v>2</v>
      </c>
      <c r="S167" t="s">
        <v>65</v>
      </c>
    </row>
    <row r="168" spans="13:19" x14ac:dyDescent="0.25">
      <c r="M168" s="5">
        <v>3436</v>
      </c>
      <c r="N168">
        <v>2</v>
      </c>
      <c r="O168" t="str">
        <f t="shared" si="2"/>
        <v>Repeat</v>
      </c>
      <c r="Q168">
        <v>3436</v>
      </c>
      <c r="R168">
        <v>2</v>
      </c>
      <c r="S168" t="s">
        <v>65</v>
      </c>
    </row>
    <row r="169" spans="13:19" x14ac:dyDescent="0.25">
      <c r="M169" s="5">
        <v>3438</v>
      </c>
      <c r="N169">
        <v>1</v>
      </c>
      <c r="O169" t="str">
        <f t="shared" si="2"/>
        <v>One-time</v>
      </c>
      <c r="Q169">
        <v>3438</v>
      </c>
      <c r="R169">
        <v>1</v>
      </c>
      <c r="S169" t="s">
        <v>64</v>
      </c>
    </row>
    <row r="170" spans="13:19" x14ac:dyDescent="0.25">
      <c r="M170" s="5">
        <v>3439</v>
      </c>
      <c r="N170">
        <v>1</v>
      </c>
      <c r="O170" t="str">
        <f t="shared" si="2"/>
        <v>One-time</v>
      </c>
      <c r="Q170">
        <v>3439</v>
      </c>
      <c r="R170">
        <v>1</v>
      </c>
      <c r="S170" t="s">
        <v>64</v>
      </c>
    </row>
    <row r="171" spans="13:19" x14ac:dyDescent="0.25">
      <c r="M171" s="5">
        <v>3440</v>
      </c>
      <c r="N171">
        <v>1</v>
      </c>
      <c r="O171" t="str">
        <f t="shared" si="2"/>
        <v>One-time</v>
      </c>
      <c r="Q171">
        <v>3440</v>
      </c>
      <c r="R171">
        <v>1</v>
      </c>
      <c r="S171" t="s">
        <v>64</v>
      </c>
    </row>
    <row r="172" spans="13:19" x14ac:dyDescent="0.25">
      <c r="M172" s="5">
        <v>3443</v>
      </c>
      <c r="N172">
        <v>2</v>
      </c>
      <c r="O172" t="str">
        <f t="shared" si="2"/>
        <v>Repeat</v>
      </c>
      <c r="Q172">
        <v>3443</v>
      </c>
      <c r="R172">
        <v>2</v>
      </c>
      <c r="S172" t="s">
        <v>65</v>
      </c>
    </row>
    <row r="173" spans="13:19" x14ac:dyDescent="0.25">
      <c r="M173" s="5">
        <v>3444</v>
      </c>
      <c r="N173">
        <v>1</v>
      </c>
      <c r="O173" t="str">
        <f t="shared" si="2"/>
        <v>One-time</v>
      </c>
      <c r="Q173">
        <v>3444</v>
      </c>
      <c r="R173">
        <v>1</v>
      </c>
      <c r="S173" t="s">
        <v>64</v>
      </c>
    </row>
    <row r="174" spans="13:19" x14ac:dyDescent="0.25">
      <c r="M174" s="5">
        <v>3448</v>
      </c>
      <c r="N174">
        <v>2</v>
      </c>
      <c r="O174" t="str">
        <f t="shared" si="2"/>
        <v>Repeat</v>
      </c>
      <c r="Q174">
        <v>3448</v>
      </c>
      <c r="R174">
        <v>2</v>
      </c>
      <c r="S174" t="s">
        <v>65</v>
      </c>
    </row>
    <row r="175" spans="13:19" x14ac:dyDescent="0.25">
      <c r="M175" s="5">
        <v>3450</v>
      </c>
      <c r="N175">
        <v>1</v>
      </c>
      <c r="O175" t="str">
        <f t="shared" si="2"/>
        <v>One-time</v>
      </c>
      <c r="Q175">
        <v>3450</v>
      </c>
      <c r="R175">
        <v>1</v>
      </c>
      <c r="S175" t="s">
        <v>64</v>
      </c>
    </row>
    <row r="176" spans="13:19" x14ac:dyDescent="0.25">
      <c r="M176" s="5">
        <v>3456</v>
      </c>
      <c r="N176">
        <v>2</v>
      </c>
      <c r="O176" t="str">
        <f t="shared" si="2"/>
        <v>Repeat</v>
      </c>
      <c r="Q176">
        <v>3456</v>
      </c>
      <c r="R176">
        <v>2</v>
      </c>
      <c r="S176" t="s">
        <v>65</v>
      </c>
    </row>
    <row r="177" spans="13:19" x14ac:dyDescent="0.25">
      <c r="M177" s="5">
        <v>3460</v>
      </c>
      <c r="N177">
        <v>1</v>
      </c>
      <c r="O177" t="str">
        <f t="shared" si="2"/>
        <v>One-time</v>
      </c>
      <c r="Q177">
        <v>3460</v>
      </c>
      <c r="R177">
        <v>1</v>
      </c>
      <c r="S177" t="s">
        <v>64</v>
      </c>
    </row>
    <row r="178" spans="13:19" x14ac:dyDescent="0.25">
      <c r="M178" s="5">
        <v>3461</v>
      </c>
      <c r="N178">
        <v>2</v>
      </c>
      <c r="O178" t="str">
        <f t="shared" si="2"/>
        <v>Repeat</v>
      </c>
      <c r="Q178">
        <v>3461</v>
      </c>
      <c r="R178">
        <v>2</v>
      </c>
      <c r="S178" t="s">
        <v>65</v>
      </c>
    </row>
    <row r="179" spans="13:19" x14ac:dyDescent="0.25">
      <c r="M179" s="5">
        <v>3462</v>
      </c>
      <c r="N179">
        <v>1</v>
      </c>
      <c r="O179" t="str">
        <f t="shared" si="2"/>
        <v>One-time</v>
      </c>
      <c r="Q179">
        <v>3462</v>
      </c>
      <c r="R179">
        <v>1</v>
      </c>
      <c r="S179" t="s">
        <v>64</v>
      </c>
    </row>
    <row r="180" spans="13:19" x14ac:dyDescent="0.25">
      <c r="M180" s="5">
        <v>3468</v>
      </c>
      <c r="N180">
        <v>1</v>
      </c>
      <c r="O180" t="str">
        <f t="shared" si="2"/>
        <v>One-time</v>
      </c>
      <c r="Q180">
        <v>3468</v>
      </c>
      <c r="R180">
        <v>1</v>
      </c>
      <c r="S180" t="s">
        <v>64</v>
      </c>
    </row>
    <row r="181" spans="13:19" x14ac:dyDescent="0.25">
      <c r="M181" s="5">
        <v>3469</v>
      </c>
      <c r="N181">
        <v>1</v>
      </c>
      <c r="O181" t="str">
        <f t="shared" si="2"/>
        <v>One-time</v>
      </c>
      <c r="Q181">
        <v>3469</v>
      </c>
      <c r="R181">
        <v>1</v>
      </c>
      <c r="S181" t="s">
        <v>64</v>
      </c>
    </row>
    <row r="182" spans="13:19" x14ac:dyDescent="0.25">
      <c r="M182" s="5">
        <v>3474</v>
      </c>
      <c r="N182">
        <v>1</v>
      </c>
      <c r="O182" t="str">
        <f t="shared" si="2"/>
        <v>One-time</v>
      </c>
      <c r="Q182">
        <v>3474</v>
      </c>
      <c r="R182">
        <v>1</v>
      </c>
      <c r="S182" t="s">
        <v>64</v>
      </c>
    </row>
    <row r="183" spans="13:19" x14ac:dyDescent="0.25">
      <c r="M183" s="5">
        <v>3475</v>
      </c>
      <c r="N183">
        <v>2</v>
      </c>
      <c r="O183" t="str">
        <f t="shared" si="2"/>
        <v>Repeat</v>
      </c>
      <c r="Q183">
        <v>3475</v>
      </c>
      <c r="R183">
        <v>2</v>
      </c>
      <c r="S183" t="s">
        <v>65</v>
      </c>
    </row>
    <row r="184" spans="13:19" x14ac:dyDescent="0.25">
      <c r="M184" s="5">
        <v>3476</v>
      </c>
      <c r="N184">
        <v>1</v>
      </c>
      <c r="O184" t="str">
        <f t="shared" si="2"/>
        <v>One-time</v>
      </c>
      <c r="Q184">
        <v>3476</v>
      </c>
      <c r="R184">
        <v>1</v>
      </c>
      <c r="S184" t="s">
        <v>64</v>
      </c>
    </row>
    <row r="185" spans="13:19" x14ac:dyDescent="0.25">
      <c r="M185" s="5">
        <v>3479</v>
      </c>
      <c r="N185">
        <v>1</v>
      </c>
      <c r="O185" t="str">
        <f t="shared" si="2"/>
        <v>One-time</v>
      </c>
      <c r="Q185">
        <v>3479</v>
      </c>
      <c r="R185">
        <v>1</v>
      </c>
      <c r="S185" t="s">
        <v>64</v>
      </c>
    </row>
    <row r="186" spans="13:19" x14ac:dyDescent="0.25">
      <c r="M186" s="5">
        <v>3481</v>
      </c>
      <c r="N186">
        <v>3</v>
      </c>
      <c r="O186" t="str">
        <f t="shared" si="2"/>
        <v>Repeat</v>
      </c>
      <c r="Q186">
        <v>3481</v>
      </c>
      <c r="R186">
        <v>3</v>
      </c>
      <c r="S186" t="s">
        <v>65</v>
      </c>
    </row>
    <row r="187" spans="13:19" x14ac:dyDescent="0.25">
      <c r="M187" s="5">
        <v>3483</v>
      </c>
      <c r="N187">
        <v>1</v>
      </c>
      <c r="O187" t="str">
        <f t="shared" si="2"/>
        <v>One-time</v>
      </c>
      <c r="Q187">
        <v>3483</v>
      </c>
      <c r="R187">
        <v>1</v>
      </c>
      <c r="S187" t="s">
        <v>64</v>
      </c>
    </row>
    <row r="188" spans="13:19" x14ac:dyDescent="0.25">
      <c r="M188" s="5">
        <v>3486</v>
      </c>
      <c r="N188">
        <v>1</v>
      </c>
      <c r="O188" t="str">
        <f t="shared" si="2"/>
        <v>One-time</v>
      </c>
      <c r="Q188">
        <v>3486</v>
      </c>
      <c r="R188">
        <v>1</v>
      </c>
      <c r="S188" t="s">
        <v>64</v>
      </c>
    </row>
    <row r="189" spans="13:19" x14ac:dyDescent="0.25">
      <c r="M189" s="5">
        <v>3488</v>
      </c>
      <c r="N189">
        <v>1</v>
      </c>
      <c r="O189" t="str">
        <f t="shared" si="2"/>
        <v>One-time</v>
      </c>
      <c r="Q189">
        <v>3488</v>
      </c>
      <c r="R189">
        <v>1</v>
      </c>
      <c r="S189" t="s">
        <v>64</v>
      </c>
    </row>
    <row r="190" spans="13:19" x14ac:dyDescent="0.25">
      <c r="M190" s="5">
        <v>3490</v>
      </c>
      <c r="N190">
        <v>2</v>
      </c>
      <c r="O190" t="str">
        <f t="shared" si="2"/>
        <v>Repeat</v>
      </c>
      <c r="Q190">
        <v>3490</v>
      </c>
      <c r="R190">
        <v>2</v>
      </c>
      <c r="S190" t="s">
        <v>65</v>
      </c>
    </row>
    <row r="191" spans="13:19" x14ac:dyDescent="0.25">
      <c r="M191" s="5">
        <v>3494</v>
      </c>
      <c r="N191">
        <v>2</v>
      </c>
      <c r="O191" t="str">
        <f t="shared" si="2"/>
        <v>Repeat</v>
      </c>
      <c r="Q191">
        <v>3494</v>
      </c>
      <c r="R191">
        <v>2</v>
      </c>
      <c r="S191" t="s">
        <v>65</v>
      </c>
    </row>
    <row r="192" spans="13:19" x14ac:dyDescent="0.25">
      <c r="M192" s="5">
        <v>3495</v>
      </c>
      <c r="N192">
        <v>2</v>
      </c>
      <c r="O192" t="str">
        <f t="shared" si="2"/>
        <v>Repeat</v>
      </c>
      <c r="Q192">
        <v>3495</v>
      </c>
      <c r="R192">
        <v>2</v>
      </c>
      <c r="S192" t="s">
        <v>65</v>
      </c>
    </row>
    <row r="193" spans="13:19" x14ac:dyDescent="0.25">
      <c r="M193" s="5">
        <v>3496</v>
      </c>
      <c r="N193">
        <v>1</v>
      </c>
      <c r="O193" t="str">
        <f t="shared" si="2"/>
        <v>One-time</v>
      </c>
      <c r="Q193">
        <v>3496</v>
      </c>
      <c r="R193">
        <v>1</v>
      </c>
      <c r="S193" t="s">
        <v>64</v>
      </c>
    </row>
    <row r="194" spans="13:19" x14ac:dyDescent="0.25">
      <c r="M194" s="5">
        <v>3497</v>
      </c>
      <c r="N194">
        <v>2</v>
      </c>
      <c r="O194" t="str">
        <f t="shared" si="2"/>
        <v>Repeat</v>
      </c>
      <c r="Q194">
        <v>3497</v>
      </c>
      <c r="R194">
        <v>2</v>
      </c>
      <c r="S194" t="s">
        <v>65</v>
      </c>
    </row>
    <row r="195" spans="13:19" x14ac:dyDescent="0.25">
      <c r="M195" s="5">
        <v>3502</v>
      </c>
      <c r="N195">
        <v>1</v>
      </c>
      <c r="O195" t="str">
        <f t="shared" si="2"/>
        <v>One-time</v>
      </c>
      <c r="Q195">
        <v>3502</v>
      </c>
      <c r="R195">
        <v>1</v>
      </c>
      <c r="S195" t="s">
        <v>64</v>
      </c>
    </row>
    <row r="196" spans="13:19" x14ac:dyDescent="0.25">
      <c r="M196" s="5">
        <v>3506</v>
      </c>
      <c r="N196">
        <v>1</v>
      </c>
      <c r="O196" t="str">
        <f t="shared" ref="O196:O259" si="3">IF(GETPIVOTDATA("Order_ID",$M$2, "Customer_ID",M196)=1, "One-time", IF(GETPIVOTDATA("Order_ID",$M$2, "Customer_ID",M196)&lt;=3, "Repeat", "Loyal"))</f>
        <v>One-time</v>
      </c>
      <c r="Q196">
        <v>3506</v>
      </c>
      <c r="R196">
        <v>1</v>
      </c>
      <c r="S196" t="s">
        <v>64</v>
      </c>
    </row>
    <row r="197" spans="13:19" x14ac:dyDescent="0.25">
      <c r="M197" s="5">
        <v>3512</v>
      </c>
      <c r="N197">
        <v>1</v>
      </c>
      <c r="O197" t="str">
        <f t="shared" si="3"/>
        <v>One-time</v>
      </c>
      <c r="Q197">
        <v>3512</v>
      </c>
      <c r="R197">
        <v>1</v>
      </c>
      <c r="S197" t="s">
        <v>64</v>
      </c>
    </row>
    <row r="198" spans="13:19" x14ac:dyDescent="0.25">
      <c r="M198" s="5">
        <v>3516</v>
      </c>
      <c r="N198">
        <v>1</v>
      </c>
      <c r="O198" t="str">
        <f t="shared" si="3"/>
        <v>One-time</v>
      </c>
      <c r="Q198">
        <v>3516</v>
      </c>
      <c r="R198">
        <v>1</v>
      </c>
      <c r="S198" t="s">
        <v>64</v>
      </c>
    </row>
    <row r="199" spans="13:19" x14ac:dyDescent="0.25">
      <c r="M199" s="5">
        <v>3517</v>
      </c>
      <c r="N199">
        <v>1</v>
      </c>
      <c r="O199" t="str">
        <f t="shared" si="3"/>
        <v>One-time</v>
      </c>
      <c r="Q199">
        <v>3517</v>
      </c>
      <c r="R199">
        <v>1</v>
      </c>
      <c r="S199" t="s">
        <v>64</v>
      </c>
    </row>
    <row r="200" spans="13:19" x14ac:dyDescent="0.25">
      <c r="M200" s="5">
        <v>3519</v>
      </c>
      <c r="N200">
        <v>1</v>
      </c>
      <c r="O200" t="str">
        <f t="shared" si="3"/>
        <v>One-time</v>
      </c>
      <c r="Q200">
        <v>3519</v>
      </c>
      <c r="R200">
        <v>1</v>
      </c>
      <c r="S200" t="s">
        <v>64</v>
      </c>
    </row>
    <row r="201" spans="13:19" x14ac:dyDescent="0.25">
      <c r="M201" s="5">
        <v>3520</v>
      </c>
      <c r="N201">
        <v>1</v>
      </c>
      <c r="O201" t="str">
        <f t="shared" si="3"/>
        <v>One-time</v>
      </c>
      <c r="Q201">
        <v>3520</v>
      </c>
      <c r="R201">
        <v>1</v>
      </c>
      <c r="S201" t="s">
        <v>64</v>
      </c>
    </row>
    <row r="202" spans="13:19" x14ac:dyDescent="0.25">
      <c r="M202" s="5">
        <v>3521</v>
      </c>
      <c r="N202">
        <v>1</v>
      </c>
      <c r="O202" t="str">
        <f t="shared" si="3"/>
        <v>One-time</v>
      </c>
      <c r="Q202">
        <v>3521</v>
      </c>
      <c r="R202">
        <v>1</v>
      </c>
      <c r="S202" t="s">
        <v>64</v>
      </c>
    </row>
    <row r="203" spans="13:19" x14ac:dyDescent="0.25">
      <c r="M203" s="5">
        <v>3522</v>
      </c>
      <c r="N203">
        <v>1</v>
      </c>
      <c r="O203" t="str">
        <f t="shared" si="3"/>
        <v>One-time</v>
      </c>
      <c r="Q203">
        <v>3522</v>
      </c>
      <c r="R203">
        <v>1</v>
      </c>
      <c r="S203" t="s">
        <v>64</v>
      </c>
    </row>
    <row r="204" spans="13:19" x14ac:dyDescent="0.25">
      <c r="M204" s="5">
        <v>3524</v>
      </c>
      <c r="N204">
        <v>1</v>
      </c>
      <c r="O204" t="str">
        <f t="shared" si="3"/>
        <v>One-time</v>
      </c>
      <c r="Q204">
        <v>3524</v>
      </c>
      <c r="R204">
        <v>1</v>
      </c>
      <c r="S204" t="s">
        <v>64</v>
      </c>
    </row>
    <row r="205" spans="13:19" x14ac:dyDescent="0.25">
      <c r="M205" s="5">
        <v>3527</v>
      </c>
      <c r="N205">
        <v>1</v>
      </c>
      <c r="O205" t="str">
        <f t="shared" si="3"/>
        <v>One-time</v>
      </c>
      <c r="Q205">
        <v>3527</v>
      </c>
      <c r="R205">
        <v>1</v>
      </c>
      <c r="S205" t="s">
        <v>64</v>
      </c>
    </row>
    <row r="206" spans="13:19" x14ac:dyDescent="0.25">
      <c r="M206" s="5">
        <v>3529</v>
      </c>
      <c r="N206">
        <v>1</v>
      </c>
      <c r="O206" t="str">
        <f t="shared" si="3"/>
        <v>One-time</v>
      </c>
      <c r="Q206">
        <v>3529</v>
      </c>
      <c r="R206">
        <v>1</v>
      </c>
      <c r="S206" t="s">
        <v>64</v>
      </c>
    </row>
    <row r="207" spans="13:19" x14ac:dyDescent="0.25">
      <c r="M207" s="5">
        <v>3533</v>
      </c>
      <c r="N207">
        <v>1</v>
      </c>
      <c r="O207" t="str">
        <f t="shared" si="3"/>
        <v>One-time</v>
      </c>
      <c r="Q207">
        <v>3533</v>
      </c>
      <c r="R207">
        <v>1</v>
      </c>
      <c r="S207" t="s">
        <v>64</v>
      </c>
    </row>
    <row r="208" spans="13:19" x14ac:dyDescent="0.25">
      <c r="M208" s="5">
        <v>3535</v>
      </c>
      <c r="N208">
        <v>1</v>
      </c>
      <c r="O208" t="str">
        <f t="shared" si="3"/>
        <v>One-time</v>
      </c>
      <c r="Q208">
        <v>3535</v>
      </c>
      <c r="R208">
        <v>1</v>
      </c>
      <c r="S208" t="s">
        <v>64</v>
      </c>
    </row>
    <row r="209" spans="13:19" x14ac:dyDescent="0.25">
      <c r="M209" s="5">
        <v>3536</v>
      </c>
      <c r="N209">
        <v>1</v>
      </c>
      <c r="O209" t="str">
        <f t="shared" si="3"/>
        <v>One-time</v>
      </c>
      <c r="Q209">
        <v>3536</v>
      </c>
      <c r="R209">
        <v>1</v>
      </c>
      <c r="S209" t="s">
        <v>64</v>
      </c>
    </row>
    <row r="210" spans="13:19" x14ac:dyDescent="0.25">
      <c r="M210" s="5">
        <v>3537</v>
      </c>
      <c r="N210">
        <v>1</v>
      </c>
      <c r="O210" t="str">
        <f t="shared" si="3"/>
        <v>One-time</v>
      </c>
      <c r="Q210">
        <v>3537</v>
      </c>
      <c r="R210">
        <v>1</v>
      </c>
      <c r="S210" t="s">
        <v>64</v>
      </c>
    </row>
    <row r="211" spans="13:19" x14ac:dyDescent="0.25">
      <c r="M211" s="5">
        <v>3539</v>
      </c>
      <c r="N211">
        <v>1</v>
      </c>
      <c r="O211" t="str">
        <f t="shared" si="3"/>
        <v>One-time</v>
      </c>
      <c r="Q211">
        <v>3539</v>
      </c>
      <c r="R211">
        <v>1</v>
      </c>
      <c r="S211" t="s">
        <v>64</v>
      </c>
    </row>
    <row r="212" spans="13:19" x14ac:dyDescent="0.25">
      <c r="M212" s="5">
        <v>3545</v>
      </c>
      <c r="N212">
        <v>2</v>
      </c>
      <c r="O212" t="str">
        <f t="shared" si="3"/>
        <v>Repeat</v>
      </c>
      <c r="Q212">
        <v>3545</v>
      </c>
      <c r="R212">
        <v>2</v>
      </c>
      <c r="S212" t="s">
        <v>65</v>
      </c>
    </row>
    <row r="213" spans="13:19" x14ac:dyDescent="0.25">
      <c r="M213" s="5">
        <v>3546</v>
      </c>
      <c r="N213">
        <v>1</v>
      </c>
      <c r="O213" t="str">
        <f t="shared" si="3"/>
        <v>One-time</v>
      </c>
      <c r="Q213">
        <v>3546</v>
      </c>
      <c r="R213">
        <v>1</v>
      </c>
      <c r="S213" t="s">
        <v>64</v>
      </c>
    </row>
    <row r="214" spans="13:19" x14ac:dyDescent="0.25">
      <c r="M214" s="5">
        <v>3548</v>
      </c>
      <c r="N214">
        <v>1</v>
      </c>
      <c r="O214" t="str">
        <f t="shared" si="3"/>
        <v>One-time</v>
      </c>
      <c r="Q214">
        <v>3548</v>
      </c>
      <c r="R214">
        <v>1</v>
      </c>
      <c r="S214" t="s">
        <v>64</v>
      </c>
    </row>
    <row r="215" spans="13:19" x14ac:dyDescent="0.25">
      <c r="M215" s="5">
        <v>3549</v>
      </c>
      <c r="N215">
        <v>1</v>
      </c>
      <c r="O215" t="str">
        <f t="shared" si="3"/>
        <v>One-time</v>
      </c>
      <c r="Q215">
        <v>3549</v>
      </c>
      <c r="R215">
        <v>1</v>
      </c>
      <c r="S215" t="s">
        <v>64</v>
      </c>
    </row>
    <row r="216" spans="13:19" x14ac:dyDescent="0.25">
      <c r="M216" s="5">
        <v>3550</v>
      </c>
      <c r="N216">
        <v>1</v>
      </c>
      <c r="O216" t="str">
        <f t="shared" si="3"/>
        <v>One-time</v>
      </c>
      <c r="Q216">
        <v>3550</v>
      </c>
      <c r="R216">
        <v>1</v>
      </c>
      <c r="S216" t="s">
        <v>64</v>
      </c>
    </row>
    <row r="217" spans="13:19" x14ac:dyDescent="0.25">
      <c r="M217" s="5">
        <v>3554</v>
      </c>
      <c r="N217">
        <v>1</v>
      </c>
      <c r="O217" t="str">
        <f t="shared" si="3"/>
        <v>One-time</v>
      </c>
      <c r="Q217">
        <v>3554</v>
      </c>
      <c r="R217">
        <v>1</v>
      </c>
      <c r="S217" t="s">
        <v>64</v>
      </c>
    </row>
    <row r="218" spans="13:19" x14ac:dyDescent="0.25">
      <c r="M218" s="5">
        <v>3555</v>
      </c>
      <c r="N218">
        <v>2</v>
      </c>
      <c r="O218" t="str">
        <f t="shared" si="3"/>
        <v>Repeat</v>
      </c>
      <c r="Q218">
        <v>3555</v>
      </c>
      <c r="R218">
        <v>2</v>
      </c>
      <c r="S218" t="s">
        <v>65</v>
      </c>
    </row>
    <row r="219" spans="13:19" x14ac:dyDescent="0.25">
      <c r="M219" s="5">
        <v>3559</v>
      </c>
      <c r="N219">
        <v>1</v>
      </c>
      <c r="O219" t="str">
        <f t="shared" si="3"/>
        <v>One-time</v>
      </c>
      <c r="Q219">
        <v>3559</v>
      </c>
      <c r="R219">
        <v>1</v>
      </c>
      <c r="S219" t="s">
        <v>64</v>
      </c>
    </row>
    <row r="220" spans="13:19" x14ac:dyDescent="0.25">
      <c r="M220" s="5">
        <v>3560</v>
      </c>
      <c r="N220">
        <v>1</v>
      </c>
      <c r="O220" t="str">
        <f t="shared" si="3"/>
        <v>One-time</v>
      </c>
      <c r="Q220">
        <v>3560</v>
      </c>
      <c r="R220">
        <v>1</v>
      </c>
      <c r="S220" t="s">
        <v>64</v>
      </c>
    </row>
    <row r="221" spans="13:19" x14ac:dyDescent="0.25">
      <c r="M221" s="5">
        <v>3561</v>
      </c>
      <c r="N221">
        <v>1</v>
      </c>
      <c r="O221" t="str">
        <f t="shared" si="3"/>
        <v>One-time</v>
      </c>
      <c r="Q221">
        <v>3561</v>
      </c>
      <c r="R221">
        <v>1</v>
      </c>
      <c r="S221" t="s">
        <v>64</v>
      </c>
    </row>
    <row r="222" spans="13:19" x14ac:dyDescent="0.25">
      <c r="M222" s="5">
        <v>3566</v>
      </c>
      <c r="N222">
        <v>2</v>
      </c>
      <c r="O222" t="str">
        <f t="shared" si="3"/>
        <v>Repeat</v>
      </c>
      <c r="Q222">
        <v>3566</v>
      </c>
      <c r="R222">
        <v>2</v>
      </c>
      <c r="S222" t="s">
        <v>65</v>
      </c>
    </row>
    <row r="223" spans="13:19" x14ac:dyDescent="0.25">
      <c r="M223" s="5">
        <v>3573</v>
      </c>
      <c r="N223">
        <v>1</v>
      </c>
      <c r="O223" t="str">
        <f t="shared" si="3"/>
        <v>One-time</v>
      </c>
      <c r="Q223">
        <v>3573</v>
      </c>
      <c r="R223">
        <v>1</v>
      </c>
      <c r="S223" t="s">
        <v>64</v>
      </c>
    </row>
    <row r="224" spans="13:19" x14ac:dyDescent="0.25">
      <c r="M224" s="5">
        <v>3574</v>
      </c>
      <c r="N224">
        <v>1</v>
      </c>
      <c r="O224" t="str">
        <f t="shared" si="3"/>
        <v>One-time</v>
      </c>
      <c r="Q224">
        <v>3574</v>
      </c>
      <c r="R224">
        <v>1</v>
      </c>
      <c r="S224" t="s">
        <v>64</v>
      </c>
    </row>
    <row r="225" spans="13:19" x14ac:dyDescent="0.25">
      <c r="M225" s="5">
        <v>3575</v>
      </c>
      <c r="N225">
        <v>1</v>
      </c>
      <c r="O225" t="str">
        <f t="shared" si="3"/>
        <v>One-time</v>
      </c>
      <c r="Q225">
        <v>3575</v>
      </c>
      <c r="R225">
        <v>1</v>
      </c>
      <c r="S225" t="s">
        <v>64</v>
      </c>
    </row>
    <row r="226" spans="13:19" x14ac:dyDescent="0.25">
      <c r="M226" s="5">
        <v>3576</v>
      </c>
      <c r="N226">
        <v>1</v>
      </c>
      <c r="O226" t="str">
        <f t="shared" si="3"/>
        <v>One-time</v>
      </c>
      <c r="Q226">
        <v>3576</v>
      </c>
      <c r="R226">
        <v>1</v>
      </c>
      <c r="S226" t="s">
        <v>64</v>
      </c>
    </row>
    <row r="227" spans="13:19" x14ac:dyDescent="0.25">
      <c r="M227" s="5">
        <v>3579</v>
      </c>
      <c r="N227">
        <v>3</v>
      </c>
      <c r="O227" t="str">
        <f t="shared" si="3"/>
        <v>Repeat</v>
      </c>
      <c r="Q227">
        <v>3579</v>
      </c>
      <c r="R227">
        <v>3</v>
      </c>
      <c r="S227" t="s">
        <v>65</v>
      </c>
    </row>
    <row r="228" spans="13:19" x14ac:dyDescent="0.25">
      <c r="M228" s="5">
        <v>3583</v>
      </c>
      <c r="N228">
        <v>1</v>
      </c>
      <c r="O228" t="str">
        <f t="shared" si="3"/>
        <v>One-time</v>
      </c>
      <c r="Q228">
        <v>3583</v>
      </c>
      <c r="R228">
        <v>1</v>
      </c>
      <c r="S228" t="s">
        <v>64</v>
      </c>
    </row>
    <row r="229" spans="13:19" x14ac:dyDescent="0.25">
      <c r="M229" s="5">
        <v>3584</v>
      </c>
      <c r="N229">
        <v>2</v>
      </c>
      <c r="O229" t="str">
        <f t="shared" si="3"/>
        <v>Repeat</v>
      </c>
      <c r="Q229">
        <v>3584</v>
      </c>
      <c r="R229">
        <v>2</v>
      </c>
      <c r="S229" t="s">
        <v>65</v>
      </c>
    </row>
    <row r="230" spans="13:19" x14ac:dyDescent="0.25">
      <c r="M230" s="5">
        <v>3588</v>
      </c>
      <c r="N230">
        <v>2</v>
      </c>
      <c r="O230" t="str">
        <f t="shared" si="3"/>
        <v>Repeat</v>
      </c>
      <c r="Q230">
        <v>3588</v>
      </c>
      <c r="R230">
        <v>2</v>
      </c>
      <c r="S230" t="s">
        <v>65</v>
      </c>
    </row>
    <row r="231" spans="13:19" x14ac:dyDescent="0.25">
      <c r="M231" s="5">
        <v>3589</v>
      </c>
      <c r="N231">
        <v>1</v>
      </c>
      <c r="O231" t="str">
        <f t="shared" si="3"/>
        <v>One-time</v>
      </c>
      <c r="Q231">
        <v>3589</v>
      </c>
      <c r="R231">
        <v>1</v>
      </c>
      <c r="S231" t="s">
        <v>64</v>
      </c>
    </row>
    <row r="232" spans="13:19" x14ac:dyDescent="0.25">
      <c r="M232" s="5">
        <v>3593</v>
      </c>
      <c r="N232">
        <v>1</v>
      </c>
      <c r="O232" t="str">
        <f t="shared" si="3"/>
        <v>One-time</v>
      </c>
      <c r="Q232">
        <v>3593</v>
      </c>
      <c r="R232">
        <v>1</v>
      </c>
      <c r="S232" t="s">
        <v>64</v>
      </c>
    </row>
    <row r="233" spans="13:19" x14ac:dyDescent="0.25">
      <c r="M233" s="5">
        <v>3599</v>
      </c>
      <c r="N233">
        <v>1</v>
      </c>
      <c r="O233" t="str">
        <f t="shared" si="3"/>
        <v>One-time</v>
      </c>
      <c r="Q233">
        <v>3599</v>
      </c>
      <c r="R233">
        <v>1</v>
      </c>
      <c r="S233" t="s">
        <v>64</v>
      </c>
    </row>
    <row r="234" spans="13:19" x14ac:dyDescent="0.25">
      <c r="M234" s="5">
        <v>3604</v>
      </c>
      <c r="N234">
        <v>1</v>
      </c>
      <c r="O234" t="str">
        <f t="shared" si="3"/>
        <v>One-time</v>
      </c>
      <c r="Q234">
        <v>3604</v>
      </c>
      <c r="R234">
        <v>1</v>
      </c>
      <c r="S234" t="s">
        <v>64</v>
      </c>
    </row>
    <row r="235" spans="13:19" x14ac:dyDescent="0.25">
      <c r="M235" s="5">
        <v>3605</v>
      </c>
      <c r="N235">
        <v>2</v>
      </c>
      <c r="O235" t="str">
        <f t="shared" si="3"/>
        <v>Repeat</v>
      </c>
      <c r="Q235">
        <v>3605</v>
      </c>
      <c r="R235">
        <v>2</v>
      </c>
      <c r="S235" t="s">
        <v>65</v>
      </c>
    </row>
    <row r="236" spans="13:19" x14ac:dyDescent="0.25">
      <c r="M236" s="5">
        <v>3606</v>
      </c>
      <c r="N236">
        <v>1</v>
      </c>
      <c r="O236" t="str">
        <f t="shared" si="3"/>
        <v>One-time</v>
      </c>
      <c r="Q236">
        <v>3606</v>
      </c>
      <c r="R236">
        <v>1</v>
      </c>
      <c r="S236" t="s">
        <v>64</v>
      </c>
    </row>
    <row r="237" spans="13:19" x14ac:dyDescent="0.25">
      <c r="M237" s="5">
        <v>3607</v>
      </c>
      <c r="N237">
        <v>1</v>
      </c>
      <c r="O237" t="str">
        <f t="shared" si="3"/>
        <v>One-time</v>
      </c>
      <c r="Q237">
        <v>3607</v>
      </c>
      <c r="R237">
        <v>1</v>
      </c>
      <c r="S237" t="s">
        <v>64</v>
      </c>
    </row>
    <row r="238" spans="13:19" x14ac:dyDescent="0.25">
      <c r="M238" s="5">
        <v>3608</v>
      </c>
      <c r="N238">
        <v>1</v>
      </c>
      <c r="O238" t="str">
        <f t="shared" si="3"/>
        <v>One-time</v>
      </c>
      <c r="Q238">
        <v>3608</v>
      </c>
      <c r="R238">
        <v>1</v>
      </c>
      <c r="S238" t="s">
        <v>64</v>
      </c>
    </row>
    <row r="239" spans="13:19" x14ac:dyDescent="0.25">
      <c r="M239" s="5">
        <v>3612</v>
      </c>
      <c r="N239">
        <v>1</v>
      </c>
      <c r="O239" t="str">
        <f t="shared" si="3"/>
        <v>One-time</v>
      </c>
      <c r="Q239">
        <v>3612</v>
      </c>
      <c r="R239">
        <v>1</v>
      </c>
      <c r="S239" t="s">
        <v>64</v>
      </c>
    </row>
    <row r="240" spans="13:19" x14ac:dyDescent="0.25">
      <c r="M240" s="5">
        <v>3615</v>
      </c>
      <c r="N240">
        <v>1</v>
      </c>
      <c r="O240" t="str">
        <f t="shared" si="3"/>
        <v>One-time</v>
      </c>
      <c r="Q240">
        <v>3615</v>
      </c>
      <c r="R240">
        <v>1</v>
      </c>
      <c r="S240" t="s">
        <v>64</v>
      </c>
    </row>
    <row r="241" spans="13:19" x14ac:dyDescent="0.25">
      <c r="M241" s="5">
        <v>3617</v>
      </c>
      <c r="N241">
        <v>1</v>
      </c>
      <c r="O241" t="str">
        <f t="shared" si="3"/>
        <v>One-time</v>
      </c>
      <c r="Q241">
        <v>3617</v>
      </c>
      <c r="R241">
        <v>1</v>
      </c>
      <c r="S241" t="s">
        <v>64</v>
      </c>
    </row>
    <row r="242" spans="13:19" x14ac:dyDescent="0.25">
      <c r="M242" s="5">
        <v>3622</v>
      </c>
      <c r="N242">
        <v>2</v>
      </c>
      <c r="O242" t="str">
        <f t="shared" si="3"/>
        <v>Repeat</v>
      </c>
      <c r="Q242">
        <v>3622</v>
      </c>
      <c r="R242">
        <v>2</v>
      </c>
      <c r="S242" t="s">
        <v>65</v>
      </c>
    </row>
    <row r="243" spans="13:19" x14ac:dyDescent="0.25">
      <c r="M243" s="5">
        <v>3628</v>
      </c>
      <c r="N243">
        <v>1</v>
      </c>
      <c r="O243" t="str">
        <f t="shared" si="3"/>
        <v>One-time</v>
      </c>
      <c r="Q243">
        <v>3628</v>
      </c>
      <c r="R243">
        <v>1</v>
      </c>
      <c r="S243" t="s">
        <v>64</v>
      </c>
    </row>
    <row r="244" spans="13:19" x14ac:dyDescent="0.25">
      <c r="M244" s="5">
        <v>3629</v>
      </c>
      <c r="N244">
        <v>1</v>
      </c>
      <c r="O244" t="str">
        <f t="shared" si="3"/>
        <v>One-time</v>
      </c>
      <c r="Q244">
        <v>3629</v>
      </c>
      <c r="R244">
        <v>1</v>
      </c>
      <c r="S244" t="s">
        <v>64</v>
      </c>
    </row>
    <row r="245" spans="13:19" x14ac:dyDescent="0.25">
      <c r="M245" s="5">
        <v>3631</v>
      </c>
      <c r="N245">
        <v>1</v>
      </c>
      <c r="O245" t="str">
        <f t="shared" si="3"/>
        <v>One-time</v>
      </c>
      <c r="Q245">
        <v>3631</v>
      </c>
      <c r="R245">
        <v>1</v>
      </c>
      <c r="S245" t="s">
        <v>64</v>
      </c>
    </row>
    <row r="246" spans="13:19" x14ac:dyDescent="0.25">
      <c r="M246" s="5">
        <v>3633</v>
      </c>
      <c r="N246">
        <v>1</v>
      </c>
      <c r="O246" t="str">
        <f t="shared" si="3"/>
        <v>One-time</v>
      </c>
      <c r="Q246">
        <v>3633</v>
      </c>
      <c r="R246">
        <v>1</v>
      </c>
      <c r="S246" t="s">
        <v>64</v>
      </c>
    </row>
    <row r="247" spans="13:19" x14ac:dyDescent="0.25">
      <c r="M247" s="5">
        <v>3634</v>
      </c>
      <c r="N247">
        <v>1</v>
      </c>
      <c r="O247" t="str">
        <f t="shared" si="3"/>
        <v>One-time</v>
      </c>
      <c r="Q247">
        <v>3634</v>
      </c>
      <c r="R247">
        <v>1</v>
      </c>
      <c r="S247" t="s">
        <v>64</v>
      </c>
    </row>
    <row r="248" spans="13:19" x14ac:dyDescent="0.25">
      <c r="M248" s="5">
        <v>3636</v>
      </c>
      <c r="N248">
        <v>1</v>
      </c>
      <c r="O248" t="str">
        <f t="shared" si="3"/>
        <v>One-time</v>
      </c>
      <c r="Q248">
        <v>3636</v>
      </c>
      <c r="R248">
        <v>1</v>
      </c>
      <c r="S248" t="s">
        <v>64</v>
      </c>
    </row>
    <row r="249" spans="13:19" x14ac:dyDescent="0.25">
      <c r="M249" s="5">
        <v>3637</v>
      </c>
      <c r="N249">
        <v>1</v>
      </c>
      <c r="O249" t="str">
        <f t="shared" si="3"/>
        <v>One-time</v>
      </c>
      <c r="Q249">
        <v>3637</v>
      </c>
      <c r="R249">
        <v>1</v>
      </c>
      <c r="S249" t="s">
        <v>64</v>
      </c>
    </row>
    <row r="250" spans="13:19" x14ac:dyDescent="0.25">
      <c r="M250" s="5">
        <v>3638</v>
      </c>
      <c r="N250">
        <v>1</v>
      </c>
      <c r="O250" t="str">
        <f t="shared" si="3"/>
        <v>One-time</v>
      </c>
      <c r="Q250">
        <v>3638</v>
      </c>
      <c r="R250">
        <v>1</v>
      </c>
      <c r="S250" t="s">
        <v>64</v>
      </c>
    </row>
    <row r="251" spans="13:19" x14ac:dyDescent="0.25">
      <c r="M251" s="5">
        <v>3639</v>
      </c>
      <c r="N251">
        <v>1</v>
      </c>
      <c r="O251" t="str">
        <f t="shared" si="3"/>
        <v>One-time</v>
      </c>
      <c r="Q251">
        <v>3639</v>
      </c>
      <c r="R251">
        <v>1</v>
      </c>
      <c r="S251" t="s">
        <v>64</v>
      </c>
    </row>
    <row r="252" spans="13:19" x14ac:dyDescent="0.25">
      <c r="M252" s="5">
        <v>3640</v>
      </c>
      <c r="N252">
        <v>1</v>
      </c>
      <c r="O252" t="str">
        <f t="shared" si="3"/>
        <v>One-time</v>
      </c>
      <c r="Q252">
        <v>3640</v>
      </c>
      <c r="R252">
        <v>1</v>
      </c>
      <c r="S252" t="s">
        <v>64</v>
      </c>
    </row>
    <row r="253" spans="13:19" x14ac:dyDescent="0.25">
      <c r="M253" s="5">
        <v>3645</v>
      </c>
      <c r="N253">
        <v>2</v>
      </c>
      <c r="O253" t="str">
        <f t="shared" si="3"/>
        <v>Repeat</v>
      </c>
      <c r="Q253">
        <v>3645</v>
      </c>
      <c r="R253">
        <v>2</v>
      </c>
      <c r="S253" t="s">
        <v>65</v>
      </c>
    </row>
    <row r="254" spans="13:19" x14ac:dyDescent="0.25">
      <c r="M254" s="5">
        <v>3646</v>
      </c>
      <c r="N254">
        <v>1</v>
      </c>
      <c r="O254" t="str">
        <f t="shared" si="3"/>
        <v>One-time</v>
      </c>
      <c r="Q254">
        <v>3646</v>
      </c>
      <c r="R254">
        <v>1</v>
      </c>
      <c r="S254" t="s">
        <v>64</v>
      </c>
    </row>
    <row r="255" spans="13:19" x14ac:dyDescent="0.25">
      <c r="M255" s="5">
        <v>3647</v>
      </c>
      <c r="N255">
        <v>2</v>
      </c>
      <c r="O255" t="str">
        <f t="shared" si="3"/>
        <v>Repeat</v>
      </c>
      <c r="Q255">
        <v>3647</v>
      </c>
      <c r="R255">
        <v>2</v>
      </c>
      <c r="S255" t="s">
        <v>65</v>
      </c>
    </row>
    <row r="256" spans="13:19" x14ac:dyDescent="0.25">
      <c r="M256" s="5">
        <v>3648</v>
      </c>
      <c r="N256">
        <v>1</v>
      </c>
      <c r="O256" t="str">
        <f t="shared" si="3"/>
        <v>One-time</v>
      </c>
      <c r="Q256">
        <v>3648</v>
      </c>
      <c r="R256">
        <v>1</v>
      </c>
      <c r="S256" t="s">
        <v>64</v>
      </c>
    </row>
    <row r="257" spans="13:19" x14ac:dyDescent="0.25">
      <c r="M257" s="5">
        <v>3654</v>
      </c>
      <c r="N257">
        <v>1</v>
      </c>
      <c r="O257" t="str">
        <f t="shared" si="3"/>
        <v>One-time</v>
      </c>
      <c r="Q257">
        <v>3654</v>
      </c>
      <c r="R257">
        <v>1</v>
      </c>
      <c r="S257" t="s">
        <v>64</v>
      </c>
    </row>
    <row r="258" spans="13:19" x14ac:dyDescent="0.25">
      <c r="M258" s="5">
        <v>3661</v>
      </c>
      <c r="N258">
        <v>4</v>
      </c>
      <c r="O258" t="str">
        <f t="shared" si="3"/>
        <v>Loyal</v>
      </c>
      <c r="Q258">
        <v>3661</v>
      </c>
      <c r="R258">
        <v>4</v>
      </c>
      <c r="S258" t="s">
        <v>66</v>
      </c>
    </row>
    <row r="259" spans="13:19" x14ac:dyDescent="0.25">
      <c r="M259" s="5">
        <v>3665</v>
      </c>
      <c r="N259">
        <v>1</v>
      </c>
      <c r="O259" t="str">
        <f t="shared" si="3"/>
        <v>One-time</v>
      </c>
      <c r="Q259">
        <v>3665</v>
      </c>
      <c r="R259">
        <v>1</v>
      </c>
      <c r="S259" t="s">
        <v>64</v>
      </c>
    </row>
    <row r="260" spans="13:19" x14ac:dyDescent="0.25">
      <c r="M260" s="5">
        <v>3670</v>
      </c>
      <c r="N260">
        <v>1</v>
      </c>
      <c r="O260" t="str">
        <f t="shared" ref="O260:O323" si="4">IF(GETPIVOTDATA("Order_ID",$M$2, "Customer_ID",M260)=1, "One-time", IF(GETPIVOTDATA("Order_ID",$M$2, "Customer_ID",M260)&lt;=3, "Repeat", "Loyal"))</f>
        <v>One-time</v>
      </c>
      <c r="Q260">
        <v>3670</v>
      </c>
      <c r="R260">
        <v>1</v>
      </c>
      <c r="S260" t="s">
        <v>64</v>
      </c>
    </row>
    <row r="261" spans="13:19" x14ac:dyDescent="0.25">
      <c r="M261" s="5">
        <v>3672</v>
      </c>
      <c r="N261">
        <v>1</v>
      </c>
      <c r="O261" t="str">
        <f t="shared" si="4"/>
        <v>One-time</v>
      </c>
      <c r="Q261">
        <v>3672</v>
      </c>
      <c r="R261">
        <v>1</v>
      </c>
      <c r="S261" t="s">
        <v>64</v>
      </c>
    </row>
    <row r="262" spans="13:19" x14ac:dyDescent="0.25">
      <c r="M262" s="5">
        <v>3675</v>
      </c>
      <c r="N262">
        <v>1</v>
      </c>
      <c r="O262" t="str">
        <f t="shared" si="4"/>
        <v>One-time</v>
      </c>
      <c r="Q262">
        <v>3675</v>
      </c>
      <c r="R262">
        <v>1</v>
      </c>
      <c r="S262" t="s">
        <v>64</v>
      </c>
    </row>
    <row r="263" spans="13:19" x14ac:dyDescent="0.25">
      <c r="M263" s="5">
        <v>3678</v>
      </c>
      <c r="N263">
        <v>1</v>
      </c>
      <c r="O263" t="str">
        <f t="shared" si="4"/>
        <v>One-time</v>
      </c>
      <c r="Q263">
        <v>3678</v>
      </c>
      <c r="R263">
        <v>1</v>
      </c>
      <c r="S263" t="s">
        <v>64</v>
      </c>
    </row>
    <row r="264" spans="13:19" x14ac:dyDescent="0.25">
      <c r="M264" s="5">
        <v>3683</v>
      </c>
      <c r="N264">
        <v>1</v>
      </c>
      <c r="O264" t="str">
        <f t="shared" si="4"/>
        <v>One-time</v>
      </c>
      <c r="Q264">
        <v>3683</v>
      </c>
      <c r="R264">
        <v>1</v>
      </c>
      <c r="S264" t="s">
        <v>64</v>
      </c>
    </row>
    <row r="265" spans="13:19" x14ac:dyDescent="0.25">
      <c r="M265" s="5">
        <v>3687</v>
      </c>
      <c r="N265">
        <v>1</v>
      </c>
      <c r="O265" t="str">
        <f t="shared" si="4"/>
        <v>One-time</v>
      </c>
      <c r="Q265">
        <v>3687</v>
      </c>
      <c r="R265">
        <v>1</v>
      </c>
      <c r="S265" t="s">
        <v>64</v>
      </c>
    </row>
    <row r="266" spans="13:19" x14ac:dyDescent="0.25">
      <c r="M266" s="5">
        <v>3688</v>
      </c>
      <c r="N266">
        <v>2</v>
      </c>
      <c r="O266" t="str">
        <f t="shared" si="4"/>
        <v>Repeat</v>
      </c>
      <c r="Q266">
        <v>3688</v>
      </c>
      <c r="R266">
        <v>2</v>
      </c>
      <c r="S266" t="s">
        <v>65</v>
      </c>
    </row>
    <row r="267" spans="13:19" x14ac:dyDescent="0.25">
      <c r="M267" s="5">
        <v>3689</v>
      </c>
      <c r="N267">
        <v>1</v>
      </c>
      <c r="O267" t="str">
        <f t="shared" si="4"/>
        <v>One-time</v>
      </c>
      <c r="Q267">
        <v>3689</v>
      </c>
      <c r="R267">
        <v>1</v>
      </c>
      <c r="S267" t="s">
        <v>64</v>
      </c>
    </row>
    <row r="268" spans="13:19" x14ac:dyDescent="0.25">
      <c r="M268" s="5">
        <v>3690</v>
      </c>
      <c r="N268">
        <v>1</v>
      </c>
      <c r="O268" t="str">
        <f t="shared" si="4"/>
        <v>One-time</v>
      </c>
      <c r="Q268">
        <v>3690</v>
      </c>
      <c r="R268">
        <v>1</v>
      </c>
      <c r="S268" t="s">
        <v>64</v>
      </c>
    </row>
    <row r="269" spans="13:19" x14ac:dyDescent="0.25">
      <c r="M269" s="5">
        <v>3692</v>
      </c>
      <c r="N269">
        <v>1</v>
      </c>
      <c r="O269" t="str">
        <f t="shared" si="4"/>
        <v>One-time</v>
      </c>
      <c r="Q269">
        <v>3692</v>
      </c>
      <c r="R269">
        <v>1</v>
      </c>
      <c r="S269" t="s">
        <v>64</v>
      </c>
    </row>
    <row r="270" spans="13:19" x14ac:dyDescent="0.25">
      <c r="M270" s="5">
        <v>3695</v>
      </c>
      <c r="N270">
        <v>1</v>
      </c>
      <c r="O270" t="str">
        <f t="shared" si="4"/>
        <v>One-time</v>
      </c>
      <c r="Q270">
        <v>3695</v>
      </c>
      <c r="R270">
        <v>1</v>
      </c>
      <c r="S270" t="s">
        <v>64</v>
      </c>
    </row>
    <row r="271" spans="13:19" x14ac:dyDescent="0.25">
      <c r="M271" s="5">
        <v>3697</v>
      </c>
      <c r="N271">
        <v>1</v>
      </c>
      <c r="O271" t="str">
        <f t="shared" si="4"/>
        <v>One-time</v>
      </c>
      <c r="Q271">
        <v>3697</v>
      </c>
      <c r="R271">
        <v>1</v>
      </c>
      <c r="S271" t="s">
        <v>64</v>
      </c>
    </row>
    <row r="272" spans="13:19" x14ac:dyDescent="0.25">
      <c r="M272" s="5">
        <v>3698</v>
      </c>
      <c r="N272">
        <v>1</v>
      </c>
      <c r="O272" t="str">
        <f t="shared" si="4"/>
        <v>One-time</v>
      </c>
      <c r="Q272">
        <v>3698</v>
      </c>
      <c r="R272">
        <v>1</v>
      </c>
      <c r="S272" t="s">
        <v>64</v>
      </c>
    </row>
    <row r="273" spans="13:19" x14ac:dyDescent="0.25">
      <c r="M273" s="5">
        <v>3703</v>
      </c>
      <c r="N273">
        <v>1</v>
      </c>
      <c r="O273" t="str">
        <f t="shared" si="4"/>
        <v>One-time</v>
      </c>
      <c r="Q273">
        <v>3703</v>
      </c>
      <c r="R273">
        <v>1</v>
      </c>
      <c r="S273" t="s">
        <v>64</v>
      </c>
    </row>
    <row r="274" spans="13:19" x14ac:dyDescent="0.25">
      <c r="M274" s="5">
        <v>3704</v>
      </c>
      <c r="N274">
        <v>1</v>
      </c>
      <c r="O274" t="str">
        <f t="shared" si="4"/>
        <v>One-time</v>
      </c>
      <c r="Q274">
        <v>3704</v>
      </c>
      <c r="R274">
        <v>1</v>
      </c>
      <c r="S274" t="s">
        <v>64</v>
      </c>
    </row>
    <row r="275" spans="13:19" x14ac:dyDescent="0.25">
      <c r="M275" s="5">
        <v>3710</v>
      </c>
      <c r="N275">
        <v>1</v>
      </c>
      <c r="O275" t="str">
        <f t="shared" si="4"/>
        <v>One-time</v>
      </c>
      <c r="Q275">
        <v>3710</v>
      </c>
      <c r="R275">
        <v>1</v>
      </c>
      <c r="S275" t="s">
        <v>64</v>
      </c>
    </row>
    <row r="276" spans="13:19" x14ac:dyDescent="0.25">
      <c r="M276" s="5">
        <v>3711</v>
      </c>
      <c r="N276">
        <v>2</v>
      </c>
      <c r="O276" t="str">
        <f t="shared" si="4"/>
        <v>Repeat</v>
      </c>
      <c r="Q276">
        <v>3711</v>
      </c>
      <c r="R276">
        <v>2</v>
      </c>
      <c r="S276" t="s">
        <v>65</v>
      </c>
    </row>
    <row r="277" spans="13:19" x14ac:dyDescent="0.25">
      <c r="M277" s="5">
        <v>3715</v>
      </c>
      <c r="N277">
        <v>1</v>
      </c>
      <c r="O277" t="str">
        <f t="shared" si="4"/>
        <v>One-time</v>
      </c>
      <c r="Q277">
        <v>3715</v>
      </c>
      <c r="R277">
        <v>1</v>
      </c>
      <c r="S277" t="s">
        <v>64</v>
      </c>
    </row>
    <row r="278" spans="13:19" x14ac:dyDescent="0.25">
      <c r="M278" s="5">
        <v>3717</v>
      </c>
      <c r="N278">
        <v>1</v>
      </c>
      <c r="O278" t="str">
        <f t="shared" si="4"/>
        <v>One-time</v>
      </c>
      <c r="Q278">
        <v>3717</v>
      </c>
      <c r="R278">
        <v>1</v>
      </c>
      <c r="S278" t="s">
        <v>64</v>
      </c>
    </row>
    <row r="279" spans="13:19" x14ac:dyDescent="0.25">
      <c r="M279" s="5">
        <v>3719</v>
      </c>
      <c r="N279">
        <v>2</v>
      </c>
      <c r="O279" t="str">
        <f t="shared" si="4"/>
        <v>Repeat</v>
      </c>
      <c r="Q279">
        <v>3719</v>
      </c>
      <c r="R279">
        <v>2</v>
      </c>
      <c r="S279" t="s">
        <v>65</v>
      </c>
    </row>
    <row r="280" spans="13:19" x14ac:dyDescent="0.25">
      <c r="M280" s="5">
        <v>3721</v>
      </c>
      <c r="N280">
        <v>1</v>
      </c>
      <c r="O280" t="str">
        <f t="shared" si="4"/>
        <v>One-time</v>
      </c>
      <c r="Q280">
        <v>3721</v>
      </c>
      <c r="R280">
        <v>1</v>
      </c>
      <c r="S280" t="s">
        <v>64</v>
      </c>
    </row>
    <row r="281" spans="13:19" x14ac:dyDescent="0.25">
      <c r="M281" s="5">
        <v>3723</v>
      </c>
      <c r="N281">
        <v>1</v>
      </c>
      <c r="O281" t="str">
        <f t="shared" si="4"/>
        <v>One-time</v>
      </c>
      <c r="Q281">
        <v>3723</v>
      </c>
      <c r="R281">
        <v>1</v>
      </c>
      <c r="S281" t="s">
        <v>64</v>
      </c>
    </row>
    <row r="282" spans="13:19" x14ac:dyDescent="0.25">
      <c r="M282" s="5">
        <v>3726</v>
      </c>
      <c r="N282">
        <v>1</v>
      </c>
      <c r="O282" t="str">
        <f t="shared" si="4"/>
        <v>One-time</v>
      </c>
      <c r="Q282">
        <v>3726</v>
      </c>
      <c r="R282">
        <v>1</v>
      </c>
      <c r="S282" t="s">
        <v>64</v>
      </c>
    </row>
    <row r="283" spans="13:19" x14ac:dyDescent="0.25">
      <c r="M283" s="5">
        <v>3727</v>
      </c>
      <c r="N283">
        <v>1</v>
      </c>
      <c r="O283" t="str">
        <f t="shared" si="4"/>
        <v>One-time</v>
      </c>
      <c r="Q283">
        <v>3727</v>
      </c>
      <c r="R283">
        <v>1</v>
      </c>
      <c r="S283" t="s">
        <v>64</v>
      </c>
    </row>
    <row r="284" spans="13:19" x14ac:dyDescent="0.25">
      <c r="M284" s="5">
        <v>3730</v>
      </c>
      <c r="N284">
        <v>2</v>
      </c>
      <c r="O284" t="str">
        <f t="shared" si="4"/>
        <v>Repeat</v>
      </c>
      <c r="Q284">
        <v>3730</v>
      </c>
      <c r="R284">
        <v>2</v>
      </c>
      <c r="S284" t="s">
        <v>65</v>
      </c>
    </row>
    <row r="285" spans="13:19" x14ac:dyDescent="0.25">
      <c r="M285" s="5">
        <v>3735</v>
      </c>
      <c r="N285">
        <v>1</v>
      </c>
      <c r="O285" t="str">
        <f t="shared" si="4"/>
        <v>One-time</v>
      </c>
      <c r="Q285">
        <v>3735</v>
      </c>
      <c r="R285">
        <v>1</v>
      </c>
      <c r="S285" t="s">
        <v>64</v>
      </c>
    </row>
    <row r="286" spans="13:19" x14ac:dyDescent="0.25">
      <c r="M286" s="5">
        <v>3738</v>
      </c>
      <c r="N286">
        <v>1</v>
      </c>
      <c r="O286" t="str">
        <f t="shared" si="4"/>
        <v>One-time</v>
      </c>
      <c r="Q286">
        <v>3738</v>
      </c>
      <c r="R286">
        <v>1</v>
      </c>
      <c r="S286" t="s">
        <v>64</v>
      </c>
    </row>
    <row r="287" spans="13:19" x14ac:dyDescent="0.25">
      <c r="M287" s="5">
        <v>3741</v>
      </c>
      <c r="N287">
        <v>1</v>
      </c>
      <c r="O287" t="str">
        <f t="shared" si="4"/>
        <v>One-time</v>
      </c>
      <c r="Q287">
        <v>3741</v>
      </c>
      <c r="R287">
        <v>1</v>
      </c>
      <c r="S287" t="s">
        <v>64</v>
      </c>
    </row>
    <row r="288" spans="13:19" x14ac:dyDescent="0.25">
      <c r="M288" s="5">
        <v>3745</v>
      </c>
      <c r="N288">
        <v>2</v>
      </c>
      <c r="O288" t="str">
        <f t="shared" si="4"/>
        <v>Repeat</v>
      </c>
      <c r="Q288">
        <v>3745</v>
      </c>
      <c r="R288">
        <v>2</v>
      </c>
      <c r="S288" t="s">
        <v>65</v>
      </c>
    </row>
    <row r="289" spans="13:19" x14ac:dyDescent="0.25">
      <c r="M289" s="5">
        <v>3749</v>
      </c>
      <c r="N289">
        <v>1</v>
      </c>
      <c r="O289" t="str">
        <f t="shared" si="4"/>
        <v>One-time</v>
      </c>
      <c r="Q289">
        <v>3749</v>
      </c>
      <c r="R289">
        <v>1</v>
      </c>
      <c r="S289" t="s">
        <v>64</v>
      </c>
    </row>
    <row r="290" spans="13:19" x14ac:dyDescent="0.25">
      <c r="M290" s="5">
        <v>3753</v>
      </c>
      <c r="N290">
        <v>1</v>
      </c>
      <c r="O290" t="str">
        <f t="shared" si="4"/>
        <v>One-time</v>
      </c>
      <c r="Q290">
        <v>3753</v>
      </c>
      <c r="R290">
        <v>1</v>
      </c>
      <c r="S290" t="s">
        <v>64</v>
      </c>
    </row>
    <row r="291" spans="13:19" x14ac:dyDescent="0.25">
      <c r="M291" s="5">
        <v>3759</v>
      </c>
      <c r="N291">
        <v>2</v>
      </c>
      <c r="O291" t="str">
        <f t="shared" si="4"/>
        <v>Repeat</v>
      </c>
      <c r="Q291">
        <v>3759</v>
      </c>
      <c r="R291">
        <v>2</v>
      </c>
      <c r="S291" t="s">
        <v>65</v>
      </c>
    </row>
    <row r="292" spans="13:19" x14ac:dyDescent="0.25">
      <c r="M292" s="5">
        <v>3762</v>
      </c>
      <c r="N292">
        <v>2</v>
      </c>
      <c r="O292" t="str">
        <f t="shared" si="4"/>
        <v>Repeat</v>
      </c>
      <c r="Q292">
        <v>3762</v>
      </c>
      <c r="R292">
        <v>2</v>
      </c>
      <c r="S292" t="s">
        <v>65</v>
      </c>
    </row>
    <row r="293" spans="13:19" x14ac:dyDescent="0.25">
      <c r="M293" s="5">
        <v>3763</v>
      </c>
      <c r="N293">
        <v>2</v>
      </c>
      <c r="O293" t="str">
        <f t="shared" si="4"/>
        <v>Repeat</v>
      </c>
      <c r="Q293">
        <v>3763</v>
      </c>
      <c r="R293">
        <v>2</v>
      </c>
      <c r="S293" t="s">
        <v>65</v>
      </c>
    </row>
    <row r="294" spans="13:19" x14ac:dyDescent="0.25">
      <c r="M294" s="5">
        <v>3764</v>
      </c>
      <c r="N294">
        <v>2</v>
      </c>
      <c r="O294" t="str">
        <f t="shared" si="4"/>
        <v>Repeat</v>
      </c>
      <c r="Q294">
        <v>3764</v>
      </c>
      <c r="R294">
        <v>2</v>
      </c>
      <c r="S294" t="s">
        <v>65</v>
      </c>
    </row>
    <row r="295" spans="13:19" x14ac:dyDescent="0.25">
      <c r="M295" s="5">
        <v>3765</v>
      </c>
      <c r="N295">
        <v>1</v>
      </c>
      <c r="O295" t="str">
        <f t="shared" si="4"/>
        <v>One-time</v>
      </c>
      <c r="Q295">
        <v>3765</v>
      </c>
      <c r="R295">
        <v>1</v>
      </c>
      <c r="S295" t="s">
        <v>64</v>
      </c>
    </row>
    <row r="296" spans="13:19" x14ac:dyDescent="0.25">
      <c r="M296" s="5">
        <v>3766</v>
      </c>
      <c r="N296">
        <v>1</v>
      </c>
      <c r="O296" t="str">
        <f t="shared" si="4"/>
        <v>One-time</v>
      </c>
      <c r="Q296">
        <v>3766</v>
      </c>
      <c r="R296">
        <v>1</v>
      </c>
      <c r="S296" t="s">
        <v>64</v>
      </c>
    </row>
    <row r="297" spans="13:19" x14ac:dyDescent="0.25">
      <c r="M297" s="5">
        <v>3772</v>
      </c>
      <c r="N297">
        <v>1</v>
      </c>
      <c r="O297" t="str">
        <f t="shared" si="4"/>
        <v>One-time</v>
      </c>
      <c r="Q297">
        <v>3772</v>
      </c>
      <c r="R297">
        <v>1</v>
      </c>
      <c r="S297" t="s">
        <v>64</v>
      </c>
    </row>
    <row r="298" spans="13:19" x14ac:dyDescent="0.25">
      <c r="M298" s="5">
        <v>3774</v>
      </c>
      <c r="N298">
        <v>1</v>
      </c>
      <c r="O298" t="str">
        <f t="shared" si="4"/>
        <v>One-time</v>
      </c>
      <c r="Q298">
        <v>3774</v>
      </c>
      <c r="R298">
        <v>1</v>
      </c>
      <c r="S298" t="s">
        <v>64</v>
      </c>
    </row>
    <row r="299" spans="13:19" x14ac:dyDescent="0.25">
      <c r="M299" s="5">
        <v>3775</v>
      </c>
      <c r="N299">
        <v>1</v>
      </c>
      <c r="O299" t="str">
        <f t="shared" si="4"/>
        <v>One-time</v>
      </c>
      <c r="Q299">
        <v>3775</v>
      </c>
      <c r="R299">
        <v>1</v>
      </c>
      <c r="S299" t="s">
        <v>64</v>
      </c>
    </row>
    <row r="300" spans="13:19" x14ac:dyDescent="0.25">
      <c r="M300" s="5">
        <v>3776</v>
      </c>
      <c r="N300">
        <v>1</v>
      </c>
      <c r="O300" t="str">
        <f t="shared" si="4"/>
        <v>One-time</v>
      </c>
      <c r="Q300">
        <v>3776</v>
      </c>
      <c r="R300">
        <v>1</v>
      </c>
      <c r="S300" t="s">
        <v>64</v>
      </c>
    </row>
    <row r="301" spans="13:19" x14ac:dyDescent="0.25">
      <c r="M301" s="5">
        <v>3780</v>
      </c>
      <c r="N301">
        <v>1</v>
      </c>
      <c r="O301" t="str">
        <f t="shared" si="4"/>
        <v>One-time</v>
      </c>
      <c r="Q301">
        <v>3780</v>
      </c>
      <c r="R301">
        <v>1</v>
      </c>
      <c r="S301" t="s">
        <v>64</v>
      </c>
    </row>
    <row r="302" spans="13:19" x14ac:dyDescent="0.25">
      <c r="M302" s="5">
        <v>3784</v>
      </c>
      <c r="N302">
        <v>1</v>
      </c>
      <c r="O302" t="str">
        <f t="shared" si="4"/>
        <v>One-time</v>
      </c>
      <c r="Q302">
        <v>3784</v>
      </c>
      <c r="R302">
        <v>1</v>
      </c>
      <c r="S302" t="s">
        <v>64</v>
      </c>
    </row>
    <row r="303" spans="13:19" x14ac:dyDescent="0.25">
      <c r="M303" s="5">
        <v>3786</v>
      </c>
      <c r="N303">
        <v>1</v>
      </c>
      <c r="O303" t="str">
        <f t="shared" si="4"/>
        <v>One-time</v>
      </c>
      <c r="Q303">
        <v>3786</v>
      </c>
      <c r="R303">
        <v>1</v>
      </c>
      <c r="S303" t="s">
        <v>64</v>
      </c>
    </row>
    <row r="304" spans="13:19" x14ac:dyDescent="0.25">
      <c r="M304" s="5">
        <v>3787</v>
      </c>
      <c r="N304">
        <v>2</v>
      </c>
      <c r="O304" t="str">
        <f t="shared" si="4"/>
        <v>Repeat</v>
      </c>
      <c r="Q304">
        <v>3787</v>
      </c>
      <c r="R304">
        <v>2</v>
      </c>
      <c r="S304" t="s">
        <v>65</v>
      </c>
    </row>
    <row r="305" spans="13:19" x14ac:dyDescent="0.25">
      <c r="M305" s="5">
        <v>3797</v>
      </c>
      <c r="N305">
        <v>1</v>
      </c>
      <c r="O305" t="str">
        <f t="shared" si="4"/>
        <v>One-time</v>
      </c>
      <c r="Q305">
        <v>3797</v>
      </c>
      <c r="R305">
        <v>1</v>
      </c>
      <c r="S305" t="s">
        <v>64</v>
      </c>
    </row>
    <row r="306" spans="13:19" x14ac:dyDescent="0.25">
      <c r="M306" s="5">
        <v>3803</v>
      </c>
      <c r="N306">
        <v>1</v>
      </c>
      <c r="O306" t="str">
        <f t="shared" si="4"/>
        <v>One-time</v>
      </c>
      <c r="Q306">
        <v>3803</v>
      </c>
      <c r="R306">
        <v>1</v>
      </c>
      <c r="S306" t="s">
        <v>64</v>
      </c>
    </row>
    <row r="307" spans="13:19" x14ac:dyDescent="0.25">
      <c r="M307" s="5">
        <v>3805</v>
      </c>
      <c r="N307">
        <v>2</v>
      </c>
      <c r="O307" t="str">
        <f t="shared" si="4"/>
        <v>Repeat</v>
      </c>
      <c r="Q307">
        <v>3805</v>
      </c>
      <c r="R307">
        <v>2</v>
      </c>
      <c r="S307" t="s">
        <v>65</v>
      </c>
    </row>
    <row r="308" spans="13:19" x14ac:dyDescent="0.25">
      <c r="M308" s="5">
        <v>3808</v>
      </c>
      <c r="N308">
        <v>1</v>
      </c>
      <c r="O308" t="str">
        <f t="shared" si="4"/>
        <v>One-time</v>
      </c>
      <c r="Q308">
        <v>3808</v>
      </c>
      <c r="R308">
        <v>1</v>
      </c>
      <c r="S308" t="s">
        <v>64</v>
      </c>
    </row>
    <row r="309" spans="13:19" x14ac:dyDescent="0.25">
      <c r="M309" s="5">
        <v>3809</v>
      </c>
      <c r="N309">
        <v>1</v>
      </c>
      <c r="O309" t="str">
        <f t="shared" si="4"/>
        <v>One-time</v>
      </c>
      <c r="Q309">
        <v>3809</v>
      </c>
      <c r="R309">
        <v>1</v>
      </c>
      <c r="S309" t="s">
        <v>64</v>
      </c>
    </row>
    <row r="310" spans="13:19" x14ac:dyDescent="0.25">
      <c r="M310" s="5">
        <v>3811</v>
      </c>
      <c r="N310">
        <v>3</v>
      </c>
      <c r="O310" t="str">
        <f t="shared" si="4"/>
        <v>Repeat</v>
      </c>
      <c r="Q310">
        <v>3811</v>
      </c>
      <c r="R310">
        <v>3</v>
      </c>
      <c r="S310" t="s">
        <v>65</v>
      </c>
    </row>
    <row r="311" spans="13:19" x14ac:dyDescent="0.25">
      <c r="M311" s="5">
        <v>3814</v>
      </c>
      <c r="N311">
        <v>2</v>
      </c>
      <c r="O311" t="str">
        <f t="shared" si="4"/>
        <v>Repeat</v>
      </c>
      <c r="Q311">
        <v>3814</v>
      </c>
      <c r="R311">
        <v>2</v>
      </c>
      <c r="S311" t="s">
        <v>65</v>
      </c>
    </row>
    <row r="312" spans="13:19" x14ac:dyDescent="0.25">
      <c r="M312" s="5">
        <v>3816</v>
      </c>
      <c r="N312">
        <v>1</v>
      </c>
      <c r="O312" t="str">
        <f t="shared" si="4"/>
        <v>One-time</v>
      </c>
      <c r="Q312">
        <v>3816</v>
      </c>
      <c r="R312">
        <v>1</v>
      </c>
      <c r="S312" t="s">
        <v>64</v>
      </c>
    </row>
    <row r="313" spans="13:19" x14ac:dyDescent="0.25">
      <c r="M313" s="5">
        <v>3819</v>
      </c>
      <c r="N313">
        <v>1</v>
      </c>
      <c r="O313" t="str">
        <f t="shared" si="4"/>
        <v>One-time</v>
      </c>
      <c r="Q313">
        <v>3819</v>
      </c>
      <c r="R313">
        <v>1</v>
      </c>
      <c r="S313" t="s">
        <v>64</v>
      </c>
    </row>
    <row r="314" spans="13:19" x14ac:dyDescent="0.25">
      <c r="M314" s="5">
        <v>3821</v>
      </c>
      <c r="N314">
        <v>1</v>
      </c>
      <c r="O314" t="str">
        <f t="shared" si="4"/>
        <v>One-time</v>
      </c>
      <c r="Q314">
        <v>3821</v>
      </c>
      <c r="R314">
        <v>1</v>
      </c>
      <c r="S314" t="s">
        <v>64</v>
      </c>
    </row>
    <row r="315" spans="13:19" x14ac:dyDescent="0.25">
      <c r="M315" s="5">
        <v>3822</v>
      </c>
      <c r="N315">
        <v>2</v>
      </c>
      <c r="O315" t="str">
        <f t="shared" si="4"/>
        <v>Repeat</v>
      </c>
      <c r="Q315">
        <v>3822</v>
      </c>
      <c r="R315">
        <v>2</v>
      </c>
      <c r="S315" t="s">
        <v>65</v>
      </c>
    </row>
    <row r="316" spans="13:19" x14ac:dyDescent="0.25">
      <c r="M316" s="5">
        <v>3823</v>
      </c>
      <c r="N316">
        <v>1</v>
      </c>
      <c r="O316" t="str">
        <f t="shared" si="4"/>
        <v>One-time</v>
      </c>
      <c r="Q316">
        <v>3823</v>
      </c>
      <c r="R316">
        <v>1</v>
      </c>
      <c r="S316" t="s">
        <v>64</v>
      </c>
    </row>
    <row r="317" spans="13:19" x14ac:dyDescent="0.25">
      <c r="M317" s="5">
        <v>3824</v>
      </c>
      <c r="N317">
        <v>2</v>
      </c>
      <c r="O317" t="str">
        <f t="shared" si="4"/>
        <v>Repeat</v>
      </c>
      <c r="Q317">
        <v>3824</v>
      </c>
      <c r="R317">
        <v>2</v>
      </c>
      <c r="S317" t="s">
        <v>65</v>
      </c>
    </row>
    <row r="318" spans="13:19" x14ac:dyDescent="0.25">
      <c r="M318" s="5">
        <v>3826</v>
      </c>
      <c r="N318">
        <v>2</v>
      </c>
      <c r="O318" t="str">
        <f t="shared" si="4"/>
        <v>Repeat</v>
      </c>
      <c r="Q318">
        <v>3826</v>
      </c>
      <c r="R318">
        <v>2</v>
      </c>
      <c r="S318" t="s">
        <v>65</v>
      </c>
    </row>
    <row r="319" spans="13:19" x14ac:dyDescent="0.25">
      <c r="M319" s="5">
        <v>3827</v>
      </c>
      <c r="N319">
        <v>1</v>
      </c>
      <c r="O319" t="str">
        <f t="shared" si="4"/>
        <v>One-time</v>
      </c>
      <c r="Q319">
        <v>3827</v>
      </c>
      <c r="R319">
        <v>1</v>
      </c>
      <c r="S319" t="s">
        <v>64</v>
      </c>
    </row>
    <row r="320" spans="13:19" x14ac:dyDescent="0.25">
      <c r="M320" s="5">
        <v>3829</v>
      </c>
      <c r="N320">
        <v>1</v>
      </c>
      <c r="O320" t="str">
        <f t="shared" si="4"/>
        <v>One-time</v>
      </c>
      <c r="Q320">
        <v>3829</v>
      </c>
      <c r="R320">
        <v>1</v>
      </c>
      <c r="S320" t="s">
        <v>64</v>
      </c>
    </row>
    <row r="321" spans="13:19" x14ac:dyDescent="0.25">
      <c r="M321" s="5">
        <v>3832</v>
      </c>
      <c r="N321">
        <v>1</v>
      </c>
      <c r="O321" t="str">
        <f t="shared" si="4"/>
        <v>One-time</v>
      </c>
      <c r="Q321">
        <v>3832</v>
      </c>
      <c r="R321">
        <v>1</v>
      </c>
      <c r="S321" t="s">
        <v>64</v>
      </c>
    </row>
    <row r="322" spans="13:19" x14ac:dyDescent="0.25">
      <c r="M322" s="5">
        <v>3834</v>
      </c>
      <c r="N322">
        <v>1</v>
      </c>
      <c r="O322" t="str">
        <f t="shared" si="4"/>
        <v>One-time</v>
      </c>
      <c r="Q322">
        <v>3834</v>
      </c>
      <c r="R322">
        <v>1</v>
      </c>
      <c r="S322" t="s">
        <v>64</v>
      </c>
    </row>
    <row r="323" spans="13:19" x14ac:dyDescent="0.25">
      <c r="M323" s="5">
        <v>3835</v>
      </c>
      <c r="N323">
        <v>1</v>
      </c>
      <c r="O323" t="str">
        <f t="shared" si="4"/>
        <v>One-time</v>
      </c>
      <c r="Q323">
        <v>3835</v>
      </c>
      <c r="R323">
        <v>1</v>
      </c>
      <c r="S323" t="s">
        <v>64</v>
      </c>
    </row>
    <row r="324" spans="13:19" x14ac:dyDescent="0.25">
      <c r="M324" s="5">
        <v>3838</v>
      </c>
      <c r="N324">
        <v>1</v>
      </c>
      <c r="O324" t="str">
        <f t="shared" ref="O324:O387" si="5">IF(GETPIVOTDATA("Order_ID",$M$2, "Customer_ID",M324)=1, "One-time", IF(GETPIVOTDATA("Order_ID",$M$2, "Customer_ID",M324)&lt;=3, "Repeat", "Loyal"))</f>
        <v>One-time</v>
      </c>
      <c r="Q324">
        <v>3838</v>
      </c>
      <c r="R324">
        <v>1</v>
      </c>
      <c r="S324" t="s">
        <v>64</v>
      </c>
    </row>
    <row r="325" spans="13:19" x14ac:dyDescent="0.25">
      <c r="M325" s="5">
        <v>3841</v>
      </c>
      <c r="N325">
        <v>1</v>
      </c>
      <c r="O325" t="str">
        <f t="shared" si="5"/>
        <v>One-time</v>
      </c>
      <c r="Q325">
        <v>3841</v>
      </c>
      <c r="R325">
        <v>1</v>
      </c>
      <c r="S325" t="s">
        <v>64</v>
      </c>
    </row>
    <row r="326" spans="13:19" x14ac:dyDescent="0.25">
      <c r="M326" s="5">
        <v>3844</v>
      </c>
      <c r="N326">
        <v>1</v>
      </c>
      <c r="O326" t="str">
        <f t="shared" si="5"/>
        <v>One-time</v>
      </c>
      <c r="Q326">
        <v>3844</v>
      </c>
      <c r="R326">
        <v>1</v>
      </c>
      <c r="S326" t="s">
        <v>64</v>
      </c>
    </row>
    <row r="327" spans="13:19" x14ac:dyDescent="0.25">
      <c r="M327" s="5">
        <v>3846</v>
      </c>
      <c r="N327">
        <v>1</v>
      </c>
      <c r="O327" t="str">
        <f t="shared" si="5"/>
        <v>One-time</v>
      </c>
      <c r="Q327">
        <v>3846</v>
      </c>
      <c r="R327">
        <v>1</v>
      </c>
      <c r="S327" t="s">
        <v>64</v>
      </c>
    </row>
    <row r="328" spans="13:19" x14ac:dyDescent="0.25">
      <c r="M328" s="5">
        <v>3847</v>
      </c>
      <c r="N328">
        <v>2</v>
      </c>
      <c r="O328" t="str">
        <f t="shared" si="5"/>
        <v>Repeat</v>
      </c>
      <c r="Q328">
        <v>3847</v>
      </c>
      <c r="R328">
        <v>2</v>
      </c>
      <c r="S328" t="s">
        <v>65</v>
      </c>
    </row>
    <row r="329" spans="13:19" x14ac:dyDescent="0.25">
      <c r="M329" s="5">
        <v>3849</v>
      </c>
      <c r="N329">
        <v>1</v>
      </c>
      <c r="O329" t="str">
        <f t="shared" si="5"/>
        <v>One-time</v>
      </c>
      <c r="Q329">
        <v>3849</v>
      </c>
      <c r="R329">
        <v>1</v>
      </c>
      <c r="S329" t="s">
        <v>64</v>
      </c>
    </row>
    <row r="330" spans="13:19" x14ac:dyDescent="0.25">
      <c r="M330" s="5">
        <v>3850</v>
      </c>
      <c r="N330">
        <v>1</v>
      </c>
      <c r="O330" t="str">
        <f t="shared" si="5"/>
        <v>One-time</v>
      </c>
      <c r="Q330">
        <v>3850</v>
      </c>
      <c r="R330">
        <v>1</v>
      </c>
      <c r="S330" t="s">
        <v>64</v>
      </c>
    </row>
    <row r="331" spans="13:19" x14ac:dyDescent="0.25">
      <c r="M331" s="5">
        <v>3851</v>
      </c>
      <c r="N331">
        <v>1</v>
      </c>
      <c r="O331" t="str">
        <f t="shared" si="5"/>
        <v>One-time</v>
      </c>
      <c r="Q331">
        <v>3851</v>
      </c>
      <c r="R331">
        <v>1</v>
      </c>
      <c r="S331" t="s">
        <v>64</v>
      </c>
    </row>
    <row r="332" spans="13:19" x14ac:dyDescent="0.25">
      <c r="M332" s="5">
        <v>3852</v>
      </c>
      <c r="N332">
        <v>1</v>
      </c>
      <c r="O332" t="str">
        <f t="shared" si="5"/>
        <v>One-time</v>
      </c>
      <c r="Q332">
        <v>3852</v>
      </c>
      <c r="R332">
        <v>1</v>
      </c>
      <c r="S332" t="s">
        <v>64</v>
      </c>
    </row>
    <row r="333" spans="13:19" x14ac:dyDescent="0.25">
      <c r="M333" s="5">
        <v>3854</v>
      </c>
      <c r="N333">
        <v>1</v>
      </c>
      <c r="O333" t="str">
        <f t="shared" si="5"/>
        <v>One-time</v>
      </c>
      <c r="Q333">
        <v>3854</v>
      </c>
      <c r="R333">
        <v>1</v>
      </c>
      <c r="S333" t="s">
        <v>64</v>
      </c>
    </row>
    <row r="334" spans="13:19" x14ac:dyDescent="0.25">
      <c r="M334" s="5">
        <v>3855</v>
      </c>
      <c r="N334">
        <v>1</v>
      </c>
      <c r="O334" t="str">
        <f t="shared" si="5"/>
        <v>One-time</v>
      </c>
      <c r="Q334">
        <v>3855</v>
      </c>
      <c r="R334">
        <v>1</v>
      </c>
      <c r="S334" t="s">
        <v>64</v>
      </c>
    </row>
    <row r="335" spans="13:19" x14ac:dyDescent="0.25">
      <c r="M335" s="5">
        <v>3859</v>
      </c>
      <c r="N335">
        <v>2</v>
      </c>
      <c r="O335" t="str">
        <f t="shared" si="5"/>
        <v>Repeat</v>
      </c>
      <c r="Q335">
        <v>3859</v>
      </c>
      <c r="R335">
        <v>2</v>
      </c>
      <c r="S335" t="s">
        <v>65</v>
      </c>
    </row>
    <row r="336" spans="13:19" x14ac:dyDescent="0.25">
      <c r="M336" s="5">
        <v>3862</v>
      </c>
      <c r="N336">
        <v>1</v>
      </c>
      <c r="O336" t="str">
        <f t="shared" si="5"/>
        <v>One-time</v>
      </c>
      <c r="Q336">
        <v>3862</v>
      </c>
      <c r="R336">
        <v>1</v>
      </c>
      <c r="S336" t="s">
        <v>64</v>
      </c>
    </row>
    <row r="337" spans="13:19" x14ac:dyDescent="0.25">
      <c r="M337" s="5">
        <v>3864</v>
      </c>
      <c r="N337">
        <v>1</v>
      </c>
      <c r="O337" t="str">
        <f t="shared" si="5"/>
        <v>One-time</v>
      </c>
      <c r="Q337">
        <v>3864</v>
      </c>
      <c r="R337">
        <v>1</v>
      </c>
      <c r="S337" t="s">
        <v>64</v>
      </c>
    </row>
    <row r="338" spans="13:19" x14ac:dyDescent="0.25">
      <c r="M338" s="5">
        <v>3865</v>
      </c>
      <c r="N338">
        <v>2</v>
      </c>
      <c r="O338" t="str">
        <f t="shared" si="5"/>
        <v>Repeat</v>
      </c>
      <c r="Q338">
        <v>3865</v>
      </c>
      <c r="R338">
        <v>2</v>
      </c>
      <c r="S338" t="s">
        <v>65</v>
      </c>
    </row>
    <row r="339" spans="13:19" x14ac:dyDescent="0.25">
      <c r="M339" s="5">
        <v>3867</v>
      </c>
      <c r="N339">
        <v>1</v>
      </c>
      <c r="O339" t="str">
        <f t="shared" si="5"/>
        <v>One-time</v>
      </c>
      <c r="Q339">
        <v>3867</v>
      </c>
      <c r="R339">
        <v>1</v>
      </c>
      <c r="S339" t="s">
        <v>64</v>
      </c>
    </row>
    <row r="340" spans="13:19" x14ac:dyDescent="0.25">
      <c r="M340" s="5">
        <v>3871</v>
      </c>
      <c r="N340">
        <v>1</v>
      </c>
      <c r="O340" t="str">
        <f t="shared" si="5"/>
        <v>One-time</v>
      </c>
      <c r="Q340">
        <v>3871</v>
      </c>
      <c r="R340">
        <v>1</v>
      </c>
      <c r="S340" t="s">
        <v>64</v>
      </c>
    </row>
    <row r="341" spans="13:19" x14ac:dyDescent="0.25">
      <c r="M341" s="5">
        <v>3873</v>
      </c>
      <c r="N341">
        <v>1</v>
      </c>
      <c r="O341" t="str">
        <f t="shared" si="5"/>
        <v>One-time</v>
      </c>
      <c r="Q341">
        <v>3873</v>
      </c>
      <c r="R341">
        <v>1</v>
      </c>
      <c r="S341" t="s">
        <v>64</v>
      </c>
    </row>
    <row r="342" spans="13:19" x14ac:dyDescent="0.25">
      <c r="M342" s="5">
        <v>3874</v>
      </c>
      <c r="N342">
        <v>1</v>
      </c>
      <c r="O342" t="str">
        <f t="shared" si="5"/>
        <v>One-time</v>
      </c>
      <c r="Q342">
        <v>3874</v>
      </c>
      <c r="R342">
        <v>1</v>
      </c>
      <c r="S342" t="s">
        <v>64</v>
      </c>
    </row>
    <row r="343" spans="13:19" x14ac:dyDescent="0.25">
      <c r="M343" s="5">
        <v>3875</v>
      </c>
      <c r="N343">
        <v>1</v>
      </c>
      <c r="O343" t="str">
        <f t="shared" si="5"/>
        <v>One-time</v>
      </c>
      <c r="Q343">
        <v>3875</v>
      </c>
      <c r="R343">
        <v>1</v>
      </c>
      <c r="S343" t="s">
        <v>64</v>
      </c>
    </row>
    <row r="344" spans="13:19" x14ac:dyDescent="0.25">
      <c r="M344" s="5">
        <v>3876</v>
      </c>
      <c r="N344">
        <v>1</v>
      </c>
      <c r="O344" t="str">
        <f t="shared" si="5"/>
        <v>One-time</v>
      </c>
      <c r="Q344">
        <v>3876</v>
      </c>
      <c r="R344">
        <v>1</v>
      </c>
      <c r="S344" t="s">
        <v>64</v>
      </c>
    </row>
    <row r="345" spans="13:19" x14ac:dyDescent="0.25">
      <c r="M345" s="5">
        <v>3877</v>
      </c>
      <c r="N345">
        <v>1</v>
      </c>
      <c r="O345" t="str">
        <f t="shared" si="5"/>
        <v>One-time</v>
      </c>
      <c r="Q345">
        <v>3877</v>
      </c>
      <c r="R345">
        <v>1</v>
      </c>
      <c r="S345" t="s">
        <v>64</v>
      </c>
    </row>
    <row r="346" spans="13:19" x14ac:dyDescent="0.25">
      <c r="M346" s="5">
        <v>3880</v>
      </c>
      <c r="N346">
        <v>1</v>
      </c>
      <c r="O346" t="str">
        <f t="shared" si="5"/>
        <v>One-time</v>
      </c>
      <c r="Q346">
        <v>3880</v>
      </c>
      <c r="R346">
        <v>1</v>
      </c>
      <c r="S346" t="s">
        <v>64</v>
      </c>
    </row>
    <row r="347" spans="13:19" x14ac:dyDescent="0.25">
      <c r="M347" s="5">
        <v>3884</v>
      </c>
      <c r="N347">
        <v>2</v>
      </c>
      <c r="O347" t="str">
        <f t="shared" si="5"/>
        <v>Repeat</v>
      </c>
      <c r="Q347">
        <v>3884</v>
      </c>
      <c r="R347">
        <v>2</v>
      </c>
      <c r="S347" t="s">
        <v>65</v>
      </c>
    </row>
    <row r="348" spans="13:19" x14ac:dyDescent="0.25">
      <c r="M348" s="5">
        <v>3888</v>
      </c>
      <c r="N348">
        <v>1</v>
      </c>
      <c r="O348" t="str">
        <f t="shared" si="5"/>
        <v>One-time</v>
      </c>
      <c r="Q348">
        <v>3888</v>
      </c>
      <c r="R348">
        <v>1</v>
      </c>
      <c r="S348" t="s">
        <v>64</v>
      </c>
    </row>
    <row r="349" spans="13:19" x14ac:dyDescent="0.25">
      <c r="M349" s="5">
        <v>3891</v>
      </c>
      <c r="N349">
        <v>1</v>
      </c>
      <c r="O349" t="str">
        <f t="shared" si="5"/>
        <v>One-time</v>
      </c>
      <c r="Q349">
        <v>3891</v>
      </c>
      <c r="R349">
        <v>1</v>
      </c>
      <c r="S349" t="s">
        <v>64</v>
      </c>
    </row>
    <row r="350" spans="13:19" x14ac:dyDescent="0.25">
      <c r="M350" s="5">
        <v>3894</v>
      </c>
      <c r="N350">
        <v>1</v>
      </c>
      <c r="O350" t="str">
        <f t="shared" si="5"/>
        <v>One-time</v>
      </c>
      <c r="Q350">
        <v>3894</v>
      </c>
      <c r="R350">
        <v>1</v>
      </c>
      <c r="S350" t="s">
        <v>64</v>
      </c>
    </row>
    <row r="351" spans="13:19" x14ac:dyDescent="0.25">
      <c r="M351" s="5">
        <v>3895</v>
      </c>
      <c r="N351">
        <v>2</v>
      </c>
      <c r="O351" t="str">
        <f t="shared" si="5"/>
        <v>Repeat</v>
      </c>
      <c r="Q351">
        <v>3895</v>
      </c>
      <c r="R351">
        <v>2</v>
      </c>
      <c r="S351" t="s">
        <v>65</v>
      </c>
    </row>
    <row r="352" spans="13:19" x14ac:dyDescent="0.25">
      <c r="M352" s="5">
        <v>3896</v>
      </c>
      <c r="N352">
        <v>2</v>
      </c>
      <c r="O352" t="str">
        <f t="shared" si="5"/>
        <v>Repeat</v>
      </c>
      <c r="Q352">
        <v>3896</v>
      </c>
      <c r="R352">
        <v>2</v>
      </c>
      <c r="S352" t="s">
        <v>65</v>
      </c>
    </row>
    <row r="353" spans="13:19" x14ac:dyDescent="0.25">
      <c r="M353" s="5">
        <v>3901</v>
      </c>
      <c r="N353">
        <v>1</v>
      </c>
      <c r="O353" t="str">
        <f t="shared" si="5"/>
        <v>One-time</v>
      </c>
      <c r="Q353">
        <v>3901</v>
      </c>
      <c r="R353">
        <v>1</v>
      </c>
      <c r="S353" t="s">
        <v>64</v>
      </c>
    </row>
    <row r="354" spans="13:19" x14ac:dyDescent="0.25">
      <c r="M354" s="5">
        <v>3903</v>
      </c>
      <c r="N354">
        <v>1</v>
      </c>
      <c r="O354" t="str">
        <f t="shared" si="5"/>
        <v>One-time</v>
      </c>
      <c r="Q354">
        <v>3903</v>
      </c>
      <c r="R354">
        <v>1</v>
      </c>
      <c r="S354" t="s">
        <v>64</v>
      </c>
    </row>
    <row r="355" spans="13:19" x14ac:dyDescent="0.25">
      <c r="M355" s="5">
        <v>3904</v>
      </c>
      <c r="N355">
        <v>1</v>
      </c>
      <c r="O355" t="str">
        <f t="shared" si="5"/>
        <v>One-time</v>
      </c>
      <c r="Q355">
        <v>3904</v>
      </c>
      <c r="R355">
        <v>1</v>
      </c>
      <c r="S355" t="s">
        <v>64</v>
      </c>
    </row>
    <row r="356" spans="13:19" x14ac:dyDescent="0.25">
      <c r="M356" s="5">
        <v>3908</v>
      </c>
      <c r="N356">
        <v>3</v>
      </c>
      <c r="O356" t="str">
        <f t="shared" si="5"/>
        <v>Repeat</v>
      </c>
      <c r="Q356">
        <v>3908</v>
      </c>
      <c r="R356">
        <v>3</v>
      </c>
      <c r="S356" t="s">
        <v>65</v>
      </c>
    </row>
    <row r="357" spans="13:19" x14ac:dyDescent="0.25">
      <c r="M357" s="5">
        <v>3909</v>
      </c>
      <c r="N357">
        <v>1</v>
      </c>
      <c r="O357" t="str">
        <f t="shared" si="5"/>
        <v>One-time</v>
      </c>
      <c r="Q357">
        <v>3909</v>
      </c>
      <c r="R357">
        <v>1</v>
      </c>
      <c r="S357" t="s">
        <v>64</v>
      </c>
    </row>
    <row r="358" spans="13:19" x14ac:dyDescent="0.25">
      <c r="M358" s="5">
        <v>3910</v>
      </c>
      <c r="N358">
        <v>1</v>
      </c>
      <c r="O358" t="str">
        <f t="shared" si="5"/>
        <v>One-time</v>
      </c>
      <c r="Q358">
        <v>3910</v>
      </c>
      <c r="R358">
        <v>1</v>
      </c>
      <c r="S358" t="s">
        <v>64</v>
      </c>
    </row>
    <row r="359" spans="13:19" x14ac:dyDescent="0.25">
      <c r="M359" s="5">
        <v>3911</v>
      </c>
      <c r="N359">
        <v>2</v>
      </c>
      <c r="O359" t="str">
        <f t="shared" si="5"/>
        <v>Repeat</v>
      </c>
      <c r="Q359">
        <v>3911</v>
      </c>
      <c r="R359">
        <v>2</v>
      </c>
      <c r="S359" t="s">
        <v>65</v>
      </c>
    </row>
    <row r="360" spans="13:19" x14ac:dyDescent="0.25">
      <c r="M360" s="5">
        <v>3914</v>
      </c>
      <c r="N360">
        <v>1</v>
      </c>
      <c r="O360" t="str">
        <f t="shared" si="5"/>
        <v>One-time</v>
      </c>
      <c r="Q360">
        <v>3914</v>
      </c>
      <c r="R360">
        <v>1</v>
      </c>
      <c r="S360" t="s">
        <v>64</v>
      </c>
    </row>
    <row r="361" spans="13:19" x14ac:dyDescent="0.25">
      <c r="M361" s="5">
        <v>3916</v>
      </c>
      <c r="N361">
        <v>1</v>
      </c>
      <c r="O361" t="str">
        <f t="shared" si="5"/>
        <v>One-time</v>
      </c>
      <c r="Q361">
        <v>3916</v>
      </c>
      <c r="R361">
        <v>1</v>
      </c>
      <c r="S361" t="s">
        <v>64</v>
      </c>
    </row>
    <row r="362" spans="13:19" x14ac:dyDescent="0.25">
      <c r="M362" s="5">
        <v>3917</v>
      </c>
      <c r="N362">
        <v>2</v>
      </c>
      <c r="O362" t="str">
        <f t="shared" si="5"/>
        <v>Repeat</v>
      </c>
      <c r="Q362">
        <v>3917</v>
      </c>
      <c r="R362">
        <v>2</v>
      </c>
      <c r="S362" t="s">
        <v>65</v>
      </c>
    </row>
    <row r="363" spans="13:19" x14ac:dyDescent="0.25">
      <c r="M363" s="5">
        <v>3919</v>
      </c>
      <c r="N363">
        <v>1</v>
      </c>
      <c r="O363" t="str">
        <f t="shared" si="5"/>
        <v>One-time</v>
      </c>
      <c r="Q363">
        <v>3919</v>
      </c>
      <c r="R363">
        <v>1</v>
      </c>
      <c r="S363" t="s">
        <v>64</v>
      </c>
    </row>
    <row r="364" spans="13:19" x14ac:dyDescent="0.25">
      <c r="M364" s="5">
        <v>3923</v>
      </c>
      <c r="N364">
        <v>1</v>
      </c>
      <c r="O364" t="str">
        <f t="shared" si="5"/>
        <v>One-time</v>
      </c>
      <c r="Q364">
        <v>3923</v>
      </c>
      <c r="R364">
        <v>1</v>
      </c>
      <c r="S364" t="s">
        <v>64</v>
      </c>
    </row>
    <row r="365" spans="13:19" x14ac:dyDescent="0.25">
      <c r="M365" s="5">
        <v>3924</v>
      </c>
      <c r="N365">
        <v>2</v>
      </c>
      <c r="O365" t="str">
        <f t="shared" si="5"/>
        <v>Repeat</v>
      </c>
      <c r="Q365">
        <v>3924</v>
      </c>
      <c r="R365">
        <v>2</v>
      </c>
      <c r="S365" t="s">
        <v>65</v>
      </c>
    </row>
    <row r="366" spans="13:19" x14ac:dyDescent="0.25">
      <c r="M366" s="5">
        <v>3927</v>
      </c>
      <c r="N366">
        <v>1</v>
      </c>
      <c r="O366" t="str">
        <f t="shared" si="5"/>
        <v>One-time</v>
      </c>
      <c r="Q366">
        <v>3927</v>
      </c>
      <c r="R366">
        <v>1</v>
      </c>
      <c r="S366" t="s">
        <v>64</v>
      </c>
    </row>
    <row r="367" spans="13:19" x14ac:dyDescent="0.25">
      <c r="M367" s="5">
        <v>3930</v>
      </c>
      <c r="N367">
        <v>1</v>
      </c>
      <c r="O367" t="str">
        <f t="shared" si="5"/>
        <v>One-time</v>
      </c>
      <c r="Q367">
        <v>3930</v>
      </c>
      <c r="R367">
        <v>1</v>
      </c>
      <c r="S367" t="s">
        <v>64</v>
      </c>
    </row>
    <row r="368" spans="13:19" x14ac:dyDescent="0.25">
      <c r="M368" s="5">
        <v>3931</v>
      </c>
      <c r="N368">
        <v>1</v>
      </c>
      <c r="O368" t="str">
        <f t="shared" si="5"/>
        <v>One-time</v>
      </c>
      <c r="Q368">
        <v>3931</v>
      </c>
      <c r="R368">
        <v>1</v>
      </c>
      <c r="S368" t="s">
        <v>64</v>
      </c>
    </row>
    <row r="369" spans="13:19" x14ac:dyDescent="0.25">
      <c r="M369" s="5">
        <v>3932</v>
      </c>
      <c r="N369">
        <v>1</v>
      </c>
      <c r="O369" t="str">
        <f t="shared" si="5"/>
        <v>One-time</v>
      </c>
      <c r="Q369">
        <v>3932</v>
      </c>
      <c r="R369">
        <v>1</v>
      </c>
      <c r="S369" t="s">
        <v>64</v>
      </c>
    </row>
    <row r="370" spans="13:19" x14ac:dyDescent="0.25">
      <c r="M370" s="5">
        <v>3936</v>
      </c>
      <c r="N370">
        <v>1</v>
      </c>
      <c r="O370" t="str">
        <f t="shared" si="5"/>
        <v>One-time</v>
      </c>
      <c r="Q370">
        <v>3936</v>
      </c>
      <c r="R370">
        <v>1</v>
      </c>
      <c r="S370" t="s">
        <v>64</v>
      </c>
    </row>
    <row r="371" spans="13:19" x14ac:dyDescent="0.25">
      <c r="M371" s="5">
        <v>3938</v>
      </c>
      <c r="N371">
        <v>1</v>
      </c>
      <c r="O371" t="str">
        <f t="shared" si="5"/>
        <v>One-time</v>
      </c>
      <c r="Q371">
        <v>3938</v>
      </c>
      <c r="R371">
        <v>1</v>
      </c>
      <c r="S371" t="s">
        <v>64</v>
      </c>
    </row>
    <row r="372" spans="13:19" x14ac:dyDescent="0.25">
      <c r="M372" s="5">
        <v>3939</v>
      </c>
      <c r="N372">
        <v>1</v>
      </c>
      <c r="O372" t="str">
        <f t="shared" si="5"/>
        <v>One-time</v>
      </c>
      <c r="Q372">
        <v>3939</v>
      </c>
      <c r="R372">
        <v>1</v>
      </c>
      <c r="S372" t="s">
        <v>64</v>
      </c>
    </row>
    <row r="373" spans="13:19" x14ac:dyDescent="0.25">
      <c r="M373" s="5">
        <v>3940</v>
      </c>
      <c r="N373">
        <v>2</v>
      </c>
      <c r="O373" t="str">
        <f t="shared" si="5"/>
        <v>Repeat</v>
      </c>
      <c r="Q373">
        <v>3940</v>
      </c>
      <c r="R373">
        <v>2</v>
      </c>
      <c r="S373" t="s">
        <v>65</v>
      </c>
    </row>
    <row r="374" spans="13:19" x14ac:dyDescent="0.25">
      <c r="M374" s="5">
        <v>3942</v>
      </c>
      <c r="N374">
        <v>1</v>
      </c>
      <c r="O374" t="str">
        <f t="shared" si="5"/>
        <v>One-time</v>
      </c>
      <c r="Q374">
        <v>3942</v>
      </c>
      <c r="R374">
        <v>1</v>
      </c>
      <c r="S374" t="s">
        <v>64</v>
      </c>
    </row>
    <row r="375" spans="13:19" x14ac:dyDescent="0.25">
      <c r="M375" s="5">
        <v>3944</v>
      </c>
      <c r="N375">
        <v>1</v>
      </c>
      <c r="O375" t="str">
        <f t="shared" si="5"/>
        <v>One-time</v>
      </c>
      <c r="Q375">
        <v>3944</v>
      </c>
      <c r="R375">
        <v>1</v>
      </c>
      <c r="S375" t="s">
        <v>64</v>
      </c>
    </row>
    <row r="376" spans="13:19" x14ac:dyDescent="0.25">
      <c r="M376" s="5">
        <v>3946</v>
      </c>
      <c r="N376">
        <v>2</v>
      </c>
      <c r="O376" t="str">
        <f t="shared" si="5"/>
        <v>Repeat</v>
      </c>
      <c r="Q376">
        <v>3946</v>
      </c>
      <c r="R376">
        <v>2</v>
      </c>
      <c r="S376" t="s">
        <v>65</v>
      </c>
    </row>
    <row r="377" spans="13:19" x14ac:dyDescent="0.25">
      <c r="M377" s="5">
        <v>3947</v>
      </c>
      <c r="N377">
        <v>1</v>
      </c>
      <c r="O377" t="str">
        <f t="shared" si="5"/>
        <v>One-time</v>
      </c>
      <c r="Q377">
        <v>3947</v>
      </c>
      <c r="R377">
        <v>1</v>
      </c>
      <c r="S377" t="s">
        <v>64</v>
      </c>
    </row>
    <row r="378" spans="13:19" x14ac:dyDescent="0.25">
      <c r="M378" s="5">
        <v>3949</v>
      </c>
      <c r="N378">
        <v>1</v>
      </c>
      <c r="O378" t="str">
        <f t="shared" si="5"/>
        <v>One-time</v>
      </c>
      <c r="Q378">
        <v>3949</v>
      </c>
      <c r="R378">
        <v>1</v>
      </c>
      <c r="S378" t="s">
        <v>64</v>
      </c>
    </row>
    <row r="379" spans="13:19" x14ac:dyDescent="0.25">
      <c r="M379" s="5">
        <v>3950</v>
      </c>
      <c r="N379">
        <v>1</v>
      </c>
      <c r="O379" t="str">
        <f t="shared" si="5"/>
        <v>One-time</v>
      </c>
      <c r="Q379">
        <v>3950</v>
      </c>
      <c r="R379">
        <v>1</v>
      </c>
      <c r="S379" t="s">
        <v>64</v>
      </c>
    </row>
    <row r="380" spans="13:19" x14ac:dyDescent="0.25">
      <c r="M380" s="5">
        <v>3954</v>
      </c>
      <c r="N380">
        <v>1</v>
      </c>
      <c r="O380" t="str">
        <f t="shared" si="5"/>
        <v>One-time</v>
      </c>
      <c r="Q380">
        <v>3954</v>
      </c>
      <c r="R380">
        <v>1</v>
      </c>
      <c r="S380" t="s">
        <v>64</v>
      </c>
    </row>
    <row r="381" spans="13:19" x14ac:dyDescent="0.25">
      <c r="M381" s="5">
        <v>3958</v>
      </c>
      <c r="N381">
        <v>1</v>
      </c>
      <c r="O381" t="str">
        <f t="shared" si="5"/>
        <v>One-time</v>
      </c>
      <c r="Q381">
        <v>3958</v>
      </c>
      <c r="R381">
        <v>1</v>
      </c>
      <c r="S381" t="s">
        <v>64</v>
      </c>
    </row>
    <row r="382" spans="13:19" x14ac:dyDescent="0.25">
      <c r="M382" s="5">
        <v>3960</v>
      </c>
      <c r="N382">
        <v>1</v>
      </c>
      <c r="O382" t="str">
        <f t="shared" si="5"/>
        <v>One-time</v>
      </c>
      <c r="Q382">
        <v>3960</v>
      </c>
      <c r="R382">
        <v>1</v>
      </c>
      <c r="S382" t="s">
        <v>64</v>
      </c>
    </row>
    <row r="383" spans="13:19" x14ac:dyDescent="0.25">
      <c r="M383" s="5">
        <v>3965</v>
      </c>
      <c r="N383">
        <v>1</v>
      </c>
      <c r="O383" t="str">
        <f t="shared" si="5"/>
        <v>One-time</v>
      </c>
      <c r="Q383">
        <v>3965</v>
      </c>
      <c r="R383">
        <v>1</v>
      </c>
      <c r="S383" t="s">
        <v>64</v>
      </c>
    </row>
    <row r="384" spans="13:19" x14ac:dyDescent="0.25">
      <c r="M384" s="5">
        <v>3966</v>
      </c>
      <c r="N384">
        <v>1</v>
      </c>
      <c r="O384" t="str">
        <f t="shared" si="5"/>
        <v>One-time</v>
      </c>
      <c r="Q384">
        <v>3966</v>
      </c>
      <c r="R384">
        <v>1</v>
      </c>
      <c r="S384" t="s">
        <v>64</v>
      </c>
    </row>
    <row r="385" spans="13:19" x14ac:dyDescent="0.25">
      <c r="M385" s="5">
        <v>3969</v>
      </c>
      <c r="N385">
        <v>3</v>
      </c>
      <c r="O385" t="str">
        <f t="shared" si="5"/>
        <v>Repeat</v>
      </c>
      <c r="Q385">
        <v>3969</v>
      </c>
      <c r="R385">
        <v>3</v>
      </c>
      <c r="S385" t="s">
        <v>65</v>
      </c>
    </row>
    <row r="386" spans="13:19" x14ac:dyDescent="0.25">
      <c r="M386" s="5">
        <v>3970</v>
      </c>
      <c r="N386">
        <v>1</v>
      </c>
      <c r="O386" t="str">
        <f t="shared" si="5"/>
        <v>One-time</v>
      </c>
      <c r="Q386">
        <v>3970</v>
      </c>
      <c r="R386">
        <v>1</v>
      </c>
      <c r="S386" t="s">
        <v>64</v>
      </c>
    </row>
    <row r="387" spans="13:19" x14ac:dyDescent="0.25">
      <c r="M387" s="5">
        <v>3973</v>
      </c>
      <c r="N387">
        <v>1</v>
      </c>
      <c r="O387" t="str">
        <f t="shared" si="5"/>
        <v>One-time</v>
      </c>
      <c r="Q387">
        <v>3973</v>
      </c>
      <c r="R387">
        <v>1</v>
      </c>
      <c r="S387" t="s">
        <v>64</v>
      </c>
    </row>
    <row r="388" spans="13:19" x14ac:dyDescent="0.25">
      <c r="M388" s="5">
        <v>3977</v>
      </c>
      <c r="N388">
        <v>1</v>
      </c>
      <c r="O388" t="str">
        <f t="shared" ref="O388:O400" si="6">IF(GETPIVOTDATA("Order_ID",$M$2, "Customer_ID",M388)=1, "One-time", IF(GETPIVOTDATA("Order_ID",$M$2, "Customer_ID",M388)&lt;=3, "Repeat", "Loyal"))</f>
        <v>One-time</v>
      </c>
      <c r="Q388">
        <v>3977</v>
      </c>
      <c r="R388">
        <v>1</v>
      </c>
      <c r="S388" t="s">
        <v>64</v>
      </c>
    </row>
    <row r="389" spans="13:19" x14ac:dyDescent="0.25">
      <c r="M389" s="5">
        <v>3979</v>
      </c>
      <c r="N389">
        <v>1</v>
      </c>
      <c r="O389" t="str">
        <f t="shared" si="6"/>
        <v>One-time</v>
      </c>
      <c r="Q389">
        <v>3979</v>
      </c>
      <c r="R389">
        <v>1</v>
      </c>
      <c r="S389" t="s">
        <v>64</v>
      </c>
    </row>
    <row r="390" spans="13:19" x14ac:dyDescent="0.25">
      <c r="M390" s="5">
        <v>3981</v>
      </c>
      <c r="N390">
        <v>1</v>
      </c>
      <c r="O390" t="str">
        <f t="shared" si="6"/>
        <v>One-time</v>
      </c>
      <c r="Q390">
        <v>3981</v>
      </c>
      <c r="R390">
        <v>1</v>
      </c>
      <c r="S390" t="s">
        <v>64</v>
      </c>
    </row>
    <row r="391" spans="13:19" x14ac:dyDescent="0.25">
      <c r="M391" s="5">
        <v>3985</v>
      </c>
      <c r="N391">
        <v>1</v>
      </c>
      <c r="O391" t="str">
        <f t="shared" si="6"/>
        <v>One-time</v>
      </c>
      <c r="Q391">
        <v>3985</v>
      </c>
      <c r="R391">
        <v>1</v>
      </c>
      <c r="S391" t="s">
        <v>64</v>
      </c>
    </row>
    <row r="392" spans="13:19" x14ac:dyDescent="0.25">
      <c r="M392" s="5">
        <v>3986</v>
      </c>
      <c r="N392">
        <v>1</v>
      </c>
      <c r="O392" t="str">
        <f t="shared" si="6"/>
        <v>One-time</v>
      </c>
      <c r="Q392">
        <v>3986</v>
      </c>
      <c r="R392">
        <v>1</v>
      </c>
      <c r="S392" t="s">
        <v>64</v>
      </c>
    </row>
    <row r="393" spans="13:19" x14ac:dyDescent="0.25">
      <c r="M393" s="5">
        <v>3987</v>
      </c>
      <c r="N393">
        <v>2</v>
      </c>
      <c r="O393" t="str">
        <f t="shared" si="6"/>
        <v>Repeat</v>
      </c>
      <c r="Q393">
        <v>3987</v>
      </c>
      <c r="R393">
        <v>2</v>
      </c>
      <c r="S393" t="s">
        <v>65</v>
      </c>
    </row>
    <row r="394" spans="13:19" x14ac:dyDescent="0.25">
      <c r="M394" s="5">
        <v>3988</v>
      </c>
      <c r="N394">
        <v>1</v>
      </c>
      <c r="O394" t="str">
        <f t="shared" si="6"/>
        <v>One-time</v>
      </c>
      <c r="Q394">
        <v>3988</v>
      </c>
      <c r="R394">
        <v>1</v>
      </c>
      <c r="S394" t="s">
        <v>64</v>
      </c>
    </row>
    <row r="395" spans="13:19" x14ac:dyDescent="0.25">
      <c r="M395" s="5">
        <v>3989</v>
      </c>
      <c r="N395">
        <v>1</v>
      </c>
      <c r="O395" t="str">
        <f t="shared" si="6"/>
        <v>One-time</v>
      </c>
      <c r="Q395">
        <v>3989</v>
      </c>
      <c r="R395">
        <v>1</v>
      </c>
      <c r="S395" t="s">
        <v>64</v>
      </c>
    </row>
    <row r="396" spans="13:19" x14ac:dyDescent="0.25">
      <c r="M396" s="5">
        <v>3991</v>
      </c>
      <c r="N396">
        <v>1</v>
      </c>
      <c r="O396" t="str">
        <f t="shared" si="6"/>
        <v>One-time</v>
      </c>
      <c r="Q396">
        <v>3991</v>
      </c>
      <c r="R396">
        <v>1</v>
      </c>
      <c r="S396" t="s">
        <v>64</v>
      </c>
    </row>
    <row r="397" spans="13:19" x14ac:dyDescent="0.25">
      <c r="M397" s="5">
        <v>3992</v>
      </c>
      <c r="N397">
        <v>1</v>
      </c>
      <c r="O397" t="str">
        <f t="shared" si="6"/>
        <v>One-time</v>
      </c>
      <c r="Q397">
        <v>3992</v>
      </c>
      <c r="R397">
        <v>1</v>
      </c>
      <c r="S397" t="s">
        <v>64</v>
      </c>
    </row>
    <row r="398" spans="13:19" x14ac:dyDescent="0.25">
      <c r="M398" s="5">
        <v>3994</v>
      </c>
      <c r="N398">
        <v>1</v>
      </c>
      <c r="O398" t="str">
        <f t="shared" si="6"/>
        <v>One-time</v>
      </c>
      <c r="Q398">
        <v>3994</v>
      </c>
      <c r="R398">
        <v>1</v>
      </c>
      <c r="S398" t="s">
        <v>64</v>
      </c>
    </row>
    <row r="399" spans="13:19" x14ac:dyDescent="0.25">
      <c r="M399" s="5">
        <v>3998</v>
      </c>
      <c r="N399">
        <v>1</v>
      </c>
      <c r="O399" t="str">
        <f t="shared" si="6"/>
        <v>One-time</v>
      </c>
      <c r="Q399">
        <v>3998</v>
      </c>
      <c r="R399">
        <v>1</v>
      </c>
      <c r="S399" t="s">
        <v>64</v>
      </c>
    </row>
    <row r="400" spans="13:19" x14ac:dyDescent="0.25">
      <c r="M400" s="5">
        <v>3999</v>
      </c>
      <c r="N400">
        <v>1</v>
      </c>
      <c r="O400" t="str">
        <f t="shared" si="6"/>
        <v>One-time</v>
      </c>
      <c r="Q400">
        <v>3999</v>
      </c>
      <c r="R400">
        <v>1</v>
      </c>
      <c r="S400" t="s">
        <v>64</v>
      </c>
    </row>
    <row r="401" spans="13:14" x14ac:dyDescent="0.25">
      <c r="M401" s="5" t="s">
        <v>38</v>
      </c>
      <c r="N401">
        <v>500</v>
      </c>
    </row>
  </sheetData>
  <mergeCells count="14">
    <mergeCell ref="E33:F33"/>
    <mergeCell ref="H35:J35"/>
    <mergeCell ref="A1:C1"/>
    <mergeCell ref="A12:C12"/>
    <mergeCell ref="A20:C20"/>
    <mergeCell ref="A29:C29"/>
    <mergeCell ref="E27:F27"/>
    <mergeCell ref="M1:O1"/>
    <mergeCell ref="E20:F20"/>
    <mergeCell ref="E8:F8"/>
    <mergeCell ref="E14:F14"/>
    <mergeCell ref="E1:F1"/>
    <mergeCell ref="H1:K1"/>
    <mergeCell ref="H18:K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94AAD-F458-4F06-A5FB-8ECC757FEC43}">
  <dimension ref="A1:T39"/>
  <sheetViews>
    <sheetView showGridLines="0" showRowColHeaders="0" tabSelected="1" zoomScaleNormal="100" workbookViewId="0">
      <selection activeCell="S26" sqref="S26"/>
    </sheetView>
  </sheetViews>
  <sheetFormatPr defaultRowHeight="15" x14ac:dyDescent="0.25"/>
  <cols>
    <col min="3" max="3" width="12.42578125" bestFit="1" customWidth="1"/>
    <col min="4" max="4" width="7.85546875" customWidth="1"/>
    <col min="5" max="5" width="17.85546875" customWidth="1"/>
  </cols>
  <sheetData>
    <row r="1" spans="1:20" s="7" customFormat="1" ht="45.75" x14ac:dyDescent="0.7">
      <c r="A1" s="13" t="s">
        <v>54</v>
      </c>
      <c r="C1" s="12"/>
    </row>
    <row r="2" spans="1:20" s="7" customFormat="1" ht="21" x14ac:dyDescent="0.35">
      <c r="A2" s="9"/>
    </row>
    <row r="3" spans="1:20" s="11" customFormat="1" x14ac:dyDescent="0.25">
      <c r="A3" s="17"/>
      <c r="B3" s="17"/>
      <c r="C3" s="18"/>
      <c r="D3" s="18"/>
      <c r="E3" s="18"/>
      <c r="F3" s="17"/>
      <c r="G3" s="17"/>
      <c r="H3" s="17"/>
      <c r="I3" s="17"/>
      <c r="J3" s="17"/>
      <c r="K3" s="17"/>
      <c r="L3" s="17"/>
      <c r="M3" s="17"/>
      <c r="N3" s="17"/>
      <c r="O3" s="17"/>
      <c r="P3" s="17"/>
      <c r="Q3" s="17"/>
      <c r="R3" s="17"/>
      <c r="S3" s="17"/>
      <c r="T3" s="17"/>
    </row>
    <row r="4" spans="1:20" s="11" customFormat="1" ht="25.5" customHeight="1" x14ac:dyDescent="0.25">
      <c r="A4" s="17"/>
      <c r="B4" s="17"/>
      <c r="C4" s="19"/>
      <c r="D4" s="20"/>
      <c r="E4" s="21"/>
      <c r="F4" s="17"/>
      <c r="G4" s="17"/>
      <c r="H4" s="17"/>
      <c r="I4" s="17"/>
      <c r="J4" s="17"/>
      <c r="K4" s="17"/>
      <c r="L4" s="17"/>
      <c r="M4" s="17"/>
      <c r="N4" s="17"/>
      <c r="O4" s="17"/>
      <c r="P4" s="17"/>
      <c r="Q4" s="17"/>
      <c r="R4" s="17"/>
      <c r="S4" s="17"/>
      <c r="T4" s="17"/>
    </row>
    <row r="5" spans="1:20" s="11" customFormat="1" ht="25.5" customHeight="1" x14ac:dyDescent="0.25">
      <c r="A5" s="17"/>
      <c r="B5" s="17"/>
      <c r="C5" s="19"/>
      <c r="D5" s="20"/>
      <c r="E5" s="21"/>
      <c r="F5" s="17"/>
      <c r="G5" s="17"/>
      <c r="H5" s="17"/>
      <c r="I5" s="17"/>
      <c r="J5" s="17"/>
      <c r="K5" s="17"/>
      <c r="L5" s="17"/>
      <c r="M5" s="17"/>
      <c r="N5" s="17"/>
      <c r="O5" s="17"/>
      <c r="P5" s="17"/>
      <c r="Q5" s="17"/>
      <c r="R5" s="17"/>
      <c r="S5" s="17"/>
      <c r="T5" s="17"/>
    </row>
    <row r="6" spans="1:20" s="11" customFormat="1" ht="25.5" customHeight="1" x14ac:dyDescent="0.25">
      <c r="A6" s="17"/>
      <c r="B6" s="17"/>
      <c r="C6" s="19"/>
      <c r="D6" s="20"/>
      <c r="E6" s="21"/>
      <c r="F6" s="17"/>
      <c r="G6" s="17"/>
      <c r="H6" s="17"/>
      <c r="I6" s="17"/>
      <c r="J6" s="17"/>
      <c r="K6" s="17"/>
      <c r="L6" s="17"/>
      <c r="M6" s="17"/>
      <c r="N6" s="17"/>
      <c r="O6" s="17"/>
      <c r="P6" s="17"/>
      <c r="Q6" s="17"/>
      <c r="R6" s="17"/>
      <c r="S6" s="17"/>
      <c r="T6" s="17"/>
    </row>
    <row r="7" spans="1:20" s="11" customFormat="1" ht="25.5" customHeight="1" x14ac:dyDescent="0.25">
      <c r="A7" s="17"/>
      <c r="B7" s="17"/>
      <c r="C7" s="19"/>
      <c r="D7" s="20"/>
      <c r="E7" s="21"/>
      <c r="F7" s="17"/>
      <c r="G7" s="17"/>
      <c r="H7" s="17"/>
      <c r="I7" s="17"/>
      <c r="J7" s="17"/>
      <c r="K7" s="17"/>
      <c r="L7" s="17"/>
      <c r="M7" s="17"/>
      <c r="N7" s="17"/>
      <c r="O7" s="17"/>
      <c r="P7" s="17"/>
      <c r="Q7" s="17"/>
      <c r="R7" s="17"/>
      <c r="S7" s="17"/>
      <c r="T7" s="17"/>
    </row>
    <row r="8" spans="1:20" s="8" customFormat="1" ht="25.5" customHeight="1" x14ac:dyDescent="0.25">
      <c r="A8" s="17"/>
      <c r="B8" s="17"/>
      <c r="C8" s="19"/>
      <c r="D8" s="20"/>
      <c r="E8" s="21"/>
      <c r="F8" s="17"/>
      <c r="G8" s="17"/>
      <c r="H8" s="17"/>
      <c r="I8" s="17"/>
      <c r="J8" s="17"/>
      <c r="K8" s="17"/>
      <c r="L8" s="17"/>
      <c r="M8" s="17"/>
      <c r="N8" s="17"/>
      <c r="O8" s="17"/>
      <c r="P8" s="17"/>
      <c r="Q8" s="17"/>
      <c r="R8" s="17"/>
      <c r="S8" s="17"/>
      <c r="T8" s="17"/>
    </row>
    <row r="9" spans="1:20" s="8" customFormat="1" x14ac:dyDescent="0.25">
      <c r="A9" s="17"/>
      <c r="B9" s="17"/>
      <c r="C9" s="17"/>
      <c r="D9" s="17"/>
      <c r="E9" s="17"/>
      <c r="F9" s="17"/>
      <c r="G9" s="17"/>
      <c r="H9" s="17"/>
      <c r="I9" s="17"/>
      <c r="J9" s="17"/>
      <c r="K9" s="17"/>
      <c r="L9" s="17"/>
      <c r="M9" s="17"/>
      <c r="N9" s="17"/>
      <c r="O9" s="17"/>
      <c r="P9" s="17"/>
      <c r="Q9" s="17"/>
      <c r="R9" s="17"/>
      <c r="S9" s="17"/>
      <c r="T9" s="17"/>
    </row>
    <row r="10" spans="1:20" s="8" customFormat="1" x14ac:dyDescent="0.25">
      <c r="A10" s="17"/>
      <c r="B10" s="17"/>
      <c r="C10" s="17"/>
      <c r="D10" s="17"/>
      <c r="E10" s="17"/>
      <c r="F10" s="17"/>
      <c r="G10" s="17"/>
      <c r="H10" s="17"/>
      <c r="I10" s="17"/>
      <c r="J10" s="17"/>
      <c r="K10" s="17"/>
      <c r="L10" s="17"/>
      <c r="M10" s="17"/>
      <c r="N10" s="17"/>
      <c r="O10" s="17"/>
      <c r="P10" s="17"/>
      <c r="Q10" s="17"/>
      <c r="R10" s="17"/>
      <c r="S10" s="17"/>
      <c r="T10" s="17"/>
    </row>
    <row r="11" spans="1:20" s="8" customFormat="1" x14ac:dyDescent="0.25">
      <c r="A11" s="17"/>
      <c r="B11" s="17"/>
      <c r="C11" s="17"/>
      <c r="D11" s="17"/>
      <c r="E11" s="17"/>
      <c r="F11" s="17"/>
      <c r="G11" s="17"/>
      <c r="H11" s="17"/>
      <c r="I11" s="17"/>
      <c r="J11" s="17"/>
      <c r="K11" s="17"/>
      <c r="L11" s="17"/>
      <c r="M11" s="17"/>
      <c r="N11" s="17"/>
      <c r="O11" s="17"/>
      <c r="P11" s="17"/>
      <c r="Q11" s="17"/>
      <c r="R11" s="17"/>
      <c r="S11" s="17"/>
      <c r="T11" s="17"/>
    </row>
    <row r="12" spans="1:20" s="8" customFormat="1" x14ac:dyDescent="0.25">
      <c r="A12" s="17"/>
      <c r="B12" s="17"/>
      <c r="C12" s="17"/>
      <c r="D12" s="17"/>
      <c r="E12" s="17"/>
      <c r="F12" s="17"/>
      <c r="G12" s="17"/>
      <c r="H12" s="17"/>
      <c r="I12" s="17"/>
      <c r="J12" s="17"/>
      <c r="K12" s="17"/>
      <c r="L12" s="17"/>
      <c r="M12" s="17"/>
      <c r="N12" s="17"/>
      <c r="O12" s="17"/>
      <c r="P12" s="17"/>
      <c r="Q12" s="17"/>
      <c r="R12" s="17"/>
      <c r="S12" s="17"/>
      <c r="T12" s="17"/>
    </row>
    <row r="13" spans="1:20" s="8" customFormat="1" x14ac:dyDescent="0.25">
      <c r="A13" s="17"/>
      <c r="B13" s="17"/>
      <c r="C13" s="17"/>
      <c r="D13" s="17"/>
      <c r="E13" s="17"/>
      <c r="F13" s="17"/>
      <c r="G13" s="17"/>
      <c r="H13" s="17"/>
      <c r="I13" s="17"/>
      <c r="J13" s="17"/>
      <c r="K13" s="17"/>
      <c r="L13" s="17"/>
      <c r="M13" s="17"/>
      <c r="N13" s="17"/>
      <c r="O13" s="17"/>
      <c r="P13" s="17"/>
      <c r="Q13" s="17"/>
      <c r="R13" s="17"/>
      <c r="S13" s="17"/>
      <c r="T13" s="17"/>
    </row>
    <row r="14" spans="1:20" s="8" customFormat="1" x14ac:dyDescent="0.25">
      <c r="A14" s="17"/>
      <c r="B14" s="17"/>
      <c r="C14" s="17"/>
      <c r="D14" s="17"/>
      <c r="E14" s="17"/>
      <c r="F14" s="17"/>
      <c r="G14" s="17"/>
      <c r="H14" s="17"/>
      <c r="I14" s="17"/>
      <c r="J14" s="17"/>
      <c r="K14" s="17"/>
      <c r="L14" s="17"/>
      <c r="M14" s="17"/>
      <c r="N14" s="17"/>
      <c r="O14" s="17"/>
      <c r="P14" s="17"/>
      <c r="Q14" s="17"/>
      <c r="R14" s="17"/>
      <c r="S14" s="17"/>
      <c r="T14" s="17"/>
    </row>
    <row r="15" spans="1:20" s="8" customFormat="1" x14ac:dyDescent="0.25">
      <c r="A15" s="17"/>
      <c r="B15" s="17"/>
      <c r="C15" s="17"/>
      <c r="D15" s="17"/>
      <c r="E15" s="17"/>
      <c r="F15" s="17"/>
      <c r="G15" s="17"/>
      <c r="H15" s="17"/>
      <c r="I15" s="17"/>
      <c r="J15" s="17"/>
      <c r="K15" s="17"/>
      <c r="L15" s="17"/>
      <c r="M15" s="17"/>
      <c r="N15" s="17"/>
      <c r="O15" s="17"/>
      <c r="P15" s="17"/>
      <c r="Q15" s="17"/>
      <c r="R15" s="17"/>
      <c r="S15" s="17"/>
      <c r="T15" s="17"/>
    </row>
    <row r="16" spans="1:20" s="8" customFormat="1" x14ac:dyDescent="0.25">
      <c r="A16" s="17"/>
      <c r="B16" s="17"/>
      <c r="C16" s="22"/>
      <c r="D16" s="22"/>
      <c r="E16" s="22"/>
      <c r="F16" s="17"/>
      <c r="G16" s="17"/>
      <c r="H16" s="17"/>
      <c r="I16" s="17"/>
      <c r="J16" s="17"/>
      <c r="K16" s="17"/>
      <c r="L16" s="17"/>
      <c r="M16" s="17"/>
      <c r="N16" s="17"/>
      <c r="O16" s="17"/>
      <c r="P16" s="17"/>
      <c r="Q16" s="17"/>
      <c r="R16" s="17"/>
      <c r="S16" s="17"/>
      <c r="T16" s="17"/>
    </row>
    <row r="17" spans="1:20" s="8" customFormat="1" x14ac:dyDescent="0.25">
      <c r="A17" s="17"/>
      <c r="B17" s="17"/>
      <c r="C17" s="22"/>
      <c r="D17" s="22"/>
      <c r="E17" s="22"/>
      <c r="F17" s="17"/>
      <c r="G17" s="17"/>
      <c r="H17" s="17"/>
      <c r="I17" s="17"/>
      <c r="J17" s="17"/>
      <c r="K17" s="17"/>
      <c r="L17" s="17"/>
      <c r="M17" s="17"/>
      <c r="N17" s="17"/>
      <c r="O17" s="17"/>
      <c r="P17" s="17"/>
      <c r="Q17" s="17"/>
      <c r="R17" s="17"/>
      <c r="S17" s="17"/>
      <c r="T17" s="17"/>
    </row>
    <row r="18" spans="1:20" s="8" customFormat="1" x14ac:dyDescent="0.25">
      <c r="A18" s="17"/>
      <c r="B18" s="17"/>
      <c r="C18" s="17"/>
      <c r="D18" s="17"/>
      <c r="E18" s="17"/>
      <c r="F18" s="17"/>
      <c r="G18" s="17"/>
      <c r="H18" s="17"/>
      <c r="I18" s="17"/>
      <c r="J18" s="17"/>
      <c r="K18" s="17"/>
      <c r="L18" s="17"/>
      <c r="M18" s="17"/>
      <c r="N18" s="17"/>
      <c r="O18" s="17"/>
      <c r="P18" s="17"/>
      <c r="Q18" s="17"/>
      <c r="R18" s="17"/>
      <c r="S18" s="17"/>
      <c r="T18" s="17"/>
    </row>
    <row r="19" spans="1:20" s="8" customFormat="1" x14ac:dyDescent="0.25">
      <c r="A19" s="17"/>
      <c r="B19" s="17"/>
      <c r="C19" s="17"/>
      <c r="D19" s="17"/>
      <c r="E19" s="17"/>
      <c r="F19" s="17"/>
      <c r="G19" s="17"/>
      <c r="H19" s="17"/>
      <c r="I19" s="17"/>
      <c r="J19" s="17"/>
      <c r="K19" s="17"/>
      <c r="L19" s="17"/>
      <c r="M19" s="17"/>
      <c r="N19" s="17"/>
      <c r="O19" s="17"/>
      <c r="P19" s="17"/>
      <c r="Q19" s="17"/>
      <c r="R19" s="17"/>
      <c r="S19" s="17"/>
      <c r="T19" s="17"/>
    </row>
    <row r="20" spans="1:20" s="8" customFormat="1" x14ac:dyDescent="0.25">
      <c r="A20" s="17"/>
      <c r="B20" s="17"/>
      <c r="C20" s="17"/>
      <c r="D20" s="17"/>
      <c r="E20" s="17"/>
      <c r="F20" s="17"/>
      <c r="G20" s="17"/>
      <c r="H20" s="17"/>
      <c r="I20" s="17"/>
      <c r="J20" s="17"/>
      <c r="K20" s="17"/>
      <c r="L20" s="17"/>
      <c r="M20" s="17"/>
      <c r="N20" s="17"/>
      <c r="O20" s="17"/>
      <c r="P20" s="17"/>
      <c r="Q20" s="17"/>
      <c r="R20" s="17"/>
      <c r="S20" s="17"/>
      <c r="T20" s="17"/>
    </row>
    <row r="21" spans="1:20" s="8" customFormat="1" x14ac:dyDescent="0.25">
      <c r="A21" s="17"/>
      <c r="B21" s="17"/>
      <c r="C21" s="17"/>
      <c r="D21" s="17"/>
      <c r="E21" s="17"/>
      <c r="F21" s="17"/>
      <c r="G21" s="17"/>
      <c r="H21" s="17"/>
      <c r="I21" s="17"/>
      <c r="J21" s="17"/>
      <c r="K21" s="17"/>
      <c r="L21" s="17"/>
      <c r="M21" s="17"/>
      <c r="N21" s="17"/>
      <c r="O21" s="17"/>
      <c r="P21" s="17"/>
      <c r="Q21" s="17"/>
      <c r="R21" s="17"/>
      <c r="S21" s="17"/>
      <c r="T21" s="17"/>
    </row>
    <row r="22" spans="1:20" s="8" customFormat="1" x14ac:dyDescent="0.25">
      <c r="A22" s="17"/>
      <c r="B22" s="17"/>
      <c r="C22" s="17"/>
      <c r="D22" s="17"/>
      <c r="E22" s="17"/>
      <c r="F22" s="17"/>
      <c r="G22" s="17"/>
      <c r="H22" s="17"/>
      <c r="I22" s="17"/>
      <c r="J22" s="17"/>
      <c r="K22" s="17"/>
      <c r="L22" s="17"/>
      <c r="M22" s="17"/>
      <c r="N22" s="17"/>
      <c r="O22" s="17"/>
      <c r="P22" s="17"/>
      <c r="Q22" s="17"/>
      <c r="R22" s="17"/>
      <c r="S22" s="17"/>
      <c r="T22" s="17"/>
    </row>
    <row r="23" spans="1:20" s="8" customFormat="1" x14ac:dyDescent="0.25">
      <c r="A23" s="17"/>
      <c r="B23" s="17"/>
      <c r="C23" s="17"/>
      <c r="D23" s="17"/>
      <c r="E23" s="17"/>
      <c r="F23" s="17"/>
      <c r="G23" s="17"/>
      <c r="H23" s="17"/>
      <c r="I23" s="17"/>
      <c r="J23" s="17"/>
      <c r="K23" s="17"/>
      <c r="L23" s="17"/>
      <c r="M23" s="17"/>
      <c r="N23" s="17"/>
      <c r="O23" s="17"/>
      <c r="P23" s="17"/>
      <c r="Q23" s="17"/>
      <c r="R23" s="17"/>
      <c r="S23" s="17"/>
      <c r="T23" s="17"/>
    </row>
    <row r="24" spans="1:20" s="8" customFormat="1" x14ac:dyDescent="0.25">
      <c r="A24" s="17"/>
      <c r="B24" s="17"/>
      <c r="C24" s="17"/>
      <c r="D24" s="17"/>
      <c r="E24" s="17"/>
      <c r="F24" s="17"/>
      <c r="G24" s="17"/>
      <c r="H24" s="17"/>
      <c r="I24" s="17"/>
      <c r="J24" s="17"/>
      <c r="K24" s="17"/>
      <c r="L24" s="17"/>
      <c r="M24" s="17"/>
      <c r="N24" s="17"/>
      <c r="O24" s="17"/>
      <c r="P24" s="17"/>
      <c r="Q24" s="17"/>
      <c r="R24" s="17"/>
      <c r="S24" s="17"/>
      <c r="T24" s="17"/>
    </row>
    <row r="25" spans="1:20" s="8" customFormat="1" x14ac:dyDescent="0.25"/>
    <row r="26" spans="1:20" s="8" customFormat="1" x14ac:dyDescent="0.25"/>
    <row r="27" spans="1:20" s="8" customFormat="1" x14ac:dyDescent="0.25"/>
    <row r="28" spans="1:20" s="8" customFormat="1" x14ac:dyDescent="0.25"/>
    <row r="29" spans="1:20" s="8" customFormat="1" x14ac:dyDescent="0.25"/>
    <row r="30" spans="1:20" s="8" customFormat="1" x14ac:dyDescent="0.25"/>
    <row r="31" spans="1:20" s="8" customFormat="1" x14ac:dyDescent="0.25"/>
    <row r="32" spans="1:20" s="8" customFormat="1" x14ac:dyDescent="0.25"/>
    <row r="33" s="8" customFormat="1" x14ac:dyDescent="0.25"/>
    <row r="34" s="8" customFormat="1" x14ac:dyDescent="0.25"/>
    <row r="35" s="8" customFormat="1" x14ac:dyDescent="0.25"/>
    <row r="36" s="8" customFormat="1" x14ac:dyDescent="0.25"/>
    <row r="37" s="8" customFormat="1" x14ac:dyDescent="0.25"/>
    <row r="38" s="8" customFormat="1" x14ac:dyDescent="0.25"/>
    <row r="39" s="8" customForma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E4884-0564-4766-A9E4-4FB88D408F9A}">
  <dimension ref="A1:U40"/>
  <sheetViews>
    <sheetView showGridLines="0" showRowColHeaders="0" workbookViewId="0">
      <selection activeCell="T31" sqref="T31"/>
    </sheetView>
  </sheetViews>
  <sheetFormatPr defaultRowHeight="15" x14ac:dyDescent="0.25"/>
  <sheetData>
    <row r="1" spans="1:21" s="7" customFormat="1" ht="45.75" x14ac:dyDescent="0.7">
      <c r="A1" s="25" t="s">
        <v>54</v>
      </c>
      <c r="B1" s="25"/>
      <c r="C1" s="25"/>
      <c r="D1" s="25"/>
      <c r="E1" s="25"/>
      <c r="F1" s="25"/>
      <c r="G1" s="25"/>
      <c r="H1" s="25"/>
      <c r="I1" s="25"/>
      <c r="J1" s="25"/>
      <c r="K1" s="25"/>
      <c r="L1" s="25"/>
      <c r="M1" s="25"/>
      <c r="N1" s="25"/>
      <c r="O1" s="25"/>
      <c r="P1" s="25"/>
      <c r="Q1" s="25"/>
      <c r="R1" s="25"/>
      <c r="S1" s="25"/>
      <c r="T1" s="25"/>
      <c r="U1" s="25"/>
    </row>
    <row r="2" spans="1:21" s="7" customFormat="1" ht="21" x14ac:dyDescent="0.35">
      <c r="A2" s="9"/>
    </row>
    <row r="3" spans="1:21" s="14" customFormat="1" x14ac:dyDescent="0.25">
      <c r="A3" s="23"/>
      <c r="B3" s="23"/>
      <c r="C3" s="23"/>
      <c r="D3" s="23"/>
      <c r="E3" s="23"/>
      <c r="F3" s="23"/>
      <c r="G3" s="23"/>
      <c r="H3" s="23"/>
      <c r="I3" s="23"/>
      <c r="J3" s="23"/>
      <c r="K3" s="23"/>
      <c r="L3" s="23"/>
      <c r="M3" s="23"/>
      <c r="N3" s="23"/>
      <c r="O3" s="23"/>
      <c r="P3" s="23"/>
      <c r="Q3" s="23"/>
      <c r="R3" s="23"/>
      <c r="S3" s="23"/>
      <c r="T3" s="23"/>
      <c r="U3" s="23"/>
    </row>
    <row r="4" spans="1:21" s="14" customFormat="1" x14ac:dyDescent="0.25">
      <c r="A4" s="23"/>
      <c r="B4" s="23"/>
      <c r="C4" s="23"/>
      <c r="D4" s="23"/>
      <c r="E4" s="23"/>
      <c r="F4" s="23"/>
      <c r="G4" s="23"/>
      <c r="H4" s="23"/>
      <c r="I4" s="23"/>
      <c r="J4" s="23"/>
      <c r="K4" s="23"/>
      <c r="L4" s="23"/>
      <c r="M4" s="23"/>
      <c r="N4" s="23"/>
      <c r="O4" s="23"/>
      <c r="P4" s="23"/>
      <c r="Q4" s="23"/>
      <c r="R4" s="23"/>
      <c r="S4" s="23"/>
      <c r="T4" s="23"/>
      <c r="U4" s="23"/>
    </row>
    <row r="5" spans="1:21" s="14" customFormat="1" x14ac:dyDescent="0.25">
      <c r="A5" s="23"/>
      <c r="B5" s="23"/>
      <c r="C5" s="23"/>
      <c r="D5" s="23"/>
      <c r="E5" s="23"/>
      <c r="F5" s="23"/>
      <c r="G5" s="23"/>
      <c r="H5" s="23"/>
      <c r="I5" s="23"/>
      <c r="J5" s="23"/>
      <c r="K5" s="23"/>
      <c r="L5" s="23"/>
      <c r="M5" s="23"/>
      <c r="N5" s="23"/>
      <c r="O5" s="23"/>
      <c r="P5" s="23"/>
      <c r="Q5" s="23"/>
      <c r="R5" s="23"/>
      <c r="S5" s="23"/>
      <c r="T5" s="23"/>
      <c r="U5" s="23"/>
    </row>
    <row r="6" spans="1:21" s="14" customFormat="1" x14ac:dyDescent="0.25">
      <c r="A6" s="23"/>
      <c r="B6" s="23"/>
      <c r="C6" s="23"/>
      <c r="D6" s="23"/>
      <c r="E6" s="23"/>
      <c r="F6" s="23"/>
      <c r="G6" s="23"/>
      <c r="H6" s="23"/>
      <c r="I6" s="23"/>
      <c r="J6" s="23"/>
      <c r="K6" s="23"/>
      <c r="L6" s="23"/>
      <c r="M6" s="23"/>
      <c r="N6" s="23"/>
      <c r="O6" s="23"/>
      <c r="P6" s="23"/>
      <c r="Q6" s="23"/>
      <c r="R6" s="23"/>
      <c r="S6" s="23"/>
      <c r="T6" s="23"/>
      <c r="U6" s="23"/>
    </row>
    <row r="7" spans="1:21" s="14" customFormat="1" x14ac:dyDescent="0.25">
      <c r="A7" s="23"/>
      <c r="B7" s="23"/>
      <c r="C7" s="23"/>
      <c r="D7" s="23"/>
      <c r="E7" s="23"/>
      <c r="F7" s="23"/>
      <c r="G7" s="23"/>
      <c r="H7" s="23"/>
      <c r="I7" s="23"/>
      <c r="J7" s="23"/>
      <c r="K7" s="23"/>
      <c r="L7" s="23"/>
      <c r="M7" s="23"/>
      <c r="N7" s="23"/>
      <c r="O7" s="23"/>
      <c r="P7" s="23"/>
      <c r="Q7" s="23"/>
      <c r="R7" s="23"/>
      <c r="S7" s="23"/>
      <c r="T7" s="23"/>
      <c r="U7" s="23"/>
    </row>
    <row r="8" spans="1:21" s="14" customFormat="1" x14ac:dyDescent="0.25">
      <c r="A8" s="23"/>
      <c r="B8" s="23"/>
      <c r="C8" s="23"/>
      <c r="D8" s="23"/>
      <c r="E8" s="23"/>
      <c r="F8" s="23"/>
      <c r="G8" s="23"/>
      <c r="H8" s="23"/>
      <c r="I8" s="23"/>
      <c r="J8" s="23"/>
      <c r="K8" s="23"/>
      <c r="L8" s="23"/>
      <c r="M8" s="23"/>
      <c r="N8" s="23"/>
      <c r="O8" s="23"/>
      <c r="P8" s="23"/>
      <c r="Q8" s="23"/>
      <c r="R8" s="23"/>
      <c r="S8" s="23"/>
      <c r="T8" s="23"/>
      <c r="U8" s="23"/>
    </row>
    <row r="9" spans="1:21" s="14" customFormat="1" x14ac:dyDescent="0.25">
      <c r="A9" s="23"/>
      <c r="B9" s="23"/>
      <c r="C9" s="23"/>
      <c r="D9" s="23"/>
      <c r="E9" s="23"/>
      <c r="F9" s="23"/>
      <c r="G9" s="23"/>
      <c r="H9" s="23"/>
      <c r="I9" s="23"/>
      <c r="J9" s="23"/>
      <c r="K9" s="23"/>
      <c r="L9" s="23"/>
      <c r="M9" s="23"/>
      <c r="N9" s="23"/>
      <c r="O9" s="23"/>
      <c r="P9" s="23"/>
      <c r="Q9" s="23"/>
      <c r="R9" s="23"/>
      <c r="S9" s="23"/>
      <c r="T9" s="23"/>
      <c r="U9" s="23"/>
    </row>
    <row r="10" spans="1:21" s="14" customFormat="1" x14ac:dyDescent="0.25">
      <c r="A10" s="23"/>
      <c r="B10" s="23"/>
      <c r="C10" s="23"/>
      <c r="D10" s="23"/>
      <c r="E10" s="23"/>
      <c r="F10" s="23"/>
      <c r="G10" s="23"/>
      <c r="H10" s="23"/>
      <c r="I10" s="23"/>
      <c r="J10" s="23"/>
      <c r="K10" s="23"/>
      <c r="L10" s="23"/>
      <c r="M10" s="23"/>
      <c r="N10" s="23"/>
      <c r="O10" s="23"/>
      <c r="P10" s="23"/>
      <c r="Q10" s="23"/>
      <c r="R10" s="23"/>
      <c r="S10" s="23"/>
      <c r="T10" s="23"/>
      <c r="U10" s="23"/>
    </row>
    <row r="11" spans="1:21" s="14" customFormat="1" x14ac:dyDescent="0.25">
      <c r="A11" s="23"/>
      <c r="B11" s="23"/>
      <c r="C11" s="23"/>
      <c r="D11" s="23"/>
      <c r="E11" s="23"/>
      <c r="F11" s="23"/>
      <c r="G11" s="23"/>
      <c r="H11" s="23"/>
      <c r="I11" s="23"/>
      <c r="J11" s="23"/>
      <c r="K11" s="23"/>
      <c r="L11" s="23"/>
      <c r="M11" s="23"/>
      <c r="N11" s="23"/>
      <c r="O11" s="23"/>
      <c r="P11" s="23"/>
      <c r="Q11" s="23"/>
      <c r="R11" s="23"/>
      <c r="S11" s="23"/>
      <c r="T11" s="23"/>
      <c r="U11" s="23"/>
    </row>
    <row r="12" spans="1:21" s="14" customFormat="1" x14ac:dyDescent="0.25">
      <c r="A12" s="23"/>
      <c r="B12" s="23"/>
      <c r="C12" s="23"/>
      <c r="D12" s="23"/>
      <c r="E12" s="23"/>
      <c r="F12" s="23"/>
      <c r="G12" s="23"/>
      <c r="H12" s="23"/>
      <c r="I12" s="23"/>
      <c r="J12" s="23"/>
      <c r="K12" s="23"/>
      <c r="L12" s="23"/>
      <c r="M12" s="23"/>
      <c r="N12" s="23"/>
      <c r="O12" s="23"/>
      <c r="P12" s="23"/>
      <c r="Q12" s="23"/>
      <c r="R12" s="23"/>
      <c r="S12" s="23"/>
      <c r="T12" s="23"/>
      <c r="U12" s="23"/>
    </row>
    <row r="13" spans="1:21" s="14" customFormat="1" x14ac:dyDescent="0.25">
      <c r="A13" s="23"/>
      <c r="B13" s="23"/>
      <c r="C13" s="23"/>
      <c r="D13" s="23"/>
      <c r="E13" s="23"/>
      <c r="F13" s="23"/>
      <c r="G13" s="23"/>
      <c r="H13" s="23"/>
      <c r="I13" s="23"/>
      <c r="J13" s="23"/>
      <c r="K13" s="23"/>
      <c r="L13" s="23"/>
      <c r="M13" s="23"/>
      <c r="N13" s="23"/>
      <c r="O13" s="23"/>
      <c r="P13" s="23"/>
      <c r="Q13" s="23"/>
      <c r="R13" s="23"/>
      <c r="S13" s="23"/>
      <c r="T13" s="23"/>
      <c r="U13" s="23"/>
    </row>
    <row r="14" spans="1:21" s="14" customFormat="1" x14ac:dyDescent="0.25">
      <c r="A14" s="23"/>
      <c r="B14" s="23"/>
      <c r="C14" s="23"/>
      <c r="D14" s="23"/>
      <c r="E14" s="23"/>
      <c r="F14" s="23"/>
      <c r="G14" s="23"/>
      <c r="H14" s="23"/>
      <c r="I14" s="23"/>
      <c r="J14" s="23"/>
      <c r="K14" s="23"/>
      <c r="L14" s="23"/>
      <c r="M14" s="23"/>
      <c r="N14" s="23"/>
      <c r="O14" s="23"/>
      <c r="P14" s="23"/>
      <c r="Q14" s="23"/>
      <c r="R14" s="23"/>
      <c r="S14" s="23"/>
      <c r="T14" s="23"/>
      <c r="U14" s="23"/>
    </row>
    <row r="15" spans="1:21" s="14" customFormat="1" x14ac:dyDescent="0.25">
      <c r="A15" s="23"/>
      <c r="B15" s="23"/>
      <c r="C15" s="23"/>
      <c r="D15" s="23"/>
      <c r="E15" s="23"/>
      <c r="F15" s="23"/>
      <c r="G15" s="23"/>
      <c r="H15" s="23"/>
      <c r="I15" s="23"/>
      <c r="J15" s="23"/>
      <c r="K15" s="23"/>
      <c r="L15" s="23"/>
      <c r="M15" s="23"/>
      <c r="N15" s="23"/>
      <c r="O15" s="23"/>
      <c r="P15" s="23"/>
      <c r="Q15" s="23"/>
      <c r="R15" s="23"/>
      <c r="S15" s="23"/>
      <c r="T15" s="23"/>
      <c r="U15" s="23"/>
    </row>
    <row r="16" spans="1:21" s="14" customFormat="1" x14ac:dyDescent="0.25">
      <c r="A16" s="23"/>
      <c r="B16" s="23"/>
      <c r="C16" s="23"/>
      <c r="D16" s="23"/>
      <c r="E16" s="23"/>
      <c r="F16" s="23"/>
      <c r="G16" s="23"/>
      <c r="H16" s="23"/>
      <c r="I16" s="23"/>
      <c r="J16" s="23"/>
      <c r="K16" s="23"/>
      <c r="L16" s="23"/>
      <c r="M16" s="23"/>
      <c r="N16" s="23"/>
      <c r="O16" s="23"/>
      <c r="P16" s="23"/>
      <c r="Q16" s="23"/>
      <c r="R16" s="23"/>
      <c r="S16" s="23"/>
      <c r="T16" s="23"/>
      <c r="U16" s="23"/>
    </row>
    <row r="17" spans="1:21" s="14" customFormat="1" x14ac:dyDescent="0.25">
      <c r="A17" s="23"/>
      <c r="B17" s="23"/>
      <c r="C17" s="23"/>
      <c r="D17" s="23"/>
      <c r="E17" s="23"/>
      <c r="F17" s="23"/>
      <c r="G17" s="23"/>
      <c r="H17" s="23"/>
      <c r="I17" s="23"/>
      <c r="J17" s="23"/>
      <c r="K17" s="23"/>
      <c r="L17" s="23"/>
      <c r="M17" s="23"/>
      <c r="N17" s="23"/>
      <c r="O17" s="23"/>
      <c r="P17" s="23"/>
      <c r="Q17" s="23"/>
      <c r="R17" s="23"/>
      <c r="S17" s="23"/>
      <c r="T17" s="23"/>
      <c r="U17" s="23"/>
    </row>
    <row r="18" spans="1:21" s="14" customFormat="1" x14ac:dyDescent="0.25">
      <c r="A18" s="23"/>
      <c r="B18" s="23"/>
      <c r="C18" s="23"/>
      <c r="D18" s="23"/>
      <c r="E18" s="23"/>
      <c r="F18" s="23"/>
      <c r="G18" s="23"/>
      <c r="H18" s="23"/>
      <c r="I18" s="23"/>
      <c r="J18" s="23"/>
      <c r="K18" s="23"/>
      <c r="L18" s="23"/>
      <c r="M18" s="23"/>
      <c r="N18" s="23"/>
      <c r="O18" s="23"/>
      <c r="P18" s="23"/>
      <c r="Q18" s="23"/>
      <c r="R18" s="23"/>
      <c r="S18" s="23"/>
      <c r="T18" s="23"/>
      <c r="U18" s="23"/>
    </row>
    <row r="19" spans="1:21" s="14" customFormat="1" x14ac:dyDescent="0.25">
      <c r="A19" s="23"/>
      <c r="B19" s="23"/>
      <c r="C19" s="23"/>
      <c r="D19" s="23"/>
      <c r="E19" s="23"/>
      <c r="F19" s="23"/>
      <c r="G19" s="23"/>
      <c r="H19" s="23"/>
      <c r="I19" s="23"/>
      <c r="J19" s="23"/>
      <c r="K19" s="23"/>
      <c r="L19" s="23"/>
      <c r="M19" s="23"/>
      <c r="N19" s="23"/>
      <c r="O19" s="23"/>
      <c r="P19" s="23"/>
      <c r="Q19" s="23"/>
      <c r="R19" s="23"/>
      <c r="S19" s="23"/>
      <c r="T19" s="23"/>
      <c r="U19" s="23"/>
    </row>
    <row r="20" spans="1:21" s="14" customFormat="1" x14ac:dyDescent="0.25">
      <c r="A20" s="23"/>
      <c r="B20" s="23"/>
      <c r="C20" s="23"/>
      <c r="D20" s="23"/>
      <c r="E20" s="23"/>
      <c r="F20" s="23"/>
      <c r="G20" s="23"/>
      <c r="H20" s="23"/>
      <c r="I20" s="23"/>
      <c r="J20" s="23"/>
      <c r="K20" s="23"/>
      <c r="L20" s="23"/>
      <c r="M20" s="23"/>
      <c r="N20" s="23"/>
      <c r="O20" s="23"/>
      <c r="P20" s="23"/>
      <c r="Q20" s="23"/>
      <c r="R20" s="23"/>
      <c r="S20" s="23"/>
      <c r="T20" s="23"/>
      <c r="U20" s="23"/>
    </row>
    <row r="21" spans="1:21" s="14" customFormat="1" x14ac:dyDescent="0.25">
      <c r="A21" s="23"/>
      <c r="B21" s="23"/>
      <c r="C21" s="23"/>
      <c r="D21" s="23"/>
      <c r="E21" s="23"/>
      <c r="F21" s="23"/>
      <c r="G21" s="23"/>
      <c r="H21" s="23"/>
      <c r="I21" s="23"/>
      <c r="J21" s="23"/>
      <c r="K21" s="23"/>
      <c r="L21" s="23"/>
      <c r="M21" s="23"/>
      <c r="N21" s="23"/>
      <c r="O21" s="23"/>
      <c r="P21" s="23"/>
      <c r="Q21" s="23"/>
      <c r="R21" s="23"/>
      <c r="S21" s="23"/>
      <c r="T21" s="23"/>
      <c r="U21" s="23"/>
    </row>
    <row r="22" spans="1:21" s="14" customFormat="1" x14ac:dyDescent="0.25">
      <c r="A22" s="23"/>
      <c r="B22" s="23"/>
      <c r="C22" s="23"/>
      <c r="D22" s="23"/>
      <c r="E22" s="23"/>
      <c r="F22" s="23"/>
      <c r="G22" s="23"/>
      <c r="H22" s="23"/>
      <c r="I22" s="23"/>
      <c r="J22" s="23"/>
      <c r="K22" s="23"/>
      <c r="L22" s="23"/>
      <c r="M22" s="23"/>
      <c r="N22" s="23"/>
      <c r="O22" s="23"/>
      <c r="P22" s="23"/>
      <c r="Q22" s="23"/>
      <c r="R22" s="23"/>
      <c r="S22" s="23"/>
      <c r="T22" s="23"/>
      <c r="U22" s="23"/>
    </row>
    <row r="23" spans="1:21" s="14" customFormat="1" x14ac:dyDescent="0.25">
      <c r="A23" s="23"/>
      <c r="B23" s="23"/>
      <c r="C23" s="23"/>
      <c r="D23" s="23"/>
      <c r="E23" s="23"/>
      <c r="F23" s="23"/>
      <c r="G23" s="23"/>
      <c r="H23" s="23"/>
      <c r="I23" s="23"/>
      <c r="J23" s="23"/>
      <c r="K23" s="23"/>
      <c r="L23" s="23"/>
      <c r="M23" s="23"/>
      <c r="N23" s="23"/>
      <c r="O23" s="23"/>
      <c r="P23" s="23"/>
      <c r="Q23" s="23"/>
      <c r="R23" s="23"/>
      <c r="S23" s="23"/>
      <c r="T23" s="23"/>
      <c r="U23" s="23"/>
    </row>
    <row r="24" spans="1:21" s="14" customFormat="1" x14ac:dyDescent="0.25">
      <c r="A24" s="23"/>
      <c r="B24" s="23"/>
      <c r="C24" s="23"/>
      <c r="D24" s="23"/>
      <c r="E24" s="23"/>
      <c r="F24" s="23"/>
      <c r="G24" s="23"/>
      <c r="H24" s="23"/>
      <c r="I24" s="23"/>
      <c r="J24" s="23"/>
      <c r="K24" s="23"/>
      <c r="L24" s="23"/>
      <c r="M24" s="23"/>
      <c r="N24" s="23"/>
      <c r="O24" s="23"/>
      <c r="P24" s="23"/>
      <c r="Q24" s="23"/>
      <c r="R24" s="23"/>
      <c r="S24" s="23"/>
      <c r="T24" s="23"/>
      <c r="U24" s="23"/>
    </row>
    <row r="25" spans="1:21" s="14" customFormat="1" x14ac:dyDescent="0.25">
      <c r="A25" s="23"/>
      <c r="B25" s="23"/>
      <c r="C25" s="23"/>
      <c r="D25" s="23"/>
      <c r="E25" s="23"/>
      <c r="F25" s="23"/>
      <c r="G25" s="23"/>
      <c r="H25" s="23"/>
      <c r="I25" s="23"/>
      <c r="J25" s="23"/>
      <c r="K25" s="23"/>
      <c r="L25" s="23"/>
      <c r="M25" s="23"/>
      <c r="N25" s="23"/>
      <c r="O25" s="23"/>
      <c r="P25" s="23"/>
      <c r="Q25" s="23"/>
      <c r="R25" s="23"/>
      <c r="S25" s="23"/>
      <c r="T25" s="23"/>
      <c r="U25" s="23"/>
    </row>
    <row r="26" spans="1:21" s="14" customFormat="1" x14ac:dyDescent="0.25">
      <c r="A26" s="23"/>
      <c r="B26" s="23"/>
      <c r="C26" s="23"/>
      <c r="D26" s="23"/>
      <c r="E26" s="23"/>
      <c r="F26" s="23"/>
      <c r="G26" s="23"/>
      <c r="H26" s="23"/>
      <c r="I26" s="23"/>
      <c r="J26" s="23"/>
      <c r="K26" s="23"/>
      <c r="L26" s="23"/>
      <c r="M26" s="23"/>
      <c r="N26" s="23"/>
      <c r="O26" s="23"/>
      <c r="P26" s="23"/>
      <c r="Q26" s="23"/>
      <c r="R26" s="23"/>
      <c r="S26" s="23"/>
      <c r="T26" s="23"/>
      <c r="U26" s="23"/>
    </row>
    <row r="27" spans="1:21" s="14" customFormat="1" x14ac:dyDescent="0.25">
      <c r="A27" s="23"/>
      <c r="B27" s="23"/>
      <c r="C27" s="23"/>
      <c r="D27" s="23"/>
      <c r="E27" s="23"/>
      <c r="F27" s="23"/>
      <c r="G27" s="23"/>
      <c r="H27" s="23"/>
      <c r="I27" s="23"/>
      <c r="J27" s="23"/>
      <c r="K27" s="23"/>
      <c r="L27" s="23"/>
      <c r="M27" s="23"/>
      <c r="N27" s="23"/>
      <c r="O27" s="23"/>
      <c r="P27" s="23"/>
      <c r="Q27" s="23"/>
      <c r="R27" s="23"/>
      <c r="S27" s="23"/>
      <c r="T27" s="23"/>
      <c r="U27" s="23"/>
    </row>
    <row r="28" spans="1:21" s="14" customFormat="1" x14ac:dyDescent="0.25"/>
    <row r="29" spans="1:21" s="14" customFormat="1" x14ac:dyDescent="0.25"/>
    <row r="30" spans="1:21" s="14" customFormat="1" x14ac:dyDescent="0.25"/>
    <row r="31" spans="1:21" s="14" customFormat="1" x14ac:dyDescent="0.25"/>
    <row r="32" spans="1:21" s="14" customFormat="1" x14ac:dyDescent="0.25"/>
    <row r="33" s="14" customFormat="1" x14ac:dyDescent="0.25"/>
    <row r="34" s="14" customFormat="1" x14ac:dyDescent="0.25"/>
    <row r="35" s="14" customFormat="1" x14ac:dyDescent="0.25"/>
    <row r="36" s="14" customFormat="1" x14ac:dyDescent="0.25"/>
    <row r="37" s="14" customFormat="1" x14ac:dyDescent="0.25"/>
    <row r="38" s="14" customFormat="1" x14ac:dyDescent="0.25"/>
    <row r="39" s="14" customFormat="1" x14ac:dyDescent="0.25"/>
    <row r="40" s="14" customFormat="1" x14ac:dyDescent="0.25"/>
  </sheetData>
  <mergeCells count="1">
    <mergeCell ref="A1:U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Retail Sales &amp; Profit Analysis </vt:lpstr>
      <vt:lpstr>Cleaned Retail Sales &amp; Profit</vt:lpstr>
      <vt:lpstr>Pivot Tables</vt:lpstr>
      <vt:lpstr>Dashboard1</vt:lpstr>
      <vt:lpstr>Dashboard2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Somadina Nwokora</cp:lastModifiedBy>
  <dcterms:created xsi:type="dcterms:W3CDTF">2026-06-23T19:25:39Z</dcterms:created>
  <dcterms:modified xsi:type="dcterms:W3CDTF">2026-08-07T19:02:24Z</dcterms:modified>
</cp:coreProperties>
</file>